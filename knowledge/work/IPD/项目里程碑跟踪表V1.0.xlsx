
<file path=[Content_Types].xml><?xml version="1.0" encoding="utf-8"?>
<Types xmlns="http://schemas.openxmlformats.org/package/2006/content-types">
  <Default Extension="png" ContentType="image/png"/>
  <Default Extension="vml" ContentType="application/vnd.openxmlformats-officedocument.vmlDrawing"/>
  <Default Extension="rels" ContentType="application/vnd.openxmlformats-package.relationships+xml"/>
  <Default Extension="xml" ContentType="application/xml"/>
  <Override PartName="/xl/worksheets/sheet8.xml" ContentType="application/vnd.openxmlformats-officedocument.spreadsheetml.worksheet+xml"/>
  <Override PartName="/docProps/core.xml" ContentType="application/vnd.openxmlformats-package.core-properties+xml"/>
  <Override PartName="/xl/worksheets/sheet6.xml" ContentType="application/vnd.openxmlformats-officedocument.spreadsheetml.worksheet+xml"/>
  <Override PartName="/xl/comments1.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threadedComments/threadedComment1.xml" ContentType="application/vnd.ms-excel.threadedcomments+xml"/>
  <Override PartName="/xl/sharedStrings.xml" ContentType="application/vnd.openxmlformats-officedocument.spreadsheetml.sharedStrings+xml"/>
  <Override PartName="/xl/styles.xml" ContentType="application/vnd.openxmlformats-officedocument.spreadsheetml.styles+xml"/>
  <Override PartName="/xl/worksheets/sheet4.xml" ContentType="application/vnd.openxmlformats-officedocument.spreadsheetml.worksheet+xml"/>
  <Override PartName="/xl/workbook.xml" ContentType="application/vnd.openxmlformats-officedocument.spreadsheetml.sheet.main+xml"/>
  <Override PartName="/xl/persons/person.xml" ContentType="application/vnd.ms-excel.person+xml"/>
  <Override PartName="/xl/worksheets/sheet3.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里程碑计划" sheetId="1" r:id="rId4"/>
    <sheet name="风险管理表" sheetId="2" r:id="rId5"/>
    <sheet name="项目问题跟踪表" sheetId="3" r:id="rId6"/>
    <sheet name="基本风险库(帮助识别)" sheetId="4" r:id="rId7"/>
    <sheet name="风险跟踪示例" sheetId="5" r:id="rId8"/>
    <sheet name="charter计划表" sheetId="6" r:id="rId9"/>
    <sheet name="项目类型" sheetId="7" r:id="rId10"/>
    <sheet name="过程记录" sheetId="8" r:id="rId11"/>
  </sheets>
  <calcPr calcId="191029"/>
</workbook>
</file>

<file path=xl/comments1.xml><?xml version="1.0" encoding="utf-8"?>
<comments xmlns="http://schemas.openxmlformats.org/spreadsheetml/2006/main">
  <authors>
    <author>tc={9D82464F-3651-4AA6-B1A0-8824F4079E99}</author>
    <author>tc={E65F9C57-00E2-4969-8277-566CBD459A1A}</author>
  </authors>
  <commentList>
    <comment ref="B36" authorId="0">
      <text>
        <r>
          <t>下单即交付，首批量充足供应销售</t>
        </r>
      </text>
    </comment>
    <comment ref="B33" authorId="1">
      <text>
        <r>
          <t>软件预发布（软件、小批量设备都准备好），用于开放PoC测试和前三单交付</t>
        </r>
      </text>
    </comment>
  </commentList>
</comments>
</file>

<file path=xl/sharedStrings.xml><?xml version="1.0" encoding="utf-8"?>
<sst xmlns="http://schemas.openxmlformats.org/spreadsheetml/2006/main" count="520" uniqueCount="520">
  <si>
    <t/>
  </si>
  <si>
    <t>开发经理</t>
  </si>
  <si>
    <t>开发版本经理</t>
  </si>
  <si>
    <t>测试版本经理</t>
  </si>
  <si>
    <t>风险跟踪记录 ——&gt;</t>
  </si>
  <si>
    <t>风险初始状态信息说明</t>
  </si>
  <si>
    <t>第1周</t>
  </si>
  <si>
    <t>第2周</t>
  </si>
  <si>
    <t>第3周</t>
  </si>
  <si>
    <t>第4周</t>
  </si>
  <si>
    <t>第5周</t>
  </si>
  <si>
    <t>第6周</t>
  </si>
  <si>
    <t>第7周</t>
  </si>
  <si>
    <t>第8周</t>
  </si>
  <si>
    <t>第9周</t>
  </si>
  <si>
    <t>第10周</t>
  </si>
  <si>
    <t>第11周</t>
  </si>
  <si>
    <t>第12周</t>
  </si>
  <si>
    <t>第13周</t>
  </si>
  <si>
    <t>第14周</t>
  </si>
  <si>
    <t>第15周</t>
  </si>
  <si>
    <t>第16周</t>
  </si>
  <si>
    <t>编号</t>
  </si>
  <si>
    <t>风险类别</t>
  </si>
  <si>
    <t>发生概率</t>
  </si>
  <si>
    <t>影响结果</t>
  </si>
  <si>
    <t>级别</t>
  </si>
  <si>
    <t>规避措施</t>
  </si>
  <si>
    <t>应急措施</t>
  </si>
  <si>
    <t>风险状态</t>
  </si>
  <si>
    <t>识别时间</t>
  </si>
  <si>
    <t>责任人</t>
  </si>
  <si>
    <t>开发经理审核</t>
  </si>
  <si>
    <t>审核时间</t>
  </si>
  <si>
    <t>应对措施</t>
  </si>
  <si>
    <t>当前状态</t>
  </si>
  <si>
    <t>计划风险</t>
  </si>
  <si>
    <t>市场因素和产品发布日期有矛盾，如不在2月1日前协调完毕，会导致无法按时发布</t>
  </si>
  <si>
    <t>已关闭</t>
  </si>
  <si>
    <t>风险内容已审核</t>
  </si>
  <si>
    <t>人员风险</t>
  </si>
  <si>
    <t>项目组无人了解AA技术，如果3月1日前不解决，会导致XX模块开发工作进度延迟</t>
  </si>
  <si>
    <t>缓解：本周让xx去研究AA技术，下周开始介入XX模块开发工作</t>
  </si>
  <si>
    <t>IPD阶段</t>
  </si>
  <si>
    <t>关键里程碑</t>
  </si>
  <si>
    <t>责任人角色</t>
  </si>
  <si>
    <t>计划工期/Day</t>
  </si>
  <si>
    <t>实际工期/Day</t>
  </si>
  <si>
    <t>前置任务</t>
  </si>
  <si>
    <t>准入标准</t>
  </si>
  <si>
    <t>准出标准</t>
  </si>
  <si>
    <t>计划开始时间</t>
  </si>
  <si>
    <t>计划完成时间</t>
  </si>
  <si>
    <t>实际开始时间</t>
  </si>
  <si>
    <t>实际完成时间</t>
  </si>
  <si>
    <t>周进展跟踪</t>
  </si>
  <si>
    <t>DCP2-1
TR1-规划基调</t>
  </si>
  <si>
    <t>规划基调</t>
  </si>
  <si>
    <t>规划</t>
  </si>
  <si>
    <t xml:space="preserve">产线OKR导出的规划项
OR系统月度导入
</t>
  </si>
  <si>
    <t>市场洞察过程信息
市场洞察结论
规划基调（对应《项目规划表》的商业分析部分或charter的立项报告）
规划基调评审结果（邮件）</t>
  </si>
  <si>
    <t>DCP2-2
TR2-charter开发&amp;规划表</t>
  </si>
  <si>
    <t>charter开发</t>
  </si>
  <si>
    <t>规划基调评审结果（邮件）
CDT开工会</t>
  </si>
  <si>
    <t>charter文件+签字表</t>
  </si>
  <si>
    <t>DCP3
TR2A-用户+系统需求</t>
  </si>
  <si>
    <t>用户+系统需求</t>
  </si>
  <si>
    <t>规划&amp;开发</t>
  </si>
  <si>
    <t xml:space="preserve">
产品规划表
charter文件+签字表
</t>
  </si>
  <si>
    <t>DCP3
TR3-1-总体设计</t>
  </si>
  <si>
    <t>总设设计（硬件）</t>
  </si>
  <si>
    <t>硬件开发</t>
  </si>
  <si>
    <t>总设设计（软件）</t>
  </si>
  <si>
    <t>软件开发</t>
  </si>
  <si>
    <t>PDT开工会</t>
  </si>
  <si>
    <t>完整项目计划表
项目风险管理表
阶段的审计报告（电子流）
跨体系计划表（更新）
系统需求的需求澄清
总体设计
预研报告书
缺陷预防计划表
设计checklist
评分表
合入版本设计策略说明书</t>
  </si>
  <si>
    <t>DCP3
TR3-2-总体测试策略</t>
  </si>
  <si>
    <t>总体测试策略（硬件）</t>
  </si>
  <si>
    <t>1、硬件测试策略：
包含时间计划，人员安排，测试用例，测试指标，硬件调试用例</t>
  </si>
  <si>
    <t>总体测试策略（软件）</t>
  </si>
  <si>
    <t>完整项目计划表
项目风险管理表
阶段的审计报告（电子流）
跨体系计划表更新
软件总体测试策略
硬件测试策略</t>
  </si>
  <si>
    <t>DCP3
TR4-模块设计</t>
  </si>
  <si>
    <t>硬件模块设计</t>
  </si>
  <si>
    <t>硬件详细设计评审报告/记录</t>
  </si>
  <si>
    <t>1、样机生产BOM
2、样机原理图SCH
3、样机PCB GERBER
4、样机PCB EQ工程确认单
5、样机结构图纸
6、样机发版评审报告/记录</t>
  </si>
  <si>
    <t>软件模块设计</t>
  </si>
  <si>
    <t>信锐第一版硬件测试EVT</t>
  </si>
  <si>
    <t>总体设计
总体测试策略</t>
  </si>
  <si>
    <t>阶段的审计报告（电子流）
设计场景
模块设计文档
开发设计checklist
评分表
自动化方案设计
测试用例设计
DFX方案设计
稳定性方案设计
选型指导方案
测试设计checklist</t>
  </si>
  <si>
    <t>DCP3
TR4-一版样机生产阶段</t>
  </si>
  <si>
    <t>一版样机生产阶段</t>
  </si>
  <si>
    <t>发版审核报告</t>
  </si>
  <si>
    <t>单板调试阶段</t>
  </si>
  <si>
    <t>一版样机生产回板</t>
  </si>
  <si>
    <t>软件适配包开发</t>
  </si>
  <si>
    <t>1，一版样机到位
2，硬件原理图
3，GPIO定义表
4，芯片规格书
5，CPLD定义描述表
6，软硬件接口文档</t>
  </si>
  <si>
    <t>软件适配包输出</t>
  </si>
  <si>
    <t>DCP3
TR4-样机
EVT/DVT（若有）阶段</t>
  </si>
  <si>
    <t>供应商第一版硬件测试EVT</t>
  </si>
  <si>
    <t>硬件测试</t>
  </si>
  <si>
    <t>JDM执行：
1、产测包开发交付
2、《产测需求规格书》输出
3、产测包产线问题协助</t>
  </si>
  <si>
    <t>硬件调试报告、
TD列表
热测试用例+报告、
风扇控制策略文档、
噪声测试报告、
结构设计文件、
包材设计文件（提交后2天内审核）、
SI,
PI,
EMC,
安规，
功能，机械，环境，
软硬件联合测试报告、
TR4评审报告、
风险管理表</t>
  </si>
  <si>
    <t>硬件调试报告、
TD列表
热测试用例+报告、
风扇控制策略文档、
噪声测试报告、
结构设计文件、
包材设计文件（提交后2天内审核）、
SI,
PI,
EMC,
安规，
功能，机械，环境，
软硬件联合测试报告、
TR4评审报告、
风险管理表
1，硬件测试审核测试报告通过
2，包材设计文件结构工程师审核通过
成本分析刷新表</t>
  </si>
  <si>
    <t>硬件开发（改版）</t>
  </si>
  <si>
    <t>电子料BOM本地化</t>
  </si>
  <si>
    <t>硬件开发&amp;采购</t>
  </si>
  <si>
    <t>硬件改版测试</t>
  </si>
  <si>
    <t>TD列表
风险管理表</t>
  </si>
  <si>
    <t>软件产测包开发</t>
  </si>
  <si>
    <t>产测需求：
《产测需求规格书》</t>
  </si>
  <si>
    <t>软件研发自测达标（阻塞性问题清零）</t>
  </si>
  <si>
    <t>信锐第二版硬件测试EVT</t>
  </si>
  <si>
    <t>OEM执行：
1、产测包开发交付
2、《产测需求规格书》输出
3、产测包产线问题协助</t>
  </si>
  <si>
    <t>结构件开模（壳、散热片、屏蔽罩、支架）</t>
  </si>
  <si>
    <t>结构工程师&amp;采购</t>
  </si>
  <si>
    <t>第二版硬件测试DVT测试完成</t>
  </si>
  <si>
    <t>T0-TN 试模签样（照片）</t>
  </si>
  <si>
    <t>DCP3
TR4-编码</t>
  </si>
  <si>
    <t>编码</t>
  </si>
  <si>
    <t>软件</t>
  </si>
  <si>
    <t>设计文档
设计阶段电子流</t>
  </si>
  <si>
    <t>自测用例
编码
自测用例执行
单元测试报告</t>
  </si>
  <si>
    <t>DCP3
TR4A-联调</t>
  </si>
  <si>
    <t>联调</t>
  </si>
  <si>
    <t>自测用例执行
代码审查报告
单元测试报告
代码扫描
内存泄漏报告</t>
  </si>
  <si>
    <t>转侧审计报告（电子流）
BVT用例执行
关键性能达标
需求检视
代码审查报告
覆盖率报告
自动化用例编写
代码扫描
内存泄漏报告
安全扫描报告
测试执行策略
前期BUG闭环
测试环境准备
测试工具验收
自动化冒烟测试
前期质量分析</t>
  </si>
  <si>
    <t>硬件</t>
  </si>
  <si>
    <t>TD回归验证</t>
  </si>
  <si>
    <t>TD回归验证
风险管理表</t>
  </si>
  <si>
    <t>收集最终如下资料并组织TR4A评审
1、小批量生产BOM
2、小批量原理图SCH
3、小批量PCB GERBER
4、小批量PCB EQ工程确认单
5、小批量结构图纸
6、小批量发版评审报告/记录
7、小批量固件程序
8、小批量工艺文档
9、TR4-A评审终审报告/记录</t>
  </si>
  <si>
    <t>DCP3
TR5-集成</t>
  </si>
  <si>
    <t>集成测试</t>
  </si>
  <si>
    <t>转侧审计报告（电子流）
1、小批量设备到库
1，小批量验收报告</t>
  </si>
  <si>
    <t>TP用例全部闭环
DFX测试通过
缺陷全部闭环
模块质量分析
自动化执行通过</t>
  </si>
  <si>
    <t>DCP3
TR5-完成小批量(PVT)
SIT验证</t>
  </si>
  <si>
    <t>硬件研发定型
完成SDV测试
DVT（若有）
可进入小批量</t>
  </si>
  <si>
    <t>TD回归验证完成</t>
  </si>
  <si>
    <t>小批量启动备料（关键电子物料）</t>
  </si>
  <si>
    <t>采购</t>
  </si>
  <si>
    <t>1，第二版硬件测试DVT测试完成
2，备料邮件通知</t>
  </si>
  <si>
    <t>1，电子物料齐料时间
2，电子物料成本分析刷新表</t>
  </si>
  <si>
    <t>小批量启动备料（整机物料）</t>
  </si>
  <si>
    <t>1，Bom表输出
2，第二版硬件测试DVT测试完成
3，备料邮件通知</t>
  </si>
  <si>
    <t>1，整机物料齐料时间（交期）
2，整机物料成本分析刷新表
3，整机物料到库</t>
  </si>
  <si>
    <t>小批量上线</t>
  </si>
  <si>
    <t>采购&amp;硬件研发</t>
  </si>
  <si>
    <t>1，产线资源
2，小批量备料齐料
3，产测包测试正常</t>
  </si>
  <si>
    <t>1、小批量设备到库
2、试产报告总结</t>
  </si>
  <si>
    <t>小批量验收</t>
  </si>
  <si>
    <t>TR4-A评审终审报告</t>
  </si>
  <si>
    <t>FAI报告、
技术总结报告、入库检验规范、DOA分析表格、最终版硬件测试报告、TR5评审报告
首批量物料信息跟踪
量产报价单
生产计划表
《项目风险管控表》闭环</t>
  </si>
  <si>
    <t>DCP3
TR5A-系统</t>
  </si>
  <si>
    <t>系统测试</t>
  </si>
  <si>
    <t>TP用例全部闭环
DFX测试通过
缺陷全部闭环
模块质量分析
自动化执行通过TP用例全部闭环
DFX测试通过
缺陷全部闭环
模块质量分析
自动化执行通过</t>
  </si>
  <si>
    <t>发布项测试通过
稳定性测试通过
系统测试报告</t>
  </si>
  <si>
    <t>DCP4-5
TR6-版本预发布</t>
  </si>
  <si>
    <t>版本Beta测试</t>
  </si>
  <si>
    <t>版本预发布</t>
  </si>
  <si>
    <t>预发布审计报告
预发布通知
项目度量数据收集
项目复盘报告</t>
  </si>
  <si>
    <t>DCP6
TR7-版本正式发布</t>
  </si>
  <si>
    <t>量产备料</t>
  </si>
  <si>
    <t>1，小批量验收报告</t>
  </si>
  <si>
    <t>1，量产备料到库</t>
  </si>
  <si>
    <t>设备量产</t>
  </si>
  <si>
    <t>1、量产设备到库</t>
  </si>
  <si>
    <t>版本正式发布</t>
  </si>
  <si>
    <t>运营</t>
  </si>
  <si>
    <t>1、量产设备到库
2、预发布审计报告</t>
  </si>
  <si>
    <t>1、正式发布通知</t>
  </si>
  <si>
    <t>项目问题跟踪表</t>
  </si>
  <si>
    <t>处理措施</t>
  </si>
  <si>
    <t>状态</t>
  </si>
  <si>
    <t>发现时间</t>
  </si>
  <si>
    <t>打开</t>
  </si>
  <si>
    <t>做项目复盘的时候，可能有必要拉上 供应商的人过来我们这，一起做复盘和改进。</t>
  </si>
  <si>
    <t>各个子团队的风险管理表要合成一个</t>
  </si>
  <si>
    <t>项目管理团队内部对其活动要定义好</t>
  </si>
  <si>
    <t>准入准出的规范，是一个可以检视的东西（文档、邮件、报告、照片、分析报告）等，不能是口头通知、聊天记录</t>
  </si>
  <si>
    <t>说明：基础风险库列举了项目开发过程中常见的一些风险、识别方法、和规避方法。其中识别方法为NA的表示无法识别，风险出现后只能采用应急措施</t>
  </si>
  <si>
    <t>类型</t>
  </si>
  <si>
    <t>风险</t>
  </si>
  <si>
    <t>识别方法</t>
  </si>
  <si>
    <t>规避方法(应急措施)</t>
  </si>
  <si>
    <t>需求风险</t>
  </si>
  <si>
    <t>需求已基线化,研发自身理解错误出现的变更</t>
  </si>
  <si>
    <t>NA</t>
  </si>
  <si>
    <t>开发人员和提出人提前交流</t>
  </si>
  <si>
    <t>需求已基线化,来自市场(客户)的变更</t>
  </si>
  <si>
    <t>严格走变更流程</t>
  </si>
  <si>
    <t>需求定义欠佳,进一步的定义会扩展项目范畴</t>
  </si>
  <si>
    <t>定义开发需求，研发和测试可以对需求进行一些迭代修改</t>
  </si>
  <si>
    <t>有合入其它版本或者问题</t>
  </si>
  <si>
    <t>在版本规划、需求分析的时候，搞清楚这个版本都有哪些合入其它版本、其它模块、问题等</t>
  </si>
  <si>
    <t>提前熟悉并严格执行合入流程，在合入计划跟踪表里体现需求匹配检视、对现版本模块的关联影响、测试建议等。</t>
  </si>
  <si>
    <t>预研代码直接作为正式功能合入</t>
  </si>
  <si>
    <t>有预研项，准备后期合入</t>
  </si>
  <si>
    <t>对于预研代码不能直接合入正式版本，合入之前对代码要进行整理、测试，达到代码完成标准之后再合入。
且合入后不能直接拿去做客户测试，预研代码往往没经过严格测试和审核</t>
  </si>
  <si>
    <t>有针对网络应用的需求点</t>
  </si>
  <si>
    <t>分析是否有网络应用变化很快的情况。</t>
  </si>
  <si>
    <t>如有需持续跟进，不能等待最后阶段再去跟进分析，那时候需要返工的工作量就会很多，要定时跟进，确保这些应用的更新可以得到及时解决，减少后面返工。</t>
  </si>
  <si>
    <t>需求已基线化,来自上级的变更</t>
  </si>
  <si>
    <t>对需求点的使用场景(部署、使用习惯、业务流程)不清楚</t>
  </si>
  <si>
    <t>项目经理与写用户需求的同事、客户进行提前交流。然后进行相关人员培训。</t>
  </si>
  <si>
    <t>合入版本、功能未经过流程，工作量超过变更的标准</t>
  </si>
  <si>
    <t>专家法+三点法评估</t>
  </si>
  <si>
    <t>据实评估，要么不合该功能，另启版本合入。如果公司领导要求何入，则必须对工作量做个公正的变更——及时超过变更标准。</t>
  </si>
  <si>
    <t>有一定复杂度模块存在。
比如：1.AD某版本对运维统计复杂度估计不足，当事人对此因难估计不足，过于乐观
2.AD某版本对海量CRL文件下载复杂度估计不足，没有进行预研，认为定制实现了，正式版本照搬过来就可以，其实不然。</t>
  </si>
  <si>
    <t>和架构师、开发经理一起识别模块和合入项的复杂度</t>
  </si>
  <si>
    <t>任何纳入版本的稍有复杂度的模块都需要进行预研</t>
  </si>
  <si>
    <t>性能风险，系统需求评审后要求的性能指标太高</t>
  </si>
  <si>
    <t>需求评审后性能指标被提升</t>
  </si>
  <si>
    <t>先提交系统需求基线，非关键性能测试，等转集成后再确认和优化</t>
  </si>
  <si>
    <t>需求确定得很晚，阻塞设计方案确定</t>
  </si>
  <si>
    <t xml:space="preserve">用户需求不能如期完成
</t>
  </si>
  <si>
    <t>规范方法：每个版本定下市场预期以后，确定一个需求交付时间，并且由开发经理每周检视是否存在风险，定期提前提醒规划人员
应急措施：先实现比较确定的需求</t>
  </si>
  <si>
    <t>安全问题修改的工作量估算和需求变更评估</t>
  </si>
  <si>
    <t>发现安全漏洞问题需要修改</t>
  </si>
  <si>
    <t>与管理层讨论沟通需求和工作量问题</t>
  </si>
  <si>
    <t>需求确定得很晚， 阻塞设计方案确定</t>
  </si>
  <si>
    <t>用户需求不能如期完成</t>
  </si>
  <si>
    <t>规避方法：每个版本定下市场预期以后，确定一个需求交付时间，并且由开发经理每周检视是否存在风险，定期提前提醒规划人员
应急措施：先实现比较确定的需求</t>
  </si>
  <si>
    <t>需求检视会，变更内容导致返工或工作量变大</t>
  </si>
  <si>
    <t>需求检视会开得比较晚</t>
  </si>
  <si>
    <t>需求检视会应尽早开，界面功能应该尽量靠前实现，使能够提前看到效果及早开需求检视会</t>
  </si>
  <si>
    <t xml:space="preserve">需求评审要识别并邀请关键评审专家 如：高层，对需求最熟悉的市场客服和研发人员（AF某项目需求主要是符合某些标准的需求，
但该版本相关需求评审，没有让 此前的一直处理国标问题的接口人参加会议评审，
导致需求阶段没有拿到最完整的该标准的资料。
导致后期产生了较大需求变更，需要项目组通过更多的加班弥补此前的失误。） 
</t>
  </si>
  <si>
    <t>此前有其他人跟踪或熟悉过这个需求</t>
  </si>
  <si>
    <t>内部消化可能产生的需求变化</t>
  </si>
  <si>
    <t>敏捷版本，需求说明书的撰写花费时间长，评审晚，导致需求的不明确，不能做迭代的计划，由于项目进度，实际未评审的需求已经在编码测试了，存在风险。</t>
  </si>
  <si>
    <t>敏捷版本，需求文档需要花较长时间完成</t>
  </si>
  <si>
    <t>规避措施：将部分能确定的需求先进行评审，无需等到完整的需求文档写好再评审。这样已确定且评审过的需求就能先进行设计编码测试了。</t>
  </si>
  <si>
    <t>系统需求中定义的不是很明确，很多需求是在做的过程中细化的。</t>
  </si>
  <si>
    <t>A、系统需求中定义的不是很明确，很多需求是在做的过程中细化的。
B、接触行业领头羊的产品、客户，产品易用性等不能和领头羊相比有太大的差距。</t>
  </si>
  <si>
    <t>1、主管和项目经理每天抽一个小时用来做体验，发现需求不符合的地方记BUG到TD让对应的同事修改。
2、编码结束之前安排一轮内部（研发+测试）的体验，让大家都用后提体验性问题。
3、联调开始1周之后让UED进行体验，联调结束之前发给RDM体验。
4、编码结束之前完成一轮评估检视，看是否有遗漏掉的需求</t>
  </si>
  <si>
    <t>计划、资源全凭客户或上层领导口头指令,并且不完全一致</t>
  </si>
  <si>
    <t>如果资源计划没有经过科学的评估，而是凭感觉定的，则存在此风险</t>
  </si>
  <si>
    <t>计划、资源必须书面化，并制定相关的流程。资源和计划的制定应该有规范的评估体系。</t>
  </si>
  <si>
    <t>产品、特性的规模(代码行数、功能点、与前一产品规模的百分比)比估计的要大</t>
  </si>
  <si>
    <t>找专家来评估，是否有更简单的方法实现需求。</t>
  </si>
  <si>
    <t>涉足不熟悉的产品领域,花费在设计和实现上的时间比预期的要多</t>
  </si>
  <si>
    <t>当需求定义完成，则开始评估需要采用的技术方案，如果项目组没有技术领域的专家，则存在此风险</t>
  </si>
  <si>
    <t>提前研究竞争对手的实现方法，更换技术方案、提前培训、砍需求。</t>
  </si>
  <si>
    <t>对人均效益的评估太乐观</t>
  </si>
  <si>
    <t>参考历史经验值评估，如果评估的人均效益比历史基线值高（20%？）则存在此风险</t>
  </si>
  <si>
    <t>增加资源投入；如允许，还可以调整计划</t>
  </si>
  <si>
    <t>市场因素和产品发布日期有矛盾</t>
  </si>
  <si>
    <t>加人；加班;砍其他次要需求；</t>
  </si>
  <si>
    <t>合入类代码需要考虑人员技能</t>
  </si>
  <si>
    <t>对于有合入大量代码的版本</t>
  </si>
  <si>
    <t>组织风险</t>
  </si>
  <si>
    <t>第三方(外包、供应商)的工作时间比预期的延长</t>
  </si>
  <si>
    <t>当第三方工作时间可能成为项目必经环节，且一旦其延期，则项目其他过程无法进行。则存在此风险</t>
  </si>
  <si>
    <t>在制定项目计划的时候，第三方工作时间，必须比实际需求时间提前至少（20%？）；且当第三方时间经过规定时间的80%就必须开始盯着第三方实时检查。</t>
  </si>
  <si>
    <t>资源的预算中途削减(未到承诺的资源、其它项目的人员未按期，完成而加入等),打乱项目计划</t>
  </si>
  <si>
    <t>如果项目的关键路径，需要依赖其他项目完成后抽调人员，或者依赖不可控的资源（比如要求某些特定开发、测试工具）</t>
  </si>
  <si>
    <t>资源应该在项目开始之前定义清楚，且应该消除资源的不可控性（比如，需求完成之后，开始编码之前就应该准备好所有的开发环境，测试设备）。对于人员的调配，如果过渡依靠其他项目的人员输出，则项目经理，必须预留风险时间，且如果在需求评审完成之前20%的时间，所依赖的人员还未从其他项目中，则必须在需求评审时，调整发布时间。</t>
  </si>
  <si>
    <t>测试设备或仪器不到位、中途被拿走</t>
  </si>
  <si>
    <t>指该设备是借用、试用这样的情况，中途在测试计划未完成的时候被拿走，导致有些测试用例无法执行</t>
  </si>
  <si>
    <t>协调，向上级提风险，口头沟通。
如果还是没办法，则协调进度变更。</t>
  </si>
  <si>
    <t>开发、测试工作的开展，受制于某种测试仪，此测试仪到位的时间不确定，版本工作可能无法按计划开展</t>
  </si>
  <si>
    <t>1.在定市场预期的时候最好就明确下来
2.优先处理不依赖于紧缺资源的工作
3.提出跨部门合作来督促对方的及时性</t>
  </si>
  <si>
    <t>提前做好准备工作，在有限的时间里充分利用好紧缺资源</t>
  </si>
  <si>
    <t>跨部门合作风险</t>
  </si>
  <si>
    <t>需求说明书中有需要其它部门配合的需求项</t>
  </si>
  <si>
    <t>跨部门协作制度</t>
  </si>
  <si>
    <t>国际化页面翻译专业化程度低，较山寨，后续修改存在进度风险</t>
  </si>
  <si>
    <t>需要翻译的英文版本</t>
  </si>
  <si>
    <t>给翻译人员部分竞争对手相关功能英文版面参考
定期组织人员进行专业化监视，组织国际市场人员进行专业化检视</t>
  </si>
  <si>
    <t>管理风险</t>
  </si>
  <si>
    <t>管理层评审、决策、安排市场人员调查的周期比预期的时间长</t>
  </si>
  <si>
    <t>顺延发布时间。</t>
  </si>
  <si>
    <t>性能改进相关的版本</t>
  </si>
  <si>
    <t>项目沙盘中做出如下规划：
1.早在设计找出一个专职人员搭建混合流量模型，在开发编码时，并行搭建
2.性能联调提前于整体功能联调，并对需要加入联调的模块提前规划，并反应在编码计划中
3.对参加性能联调的模块，加入BVT案例执行
4.开发指派性能联调负责人</t>
  </si>
  <si>
    <t>有较多的历史遗留问题会被发现，会占用当前版本的资源，影响项目进度</t>
  </si>
  <si>
    <t>依据产品线历史数据和前面版本的质量情况</t>
  </si>
  <si>
    <t>寻求第一作者的帮助，防止投入产出不成正比。
如果不行，最好找技术指导经理带人去改，找技术指导经理的时候挑技术较为全面的人。</t>
  </si>
  <si>
    <t>项目内部计划晚于市场预期，认为可以通过协调的方式来调整市场预期延后，但是没有得到管理层干系人的确认</t>
  </si>
  <si>
    <t>说服调整进度，或者尽可能少延迟</t>
  </si>
  <si>
    <t>项目周会开始采用分小组的形式，组员抱怨比较多：不了解版本情况，很多事情是组长一人决策，缺少讨论，感觉一个整体被拆分，有可能存在无归属感问题</t>
  </si>
  <si>
    <t>对于大版本采用分小组周会形式的均有此问题。</t>
  </si>
  <si>
    <t>采用开整体会议的方法，会议过程让每个人都有发言的机会，并记录大家提出的意见，有80%的意见要现场给出措施落实的负责人，并在下一次会议公布措施落实情况</t>
  </si>
  <si>
    <t>管理层做出了打击项目组织积极性的决定</t>
  </si>
  <si>
    <t>与管理层沟通，补救积极性</t>
  </si>
  <si>
    <t xml:space="preserve">PDCA闭环检视工作:新员工需要提高闭环工作能力，做好工作日常记录 </t>
  </si>
  <si>
    <t>检视和敦促新员工形成闭环工作习惯，持续推进PDCA工作方法。</t>
  </si>
  <si>
    <t>作为先决条件的任务(如培训及其他项目)不能按时完成</t>
  </si>
  <si>
    <t>同3.2</t>
  </si>
  <si>
    <t>测试前期人员投入不足，或者介入时间比较晚，赶不上研发进度</t>
  </si>
  <si>
    <t>规划评审，用户需求、系统需求、设计等阶段里程碑总结时候识别</t>
  </si>
  <si>
    <t>研发人员和管理层之间关系不佳,导致决策缓慢,影响全局</t>
  </si>
  <si>
    <t>部门主管安排工作的时候识别</t>
  </si>
  <si>
    <t>部门主管需要在安排工作的时候做人员匹配工作。如果必须把关系不佳的人员放到同一个项目组，则必须事先沟通清楚，打通环节。</t>
  </si>
  <si>
    <t>某些人员需要更多的时间适应还不熟悉领域、工具和环境</t>
  </si>
  <si>
    <t>需求定义期间，项目经理应该与具体每个开发人员沟通工具和环境的熟悉程度，当项目组有同事提出对某些关键因素有问题的时候，则存在此风险</t>
  </si>
  <si>
    <t>提前培训；调整人员工作分配，让熟悉的人做熟悉的事情；更换其他可行的技术方案。</t>
  </si>
  <si>
    <t>新加入的开发人员,需进行培训并逐渐与现有成员沟通,从而使现有成员的工作效率降低</t>
  </si>
  <si>
    <t>有新员工加入，即存在此风险</t>
  </si>
  <si>
    <t>没有转正的新员工，制定项目计划，必须针对此情况，对具体人员预留15%（？）。</t>
  </si>
  <si>
    <t>由于项目组成员之间发生冲突,导致沟通不畅、设计欠佳、接口出现错误和额外的重复工作</t>
  </si>
  <si>
    <t>一旦员工之前有冲突，则一定存在此风险</t>
  </si>
  <si>
    <t>项目经理或者部门主管负责沟通协调，如果无法协调，则考虑调离其中一个的工作岗位。</t>
  </si>
  <si>
    <t>没有找到项目急需的具有特定技能的人</t>
  </si>
  <si>
    <t>项目不能依赖没有招到的人，需求评审之前如果人还没找到，则不划入版本需求。</t>
  </si>
  <si>
    <t>项目经理、重要工作的人员选择有问题</t>
  </si>
  <si>
    <t>更高层、或有经验 的人员参与项目</t>
  </si>
  <si>
    <t>中途离职</t>
  </si>
  <si>
    <t>任何项目均存在此风险</t>
  </si>
  <si>
    <t>对关键岗位做好备份：比如结伴设计、结伴编程。</t>
  </si>
  <si>
    <t>核心模块人员抽离</t>
  </si>
  <si>
    <t>核心模块需要保持人员稳定，后期也证明了只要保证核心模块的负责人稳定，问题可以迅速收敛；如要从核心模块抽人超过2人天，就要及时列入风险并通知主管，并在条件允许的情况下适当的补充人力来保证版本的正常发布。</t>
  </si>
  <si>
    <t>有工作、实现关联的责任人未有效沟通</t>
  </si>
  <si>
    <t>如果模块间有关联则存在此风险</t>
  </si>
  <si>
    <t>结伴编程、结伴设计</t>
  </si>
  <si>
    <t>由于长期加班大家都比较疲惫，但项目状况还需要大家再努力一下，得帮助大家调整状态</t>
  </si>
  <si>
    <t>1、项目的状况给所有同事讲清楚（延期、风险等），并制定合理的短期目标（每周计划可达成）。 如果项目需要加班，主管和版本经理带头加班。
2、给大家讲清楚产品的发展方向，产品的使用前景，让大家知道自己做的事情是有意义的，消除大家的顾虑。
3、组织一些部门活动，比如买KFC或者在RTX上活跃一下气氛，缓解大家加班的压力。</t>
  </si>
  <si>
    <t>开发环境风险</t>
  </si>
  <si>
    <t>设备不足</t>
  </si>
  <si>
    <t>项目计划里面定义清晰，且公司应该按时提供</t>
  </si>
  <si>
    <t>开发、测试工具未及时到位，或者工具不如期望的那样有效</t>
  </si>
  <si>
    <t>如果项目计划中有依赖未曾到位和未曾使用过的工具，则存在此风险</t>
  </si>
  <si>
    <t>尽可能不使用存在风险的工具，在决定使用有风险的工具之前，必须做严格的选型预研；且在需求评审完成后，立即着手工具的准备，并做好对具体使用者的培训。</t>
  </si>
  <si>
    <t>未及时准备进入联调的测试环境</t>
  </si>
  <si>
    <t>没提前准备。会导致影响联调进度（特别是对于资源较难协调，或者环境较难搭建的项目）。</t>
  </si>
  <si>
    <t>将环境搭建作为进入联调的前置任务列入计划。</t>
  </si>
  <si>
    <t>性能验证环境紧张，需要到测试这边借环境验证</t>
  </si>
  <si>
    <t>性能改进型版本</t>
  </si>
  <si>
    <t>措施借鉴：AD5.3版本，合入性能，磁盘改写，显卡都比较顺利，没有像以前出现较多合入问题；
主要原因在于，5.3开发有一套自己的性能环境，使用方便，自己改动了一小部分之后都会自己先在设备上验证通过，再继续修改，可以及时把握风险，不像以前需要到测试这边借环境验证，往往是改了很多，才验证一次，导致问题积累的也比较多</t>
  </si>
  <si>
    <t>环境搭建比预计的困难</t>
  </si>
  <si>
    <t>如果测试环境的搭建依赖一些未确定的因素（如使用不曾使用过的工具，或拓扑环境非常复杂），则存在这个风险</t>
  </si>
  <si>
    <t>预留风险时间，且在项目计划中做好计划。</t>
  </si>
  <si>
    <t>客户风险</t>
  </si>
  <si>
    <t>客户对于定制交付产品不满意,要求重新设计和重做，或者定制需求的沟通出现问题，时间比预期长。  影响到版本开发</t>
  </si>
  <si>
    <t>如果定制版本未严格执行流程，则存在此风险</t>
  </si>
  <si>
    <t>严格执行现有流程即可规避</t>
  </si>
  <si>
    <t>对来自客户的需求，未完全理解，做出来的东西可能不是客户想要的</t>
  </si>
  <si>
    <t>在成品为销售前，所有版本均存在此风险</t>
  </si>
  <si>
    <t>在现有条件下，只能做好概念测试，和需求评审。如果集体决策失误，无解……</t>
  </si>
  <si>
    <t>产品风险</t>
  </si>
  <si>
    <t xml:space="preserve">要求与其他系统(如第三方认证、接入)或不受本项目组控制的系统相连,导致无法预料的设计、实现和测试工作
</t>
  </si>
  <si>
    <t>只要与不受控制的第三方结合均存在此问题。</t>
  </si>
  <si>
    <t>一、主流的需要我们去兼容的第三方系统，我们预先研究，搭建，测试。</t>
  </si>
  <si>
    <t xml:space="preserve">在不熟悉或未经检验的软件和硬件环境中运行所产生的未预料到的问题（如兼容性等)
</t>
  </si>
  <si>
    <t>如果产品需要运行在需求没有定义的环境中，则存在此风险</t>
  </si>
  <si>
    <t>如果在需求定义中没有定义该运行环境，则另启补丁版本支持或者定制版本。</t>
  </si>
  <si>
    <t>专家咨询时间有限</t>
  </si>
  <si>
    <t>专家投入时间有限，对于合入其它产品线原有功能的版本无法保证效果</t>
  </si>
  <si>
    <t>对于类似AC4.0安全桌面之类的较大合入类的专家咨询，鼓励申请跨部门协作，由专家所在部门直接出人到版本开展咨询和相关活动,由RDM协调。 需求要早早把这部分明确了，不能认为合入现成的，没什么风险</t>
  </si>
  <si>
    <t>多语言、多平台版本的规划和发布问题</t>
  </si>
  <si>
    <t>规避措施：规划时针对多语言、多平台版本做定义，发布时间和工作量允许的情况应尽量保持多语言、多平台同步发布。
应急措施：如工作量和发布时间无法达成多语言、多平台同步发布，应规划多语言、多平台版本独立开发，以不影响主版本的发布。</t>
  </si>
  <si>
    <t>依赖未成熟的技术将延长计划进度</t>
  </si>
  <si>
    <t>如果在项目中需要引入未成熟的技术，则存在此风险</t>
  </si>
  <si>
    <t>尽量不使用未成熟的技术。如果不可避免使用未成熟技术，则该风险无解。</t>
  </si>
  <si>
    <t>设计风险</t>
  </si>
  <si>
    <t>新增模块引入过多内存</t>
  </si>
  <si>
    <t>总体设计应该明确出 版本引入的内存占用是多少</t>
  </si>
  <si>
    <t>如果不在可控的范围应该换方案</t>
  </si>
  <si>
    <t>设计未考虑稳定性、性能等因素，也就是未按照目标任务书去设计</t>
  </si>
  <si>
    <t>如果设计没有做原型研究，则存在此风险。</t>
  </si>
  <si>
    <t>必须要求，重要模块的模块必须做原型研究（这个要求通常与项目进度有冲突）</t>
  </si>
  <si>
    <t>对需求理解不透、有误，导致设计出现偏差</t>
  </si>
  <si>
    <t>同1.1</t>
  </si>
  <si>
    <t>架构设计、总体设计存在问题，导致后续模块的设计无法实现，或者实现有困难（如接口定义不清楚）</t>
  </si>
  <si>
    <t>1、设计采用10%原则，进行项目的推进，关键点应该做demo研究
2、文档采用向下负责的原则，进行沟通。</t>
  </si>
  <si>
    <t>需求不可实现</t>
  </si>
  <si>
    <t>在设计阶段（或者系统需求阶段），应该对每个需求点做可行性评估，如果需求定义的范畴超过我们可控的范围（比如要求实现业界还未任何成功案例、或者在要求时间内所提供的资源不足以实现需求），则存在此风险</t>
  </si>
  <si>
    <t>砍需求。</t>
  </si>
  <si>
    <t>设计人员未从事过类似领域的设计，质量有问题或可预见</t>
  </si>
  <si>
    <t>如该人员未做过类似需求，则存在次风险</t>
  </si>
  <si>
    <t>预留风险时间、如果有人员可以调整则调整，如大家都不未从事过，则一定要预留风险时间。</t>
  </si>
  <si>
    <t>编码风险</t>
  </si>
  <si>
    <t>编码不完整，没实现所要求的功能</t>
  </si>
  <si>
    <t>对需求跟踪矩阵细化成案例，进行测试。</t>
  </si>
  <si>
    <t>有结构性改动。如线程结构的改动、其他流程改动、改动超过100行等</t>
  </si>
  <si>
    <t>项目经理每天关注大家的代码改动情况。还可以在做计划时如何识别这些，定一个措施出来。</t>
  </si>
  <si>
    <t>修改前先与项目组，技术专家等人员讨论得出解决方案。并在一段时间内（如1周,主要是考虑短时间内可能没有人有时间看），由技术专家及开发经理持续跟踪，看是否有其他更简单有效的方法, 修改BUG人员可以先修改并提前做测试，如果发现更好的方案由开发经理和技术专家共同决定是否做改进。
事后的话，上报后寻求帮助，让管理层和专家协助分析问题，寻求更好解决方案。</t>
  </si>
  <si>
    <t>模块实现不符合设计，逻辑有问题</t>
  </si>
  <si>
    <t>设计者负责审核编码者的代码，如果设计者同时也是编码者则交叉评。</t>
  </si>
  <si>
    <t xml:space="preserve">CGI改动可能会对自动化老功能影响，需要提前确定，采取最小的影响的方案 </t>
  </si>
  <si>
    <t>1.开发CGI的改动会对某些老功能案例有影响，需要提前预研明确开发改动点，确保最小改动案例；
2.测试提前介入开发CGI设计，熟悉哪些地方有改动，定下自动化修改方案，确保改动影响最小</t>
  </si>
  <si>
    <t>未经过流程要求的测试，提交测试部后质量很差</t>
  </si>
  <si>
    <t>执行好现有流程即可。</t>
  </si>
  <si>
    <t>过程风险</t>
  </si>
  <si>
    <t>前期的质量保证行为，所得到的数据、所执行的活动不真实,导致后期的重复工作</t>
  </si>
  <si>
    <t>Sqa检查</t>
  </si>
  <si>
    <t>专家咨询的效果风险</t>
  </si>
  <si>
    <t>指定阶段前开展多数情况并无内容咨询，平时却有可能有临时咨询需求</t>
  </si>
  <si>
    <t>鼓励在制定缺陷预防计划和平时有需要时进行专家咨询，可先由各部门开发经理协调，必要时由版本经理出门申请RDM协助协调</t>
  </si>
  <si>
    <t>产品线外该有的外部支持、评审等没落实</t>
  </si>
  <si>
    <t>现有流程有问题</t>
  </si>
  <si>
    <t>实时提出改进或者裁剪流程</t>
  </si>
  <si>
    <t>未按照流程进行开发活动</t>
  </si>
  <si>
    <t>Saq检查</t>
  </si>
  <si>
    <t>测试风险</t>
  </si>
  <si>
    <t>测试用例质量差</t>
  </si>
  <si>
    <t>1、如果前期需求评审的时候发现对模块了解不深入，则存在风险
2、如果用例工作大多由新员工负责，则存在风险；</t>
  </si>
  <si>
    <t xml:space="preserve">1、按流程进行用例的相关工作，并且前一阶段没完成，禁止进入下一个阶段的工作； </t>
  </si>
  <si>
    <t>2、安排培训，增加用例编写人员对模块的理解；</t>
  </si>
  <si>
    <t>3、安排用例工作较好的老员工负责；</t>
  </si>
  <si>
    <t>4、如果安排不过来，则安排老员工和新员工绑定，抽时间检查用例；</t>
  </si>
  <si>
    <t>测试人员的需求理解出现偏差</t>
  </si>
  <si>
    <t>1、如果测试人员中途参与测试，则存在风险；
2、如果开发的需求资料、文档不全面，则存在风险；</t>
  </si>
  <si>
    <t>1、参与测试之前，先安排开发对测试的培训工作；</t>
  </si>
  <si>
    <t>2、参与过前期开发评审的项目经理，和各测试人员明确各模块的原始需求；</t>
  </si>
  <si>
    <t>3、用例评审流程保证；</t>
  </si>
  <si>
    <t>发散测试时间不够</t>
  </si>
  <si>
    <t>1、如果计划中没有体现发散测试的时间，则存在风险；</t>
  </si>
  <si>
    <t>1、项目工作量计划中，需要细化每个模块的发散时间。至少占用例测试工作时间的15%。</t>
  </si>
  <si>
    <t>测试执行的覆盖率不足</t>
  </si>
  <si>
    <t>1、如果用例评审发现质量不好，则存在问题；
2、如果发散时间过少，则存在风险</t>
  </si>
  <si>
    <t>1、如果测试中途用例存在较多问题，则需安排用例整改后才能重新进行测试执行（重测）；</t>
  </si>
  <si>
    <t>2、计划发散测试时间，并在发散测试之前确定好发散思路和工作重点；定bug目标</t>
  </si>
  <si>
    <t>改动引发的bug偏高</t>
  </si>
  <si>
    <t>1、如果改bug人员不熟悉该模块、关联模块，则存在风险；
2、改动后自己不验证，则存在风险；</t>
  </si>
  <si>
    <t>1、bug修改后，安排熟悉模块的专家进行bug审核；并保证审查的时间、增加对审查的考核；</t>
  </si>
  <si>
    <t>2、不熟悉模块的人员在熟悉的人员指导下修改bug；</t>
  </si>
  <si>
    <t>3、每周进行数据统计，对出现问题的趋势进行评估，由上升苗头的模块/人分析出改进措施；</t>
  </si>
  <si>
    <t>4、改动的模块超过2个，则通知项目经理重点审查</t>
  </si>
  <si>
    <t>合入引发的bug偏高</t>
  </si>
  <si>
    <t>1、如果后期合入的改动较大或不稳定，则存在风险；
2、如果合入的问题的工作时间较少、或者合入的人员对改动不熟悉，则存在风险；
3、并行版本开发的时候，版本之间有差异，但需要合入共同的改动，则存在风险；</t>
  </si>
  <si>
    <t>1、合入后，安排熟悉模块的专家进行代码审核；</t>
  </si>
  <si>
    <t>2、避免安排不熟悉的人员进行代码的合入；</t>
  </si>
  <si>
    <t>3、合入之后，先内部验证，再提交测试；</t>
  </si>
  <si>
    <t>4、正式合入主包前，测试和开发两条线都开始测试</t>
  </si>
  <si>
    <t>开发改bug的速度太慢，甚至于赶不上发现bug的速度</t>
  </si>
  <si>
    <t>1、每周统计bug趋势，及时调整人员安排；</t>
  </si>
  <si>
    <t>2、避免安排开发主力改bug人员有其他工作，如技术支持；</t>
  </si>
  <si>
    <t>3、如果出现问题，则和上级协调资源。</t>
  </si>
  <si>
    <t>前期缺陷预防产出BUG不足</t>
  </si>
  <si>
    <t>1.组员学习产品线其他版本_缺陷预防效果分析，学习其它版本前期缺陷预防BUg找出共性问题 
2.提高新员工识别BUG能力，组织BUG review
3.测试持续做缺陷预防，开发人员单元测试BUG均要提上TD</t>
  </si>
  <si>
    <t>测试人员对版本相关的协议了解不深，对应用场景和测试过程中常见问题不了解</t>
  </si>
  <si>
    <t>1.内部开展协议知识培训，和测试培训
2.测试内部有经验的人员分享自己测试相关协议的经验</t>
  </si>
  <si>
    <t>新产品的版本质量控制不好
版本后期出现大量的改动引发bug，主要原因是模块耦合高，但bug改动人无法了解改动对相关模块影响，以及调用接口的特性，导致改动后引发大量的问题；同时，需求变动的改动，同样的因为耦合和不了解，引入新功能引发已稳定功能的问题</t>
  </si>
  <si>
    <t>新产品线的第一个开发项目，需求不确定性大，且组员对于新产品都不了解。</t>
  </si>
  <si>
    <t xml:space="preserve">1、找近两年开发新产品的项目相关人员了解质量差的根因，制定相对应的规避措施
2、前期和开发讨论模块解耦的问题
3、所有的接口有记录，方便其他组人员快速上手
</t>
  </si>
  <si>
    <t>集成测试后，针对基础设备环境测试人员不熟悉</t>
  </si>
  <si>
    <t>不要浪费时间，应直接反馈给开发版本经理，让版本经理协调相关人员即时处理，一般周期不要超过1个小时。</t>
  </si>
  <si>
    <t xml:space="preserve"> 纯软件项目</t>
  </si>
  <si>
    <t>产品线内软件开发</t>
  </si>
  <si>
    <t>常规版本</t>
  </si>
  <si>
    <t>质量版本</t>
  </si>
  <si>
    <t>精品化版本</t>
  </si>
  <si>
    <t>业务价值版本</t>
  </si>
  <si>
    <t>战略版本</t>
  </si>
  <si>
    <t>补丁版本</t>
  </si>
  <si>
    <t>跨产品线软件开发</t>
  </si>
  <si>
    <t>软硬件合作项目</t>
  </si>
  <si>
    <t>OEM软硬件开发</t>
  </si>
  <si>
    <t>ODM软硬件开发</t>
  </si>
  <si>
    <t>JDM 软硬件开发</t>
  </si>
  <si>
    <t>PCN变更&amp;ECN变更</t>
  </si>
  <si>
    <t>风险来源</t>
  </si>
  <si>
    <t>当前应对措施（对比初始的规避措施、应急措施，说明当前的措施）</t>
  </si>
  <si>
    <t>风险当前状态</t>
  </si>
  <si>
    <t>最后处理时间</t>
  </si>
  <si>
    <t>先看列头批注后再得到规避措施。  原本就该做的工作不能作为措施，比如“进行技术方案评审”这个措施不符要求，因为原本就会评审</t>
  </si>
  <si>
    <t>先看列头的批注后得到应急措施。
同样，原本该做的工作不能作为措施，要在此基础上或额外有具体行动措施</t>
  </si>
  <si>
    <t>风险库</t>
  </si>
  <si>
    <t>项目组</t>
  </si>
  <si>
    <t>SQA</t>
  </si>
  <si>
    <t>外部干系人</t>
  </si>
  <si>
    <t>决策分析</t>
  </si>
  <si>
    <t>头脑风暴</t>
  </si>
  <si>
    <t>其它</t>
  </si>
  <si>
    <t>已识别</t>
  </si>
  <si>
    <t>风险状态说明：</t>
  </si>
  <si>
    <t>已识别：</t>
  </si>
  <si>
    <t>风险刚刚被识别后的初始状态</t>
  </si>
  <si>
    <t>处理中：</t>
  </si>
  <si>
    <t>风险正处于规避阶段，规避措施已经启动</t>
  </si>
  <si>
    <t>已发生：</t>
  </si>
  <si>
    <t>风险规避失败，目前已经转化为问题</t>
  </si>
  <si>
    <t>应急处理：</t>
  </si>
  <si>
    <t>风险规避失败，目前已经启动应急措施</t>
  </si>
  <si>
    <t>已消除：</t>
  </si>
  <si>
    <t>风险成功规避，被消除 （终极状态之一）</t>
  </si>
  <si>
    <t>已关闭：</t>
  </si>
  <si>
    <t>风险发生转化为问题，最终被关闭（终极状态之一）</t>
  </si>
  <si>
    <t>己转移</t>
  </si>
  <si>
    <t>风险己被消除，但转移为其它风险（终极状态之一）</t>
  </si>
  <si>
    <t>己认可</t>
  </si>
  <si>
    <t>己缓解</t>
  </si>
  <si>
    <t>风险应对措施生效，降低了风险系数</t>
  </si>
  <si>
    <t>Not applicable 不适用</t>
  </si>
  <si>
    <t>开发经理审核说明：</t>
  </si>
  <si>
    <t>风险内容已审核：</t>
  </si>
  <si>
    <t>版本经理组织风险识别，评定级别后，开发经理对识别的风险和它的级别、措施已进行审核</t>
  </si>
  <si>
    <t>风险关闭已审核：</t>
  </si>
  <si>
    <t>版本经理提交风险关闭请求，开发经理对风险能否关闭进行审核.</t>
  </si>
  <si>
    <t>不认同是风险：</t>
  </si>
  <si>
    <t>开发经理对版本经理提交的风险不认为是风险</t>
  </si>
  <si>
    <r>
      <t>说明：风险管理表用于归总、跟踪项目的风险，项目经理</t>
    </r>
    <r>
      <rPr>
        <rFont val="宋体"/>
        <charset val="-122"/>
        <family val="0"/>
        <b val="true"/>
        <color indexed="12"/>
        <sz val="10"/>
      </rPr>
      <t>每周</t>
    </r>
    <r>
      <rPr>
        <rFont val="宋体"/>
        <charset val="-122"/>
        <family val="0"/>
        <color indexed="12"/>
        <sz val="10"/>
      </rPr>
      <t>都需要根据项目的进展更新项目的风险管理表，并提交给开发经理审核。
    当风险识别后，最后未予消除而成为现实时，“风险”就变成了“问题”，则可将其输入到“项目问题跟踪”表中跟踪，直至关闭。
    每个版本结束时，对此版本风险进行总结，对于不属于基本风险库内的通用风险，补充到基本风险库内。</t>
    </r>
  </si>
  <si>
    <r>
      <t>XXXX</t>
    </r>
    <r>
      <rPr>
        <rFont val="Arial Unicode MS"/>
        <family val="2"/>
        <b val="true"/>
        <sz val="20"/>
      </rPr>
      <t>版本</t>
    </r>
    <r>
      <rPr>
        <rFont val="Arial Unicode MS"/>
        <family val="2"/>
        <b val="true"/>
        <sz val="20"/>
      </rPr>
      <t>风险管理表</t>
    </r>
  </si>
  <si>
    <r>
      <rPr>
        <rFont val="宋体"/>
        <charset val="-122"/>
        <family val="0"/>
        <sz val="10"/>
      </rPr>
      <t xml:space="preserve">风险描述
</t>
    </r>
  </si>
  <si>
    <r>
      <t>消除：增加2个开发人员和</t>
    </r>
    <r>
      <rPr>
        <rFont val="华文宋体"/>
        <family val="0"/>
        <sz val="10"/>
      </rPr>
      <t>1个测试人员，可以消除压缩时间带来的额外工作量</t>
    </r>
  </si>
  <si>
    <r>
      <rPr>
        <rFont val="宋体"/>
        <b val="false"/>
        <i val="false"/>
        <strike val="false"/>
        <color rgb="FF000000"/>
        <sz val="11"/>
        <u val="none"/>
      </rPr>
      <t xml:space="preserve">
Roadmap更新
项目风险管理表更新
跨体系计划表（基线）
PDT开工会
用户需求
系统需求文档（按模板要求填写）
需求矩阵
</t>
    </r>
    <r>
      <rPr>
        <rFont val="宋体"/>
        <b val="false"/>
        <i val="false"/>
        <strike val="false"/>
        <color rgb="FFFF0000"/>
        <sz val="11"/>
        <u val="none"/>
      </rPr>
      <t>硬件初版规格书</t>
    </r>
  </si>
  <si>
    <r>
      <rPr>
        <rFont val="宋体"/>
        <b val="false"/>
        <i val="false"/>
        <strike val="false"/>
        <color rgb="FF000000"/>
        <sz val="11"/>
        <u val="none"/>
      </rPr>
      <t xml:space="preserve">PDT开工会
</t>
    </r>
    <r>
      <rPr>
        <rFont val="宋体"/>
        <b val="false"/>
        <i val="false"/>
        <strike val="true"/>
        <color rgb="FF000000"/>
        <sz val="11"/>
        <u val="none"/>
      </rPr>
      <t>配件专用：</t>
    </r>
    <r>
      <rPr>
        <rFont val="宋体"/>
        <b val="false"/>
        <i val="false"/>
        <strike val="true"/>
        <color rgb="FF000000"/>
        <sz val="11"/>
        <u val="none"/>
      </rPr>
      <t xml:space="preserve">
供应商出厂测试标准文档</t>
    </r>
    <r>
      <rPr>
        <rFont val="宋体"/>
        <b val="false"/>
        <i val="false"/>
        <strike val="false"/>
        <color rgb="FFFF0000"/>
        <sz val="11"/>
        <u val="none"/>
      </rPr>
      <t xml:space="preserve">
硬件初版规格书</t>
    </r>
  </si>
  <si>
    <r>
      <rPr>
        <rFont val="宋体"/>
        <b val="false"/>
        <i val="false"/>
        <strike val="false"/>
        <color rgb="FF000000"/>
        <sz val="11"/>
        <u val="none"/>
      </rPr>
      <t>前仿真报告、硬件详细设计、</t>
    </r>
    <r>
      <rPr>
        <rFont val="宋体"/>
        <b val="false"/>
        <i val="false"/>
        <strike val="true"/>
        <color rgb="FF000000"/>
        <sz val="11"/>
        <u val="none"/>
      </rPr>
      <t>生产BOM、PCB GERBER，发版审核报告</t>
    </r>
    <r>
      <rPr>
        <rFont val="宋体"/>
        <b val="false"/>
        <i val="false"/>
        <strike val="true"/>
        <color rgb="FF000000"/>
        <sz val="11"/>
        <u val="none"/>
      </rPr>
      <t xml:space="preserve">
备料策略表、长交期物料清单、物料交期表、一版样机生产计划和物料跟踪表</t>
    </r>
    <r>
      <rPr>
        <rFont val="宋体"/>
        <b val="false"/>
        <i val="false"/>
        <strike val="true"/>
        <color rgb="FF000000"/>
        <sz val="11"/>
        <u val="none"/>
      </rPr>
      <t xml:space="preserve">
配件专用：</t>
    </r>
    <r>
      <rPr>
        <rFont val="宋体"/>
        <b val="false"/>
        <i val="false"/>
        <strike val="true"/>
        <color rgb="FF000000"/>
        <sz val="11"/>
        <u val="none"/>
      </rPr>
      <t xml:space="preserve">
与供应商对齐并确认的产线出厂测试标准记录</t>
    </r>
  </si>
  <si>
    <r>
      <rPr>
        <rFont val="宋体"/>
        <b val="false"/>
        <i val="false"/>
        <strike val="false"/>
        <color rgb="FF000000"/>
        <sz val="11"/>
        <u val="none"/>
      </rPr>
      <t xml:space="preserve">PDT开工会
</t>
    </r>
    <r>
      <rPr>
        <rFont val="宋体"/>
        <b val="false"/>
        <i val="false"/>
        <strike val="false"/>
        <color rgb="FFFF0000"/>
        <sz val="11"/>
        <u val="none"/>
      </rPr>
      <t>硬件初版规格书</t>
    </r>
  </si>
  <si>
    <r>
      <rPr>
        <rFont val="宋体"/>
        <b val="false"/>
        <i val="false"/>
        <strike val="false"/>
        <color rgb="FF000000"/>
        <sz val="11"/>
        <u val="none"/>
      </rPr>
      <t xml:space="preserve">项目计划表更新
项目风险管理表更新
阶段的审计报告（电子流）
跨体系计划表更新
软硬件接口文档、产测需求文档、硬件调试用例，测试计划书
</t>
    </r>
    <r>
      <rPr>
        <rFont val="宋体"/>
        <b val="false"/>
        <i val="false"/>
        <strike val="true"/>
        <color rgb="FF000000"/>
        <sz val="11"/>
        <u val="none"/>
      </rPr>
      <t>供应商初次合作风险分析</t>
    </r>
    <r>
      <rPr>
        <rFont val="宋体"/>
        <b val="false"/>
        <i val="false"/>
        <strike val="false"/>
        <color rgb="FF000000"/>
        <sz val="11"/>
        <u val="none"/>
      </rPr>
      <t xml:space="preserve">
一版样机生产回板
</t>
    </r>
    <r>
      <rPr>
        <rFont val="宋体"/>
        <b val="false"/>
        <i val="false"/>
        <strike val="true"/>
        <color rgb="FF000000"/>
        <sz val="11"/>
        <u val="none"/>
      </rPr>
      <t>通知供应商备料信息</t>
    </r>
  </si>
  <si>
    <r>
      <rPr>
        <rFont val="宋体"/>
        <b val="false"/>
        <i val="false"/>
        <strike val="false"/>
        <color rgb="FF000000"/>
        <sz val="11"/>
        <u val="none"/>
      </rPr>
      <t xml:space="preserve">硬件调试报告通过、
</t>
    </r>
    <r>
      <rPr>
        <rFont val="宋体"/>
        <b val="false"/>
        <i val="false"/>
        <strike val="false"/>
        <color rgb="FFFF0000"/>
        <sz val="11"/>
        <u val="none"/>
      </rPr>
      <t>更新</t>
    </r>
    <r>
      <rPr>
        <rFont val="宋体"/>
        <b val="false"/>
        <i val="false"/>
        <strike val="false"/>
        <color rgb="FF000000"/>
        <sz val="11"/>
        <u val="none"/>
      </rPr>
      <t>风险管理表</t>
    </r>
  </si>
  <si>
    <r>
      <rPr>
        <rFont val="宋体"/>
        <b val="false"/>
        <i val="false"/>
        <strike val="false"/>
        <color rgb="FF000000"/>
        <sz val="11"/>
      </rPr>
      <t>1，硬件调试报告通过</t>
    </r>
    <r>
      <rPr>
        <rFont val="宋体"/>
        <b val="false"/>
        <i val="false"/>
        <strike val="false"/>
        <color rgb="FFF2BA02"/>
        <sz val="11"/>
      </rPr>
      <t>2，供应商第一版硬件测试EVT</t>
    </r>
  </si>
  <si>
    <r>
      <rPr>
        <rFont val="宋体"/>
        <b val="false"/>
        <i val="false"/>
        <strike val="true"/>
        <color rgb="FF000000"/>
        <sz val="11"/>
        <u val="none"/>
      </rPr>
      <t>硬件调试报告</t>
    </r>
    <r>
      <rPr>
        <rFont val="宋体"/>
        <b val="false"/>
        <i val="false"/>
        <strike val="false"/>
        <color rgb="FFFF0000"/>
        <sz val="11"/>
        <u val="none"/>
      </rPr>
      <t xml:space="preserve">
TD列表</t>
    </r>
    <r>
      <rPr>
        <rFont val="宋体"/>
        <b val="false"/>
        <i val="false"/>
        <strike val="false"/>
        <color rgb="FFFF0000"/>
        <sz val="11"/>
        <u val="none"/>
      </rPr>
      <t xml:space="preserve">
风险管理表</t>
    </r>
  </si>
  <si>
    <r>
      <rPr>
        <rFont val="宋体"/>
        <b val="false"/>
        <i val="false"/>
        <strike val="true"/>
        <color rgb="FF000000"/>
        <sz val="11"/>
        <u val="none"/>
      </rPr>
      <t>1，PCB改版评审</t>
    </r>
    <r>
      <rPr>
        <rFont val="宋体"/>
        <b val="false"/>
        <i val="false"/>
        <strike val="false"/>
        <color rgb="FFFF0000"/>
        <sz val="11"/>
        <u val="none"/>
      </rPr>
      <t xml:space="preserve">
发版评审报告/记录</t>
    </r>
    <r>
      <rPr>
        <rFont val="宋体"/>
        <b val="false"/>
        <i val="false"/>
        <strike val="false"/>
        <color rgb="FFFF0000"/>
        <sz val="11"/>
        <u val="none"/>
      </rPr>
      <t xml:space="preserve">
更新PCB/SCH</t>
    </r>
  </si>
  <si>
    <r>
      <rPr>
        <rFont val="宋体"/>
        <b val="false"/>
        <i val="false"/>
        <strike val="true"/>
        <color rgb="FF000000"/>
        <sz val="11"/>
        <u val="none"/>
      </rPr>
      <t>样机第二版改版完成</t>
    </r>
    <r>
      <rPr>
        <rFont val="宋体"/>
        <b val="false"/>
        <i val="false"/>
        <strike val="false"/>
        <color rgb="FFFF0000"/>
        <sz val="11"/>
        <u val="none"/>
      </rPr>
      <t xml:space="preserve">
TD列表</t>
    </r>
    <r>
      <rPr>
        <rFont val="宋体"/>
        <b val="false"/>
        <i val="false"/>
        <strike val="false"/>
        <color rgb="FFFF0000"/>
        <sz val="11"/>
        <u val="none"/>
      </rPr>
      <t xml:space="preserve">
风险管理表</t>
    </r>
  </si>
  <si>
    <r>
      <rPr>
        <rFont val="宋体"/>
        <b val="false"/>
        <i val="false"/>
        <strike val="true"/>
        <color rgb="FF000000"/>
        <sz val="11"/>
        <u val="none"/>
      </rPr>
      <t>1、电子料BOM</t>
    </r>
    <r>
      <rPr>
        <rFont val="宋体"/>
        <b val="false"/>
        <i val="false"/>
        <strike val="false"/>
        <color rgb="FFFF0000"/>
        <sz val="11"/>
        <u val="none"/>
      </rPr>
      <t xml:space="preserve">
成品bom</t>
    </r>
    <r>
      <rPr>
        <rFont val="宋体"/>
        <b val="false"/>
        <i val="false"/>
        <strike val="false"/>
        <color rgb="FF000000"/>
        <sz val="11"/>
        <u val="none"/>
      </rPr>
      <t xml:space="preserve">
2、长周期物料交期分析（PCB、关键物料），月度活动
</t>
    </r>
  </si>
  <si>
    <r>
      <rPr>
        <rFont val="宋体"/>
        <b val="false"/>
        <i val="false"/>
        <strike val="true"/>
        <color rgb="FF000000"/>
        <sz val="11"/>
        <u val="none"/>
      </rPr>
      <t>硬件调试报告</t>
    </r>
    <r>
      <rPr>
        <rFont val="宋体"/>
        <b val="false"/>
        <i val="false"/>
        <strike val="true"/>
        <color rgb="FF000000"/>
        <sz val="11"/>
        <u val="none"/>
      </rPr>
      <t xml:space="preserve">
《产测需求规格书》</t>
    </r>
    <r>
      <rPr>
        <rFont val="宋体"/>
        <b val="false"/>
        <i val="false"/>
        <strike val="false"/>
        <color rgb="FFFF0000"/>
        <sz val="11"/>
        <u val="none"/>
      </rPr>
      <t xml:space="preserve">
更新固件程序</t>
    </r>
    <r>
      <rPr>
        <rFont val="宋体"/>
        <b val="false"/>
        <i val="false"/>
        <strike val="false"/>
        <color rgb="FFFF0000"/>
        <sz val="11"/>
        <u val="none"/>
      </rPr>
      <t xml:space="preserve">
工艺相关文档</t>
    </r>
  </si>
  <si>
    <r>
      <rPr>
        <rFont val="宋体"/>
        <b val="false"/>
        <i val="false"/>
        <strike val="false"/>
        <color rgb="FF000000"/>
        <sz val="11"/>
        <u val="none"/>
      </rPr>
      <t xml:space="preserve">1、信锐测试报告
2、供应商测试报告
3、测试总结评审（邮件）
</t>
    </r>
    <r>
      <rPr>
        <rFont val="宋体"/>
        <b val="false"/>
        <i val="false"/>
        <strike val="false"/>
        <color rgb="FFFF0000"/>
        <sz val="11"/>
        <u val="none"/>
      </rPr>
      <t>4、TD回归验证</t>
    </r>
  </si>
  <si>
    <r>
      <rPr>
        <rFont val="宋体"/>
        <b val="false"/>
        <i val="false"/>
        <strike val="false"/>
        <color rgb="FFFF0000"/>
        <sz val="11"/>
        <u val="none"/>
      </rPr>
      <t>第二版EVT 测试通过</t>
    </r>
    <r>
      <rPr>
        <rFont val="宋体"/>
        <b val="false"/>
        <i val="false"/>
        <strike val="false"/>
        <color rgb="FFFF0000"/>
        <sz val="11"/>
        <u val="none"/>
      </rPr>
      <t xml:space="preserve">
TR4A评审报告</t>
    </r>
  </si>
  <si>
    <r>
      <rPr>
        <rFont val="宋体"/>
        <b val="false"/>
        <i val="false"/>
        <strike val="true"/>
        <color rgb="FF000000"/>
        <sz val="11"/>
        <u val="none"/>
      </rPr>
      <t>DVT测试报告：</t>
    </r>
    <r>
      <rPr>
        <rFont val="宋体"/>
        <b val="false"/>
        <i val="false"/>
        <strike val="true"/>
        <color rgb="FF000000"/>
        <sz val="11"/>
        <u val="none"/>
      </rPr>
      <t xml:space="preserve">
硬件调试报告、</t>
    </r>
    <r>
      <rPr>
        <rFont val="宋体"/>
        <b val="false"/>
        <i val="false"/>
        <strike val="true"/>
        <color rgb="FF000000"/>
        <sz val="11"/>
        <u val="none"/>
      </rPr>
      <t xml:space="preserve">
TD列表</t>
    </r>
    <r>
      <rPr>
        <rFont val="宋体"/>
        <b val="false"/>
        <i val="false"/>
        <strike val="true"/>
        <color rgb="FF000000"/>
        <sz val="11"/>
        <u val="none"/>
      </rPr>
      <t xml:space="preserve">
热测试用例+报告、</t>
    </r>
    <r>
      <rPr>
        <rFont val="宋体"/>
        <b val="false"/>
        <i val="false"/>
        <strike val="true"/>
        <color rgb="FF000000"/>
        <sz val="11"/>
        <u val="none"/>
      </rPr>
      <t xml:space="preserve">
风扇控制策略文档、</t>
    </r>
    <r>
      <rPr>
        <rFont val="宋体"/>
        <b val="false"/>
        <i val="false"/>
        <strike val="true"/>
        <color rgb="FF000000"/>
        <sz val="11"/>
        <u val="none"/>
      </rPr>
      <t xml:space="preserve">
噪声测试报告、</t>
    </r>
    <r>
      <rPr>
        <rFont val="宋体"/>
        <b val="false"/>
        <i val="false"/>
        <strike val="true"/>
        <color rgb="FF000000"/>
        <sz val="11"/>
        <u val="none"/>
      </rPr>
      <t xml:space="preserve">
结构设计文件、</t>
    </r>
    <r>
      <rPr>
        <rFont val="宋体"/>
        <b val="false"/>
        <i val="false"/>
        <strike val="true"/>
        <color rgb="FF000000"/>
        <sz val="11"/>
        <u val="none"/>
      </rPr>
      <t xml:space="preserve">
包材设计文件（提交后2天内审核）、</t>
    </r>
    <r>
      <rPr>
        <rFont val="宋体"/>
        <b val="false"/>
        <i val="false"/>
        <strike val="true"/>
        <color rgb="FF000000"/>
        <sz val="11"/>
        <u val="none"/>
      </rPr>
      <t xml:space="preserve">
SI,</t>
    </r>
    <r>
      <rPr>
        <rFont val="宋体"/>
        <b val="false"/>
        <i val="false"/>
        <strike val="true"/>
        <color rgb="FF000000"/>
        <sz val="11"/>
        <u val="none"/>
      </rPr>
      <t xml:space="preserve">
PI,</t>
    </r>
    <r>
      <rPr>
        <rFont val="宋体"/>
        <b val="false"/>
        <i val="false"/>
        <strike val="true"/>
        <color rgb="FF000000"/>
        <sz val="11"/>
        <u val="none"/>
      </rPr>
      <t xml:space="preserve">
EMC,</t>
    </r>
    <r>
      <rPr>
        <rFont val="宋体"/>
        <b val="false"/>
        <i val="false"/>
        <strike val="true"/>
        <color rgb="FF000000"/>
        <sz val="11"/>
        <u val="none"/>
      </rPr>
      <t xml:space="preserve">
安规，</t>
    </r>
    <r>
      <rPr>
        <rFont val="宋体"/>
        <b val="false"/>
        <i val="false"/>
        <strike val="true"/>
        <color rgb="FF000000"/>
        <sz val="11"/>
        <u val="none"/>
      </rPr>
      <t xml:space="preserve">
功能，机械，环境，</t>
    </r>
    <r>
      <rPr>
        <rFont val="宋体"/>
        <b val="false"/>
        <i val="false"/>
        <strike val="true"/>
        <color rgb="FF000000"/>
        <sz val="11"/>
        <u val="none"/>
      </rPr>
      <t xml:space="preserve">
软硬件联合测试报告、</t>
    </r>
    <r>
      <rPr>
        <rFont val="宋体"/>
        <b val="false"/>
        <i val="false"/>
        <strike val="true"/>
        <color rgb="FF000000"/>
        <sz val="11"/>
        <u val="none"/>
      </rPr>
      <t xml:space="preserve">
TR4评审报告、</t>
    </r>
    <r>
      <rPr>
        <rFont val="宋体"/>
        <b val="false"/>
        <i val="false"/>
        <strike val="true"/>
        <color rgb="FF000000"/>
        <sz val="11"/>
        <u val="none"/>
      </rPr>
      <t xml:space="preserve">
风险管理表、</t>
    </r>
    <r>
      <rPr>
        <rFont val="宋体"/>
        <b val="false"/>
        <i val="false"/>
        <strike val="true"/>
        <color rgb="FF000000"/>
        <sz val="11"/>
        <u val="none"/>
      </rPr>
      <t xml:space="preserve">
整机bom表输出</t>
    </r>
    <r>
      <rPr>
        <rFont val="宋体"/>
        <b val="false"/>
        <i val="false"/>
        <strike val="true"/>
        <color rgb="FF000000"/>
        <sz val="11"/>
        <u val="none"/>
      </rPr>
      <t xml:space="preserve">
生产BOM、PCB GERBER、结构跟线报告、生产问题记录、TR4-A评审终审报告</t>
    </r>
    <r>
      <rPr>
        <rFont val="宋体"/>
        <b val="false"/>
        <i val="false"/>
        <strike val="true"/>
        <color rgb="FF000000"/>
        <sz val="11"/>
        <u val="none"/>
      </rPr>
      <t xml:space="preserve">
备料预测表、整机成本表</t>
    </r>
    <r>
      <rPr>
        <rFont val="宋体"/>
        <b val="false"/>
        <i val="false"/>
        <strike val="true"/>
        <color rgb="FF000000"/>
        <sz val="11"/>
        <u val="none"/>
      </rPr>
      <t xml:space="preserve">
量产数量汇总表、备料预测表，小批量订单提交</t>
    </r>
    <r>
      <rPr>
        <rFont val="宋体"/>
        <b val="false"/>
        <i val="false"/>
        <strike val="false"/>
        <color rgb="FFFF0000"/>
        <sz val="11"/>
        <u val="none"/>
      </rPr>
      <t xml:space="preserve">
1、入库检验规范</t>
    </r>
    <r>
      <rPr>
        <rFont val="宋体"/>
        <b val="false"/>
        <i val="false"/>
        <strike val="false"/>
        <color rgb="FFFF0000"/>
        <sz val="11"/>
        <u val="none"/>
      </rPr>
      <t xml:space="preserve">
2、小批量验收测试报告</t>
    </r>
    <r>
      <rPr>
        <rFont val="宋体"/>
        <b val="false"/>
        <i val="false"/>
        <strike val="false"/>
        <color rgb="FFFF0000"/>
        <sz val="11"/>
        <u val="none"/>
      </rPr>
      <t xml:space="preserve">
2、最终版硬件测试报告定稿</t>
    </r>
    <r>
      <rPr>
        <rFont val="宋体"/>
        <b val="false"/>
        <i val="false"/>
        <strike val="false"/>
        <color rgb="FFFF0000"/>
        <sz val="11"/>
        <u val="none"/>
      </rPr>
      <t xml:space="preserve">
3、技服相关手册</t>
    </r>
    <r>
      <rPr>
        <rFont val="宋体"/>
        <b val="false"/>
        <i val="false"/>
        <strike val="false"/>
        <color rgb="FFFF0000"/>
        <sz val="11"/>
        <u val="none"/>
      </rPr>
      <t xml:space="preserve">
4、小批量生产问题总结报告</t>
    </r>
    <r>
      <rPr>
        <rFont val="宋体"/>
        <b val="false"/>
        <i val="false"/>
        <strike val="false"/>
        <color rgb="FFFF0000"/>
        <sz val="11"/>
        <u val="none"/>
      </rPr>
      <t xml:space="preserve">
5、产品证书</t>
    </r>
    <r>
      <rPr>
        <rFont val="宋体"/>
        <b val="false"/>
        <i val="false"/>
        <strike val="false"/>
        <color rgb="FFFF0000"/>
        <sz val="11"/>
        <u val="none"/>
      </rPr>
      <t xml:space="preserve">
6、TR5评审报告/记录</t>
    </r>
  </si>
  <si>
    <r>
      <t>说明：用于对项目过程中非</t>
    </r>
    <r>
      <rPr>
        <rFont val="Calibri"/>
        <family val="2"/>
        <color indexed="12"/>
        <sz val="11"/>
      </rPr>
      <t>TD</t>
    </r>
    <r>
      <rPr>
        <rFont val="宋体"/>
        <charset val="-122"/>
        <family val="0"/>
        <color indexed="12"/>
        <sz val="11"/>
      </rPr>
      <t>上的问题进行汇总和跟踪，来源于项目周报的问题栏以及周会纪要，一可防止忘记，二可总结提炼不断改进。项目经理</t>
    </r>
    <r>
      <rPr>
        <rFont val="宋体"/>
        <charset val="-122"/>
        <family val="0"/>
        <b val="true"/>
        <color indexed="12"/>
        <sz val="11"/>
      </rPr>
      <t>每周</t>
    </r>
    <r>
      <rPr>
        <rFont val="宋体"/>
        <charset val="-122"/>
        <family val="0"/>
        <color indexed="12"/>
        <sz val="11"/>
      </rPr>
      <t>按项目进展和问题解决情况更新，并提交开发经理审核</t>
    </r>
  </si>
  <si>
    <r>
      <rPr>
        <rFont val="宋体"/>
        <charset val="-122"/>
        <family val="0"/>
        <sz val="10"/>
      </rPr>
      <t xml:space="preserve">问题描述
</t>
    </r>
  </si>
  <si>
    <r>
      <t>1</t>
    </r>
    <r>
      <rPr>
        <rFont val="宋体"/>
        <charset val="-122"/>
        <family val="0"/>
        <color indexed="8"/>
        <sz val="10"/>
      </rPr>
      <t>. 选择技能比较好或对模块比较熟悉的人合入
2. 估算时必须增加熟悉该模块的时间
3. 对核心模块的合入需要预留风险时间</t>
    </r>
  </si>
  <si>
    <r>
      <rPr>
        <rFont val="宋体"/>
        <charset val="-122"/>
        <family val="0"/>
        <color indexed="8"/>
        <sz val="10"/>
      </rPr>
      <t xml:space="preserve">版本比较关键的是性能指标问题，存在以下困难：
</t>
    </r>
    <r>
      <rPr>
        <rFont val="Times New Roman"/>
        <family val="1"/>
        <color indexed="8"/>
        <sz val="10"/>
      </rPr>
      <t>1.</t>
    </r>
    <r>
      <rPr>
        <rFont val="宋体"/>
        <charset val="-122"/>
        <family val="0"/>
        <color indexed="8"/>
        <sz val="10"/>
      </rPr>
      <t xml:space="preserve">混合流量模型搭建复杂
</t>
    </r>
    <r>
      <rPr>
        <rFont val="Times New Roman"/>
        <family val="1"/>
        <color indexed="8"/>
        <sz val="10"/>
      </rPr>
      <t>2.</t>
    </r>
    <r>
      <rPr>
        <rFont val="宋体"/>
        <charset val="-122"/>
        <family val="0"/>
        <color indexed="8"/>
        <sz val="10"/>
      </rPr>
      <t xml:space="preserve">开始时间如果太晚，对个别模块进行很大修改，会对版本造成很大风险，同时如果进入集成测试开始，会受进度制衡
</t>
    </r>
    <r>
      <rPr>
        <rFont val="Times New Roman"/>
        <family val="1"/>
        <color indexed="8"/>
        <sz val="10"/>
      </rPr>
      <t>3.</t>
    </r>
    <r>
      <rPr>
        <rFont val="宋体"/>
        <charset val="-122"/>
        <family val="0"/>
        <color indexed="8"/>
        <sz val="10"/>
      </rPr>
      <t>版本进度及工作量估算中并没有提供单独的性能调整过程</t>
    </r>
  </si>
  <si>
    <r>
      <t>1</t>
    </r>
    <r>
      <rPr>
        <rFont val="宋体"/>
        <charset val="-122"/>
        <family val="0"/>
        <color indexed="8"/>
        <sz val="10"/>
      </rPr>
      <t xml:space="preserve">、识别出不能在市场预期内完成的项目，要明确给出项目实际能完成的时间点
</t>
    </r>
    <r>
      <rPr>
        <rFont val="Times New Roman"/>
        <family val="1"/>
        <color indexed="8"/>
        <sz val="10"/>
      </rPr>
      <t>2</t>
    </r>
    <r>
      <rPr>
        <rFont val="宋体"/>
        <charset val="-122"/>
        <family val="0"/>
        <color indexed="8"/>
        <sz val="10"/>
      </rPr>
      <t>、项目实际完成时间需要得到管理层的认同</t>
    </r>
  </si>
  <si>
    <r>
      <rPr>
        <rFont val="Times New Roman"/>
        <family val="1"/>
        <color indexed="8"/>
        <sz val="10"/>
      </rPr>
      <t>1</t>
    </r>
    <r>
      <rPr>
        <rFont val="宋体"/>
        <charset val="-122"/>
        <family val="0"/>
        <color indexed="8"/>
        <sz val="10"/>
      </rPr>
      <t>、和测试中心、</t>
    </r>
    <r>
      <rPr>
        <rFont val="Times New Roman"/>
        <family val="1"/>
        <color indexed="8"/>
        <sz val="10"/>
      </rPr>
      <t>RDM</t>
    </r>
    <r>
      <rPr>
        <rFont val="宋体"/>
        <charset val="-122"/>
        <family val="0"/>
        <color indexed="8"/>
        <sz val="10"/>
      </rPr>
      <t xml:space="preserve">沟通，并落实缺陷预防措施
</t>
    </r>
    <r>
      <rPr>
        <rFont val="Times New Roman"/>
        <family val="1"/>
        <color indexed="8"/>
        <sz val="10"/>
      </rPr>
      <t>2</t>
    </r>
    <r>
      <rPr>
        <rFont val="宋体"/>
        <charset val="-122"/>
        <family val="0"/>
        <color indexed="8"/>
        <sz val="10"/>
      </rPr>
      <t>、所有模块开发负责人给测试人员培训，在测试人员指导下确认各自模块的测试案例，并进行测试</t>
    </r>
  </si>
  <si>
    <r>
      <rPr>
        <rFont val="宋体"/>
        <charset val="-122"/>
        <family val="0"/>
        <color indexed="8"/>
        <sz val="9"/>
      </rPr>
      <t xml:space="preserve">
                                                               文档密级：</t>
    </r>
    <r>
      <rPr>
        <rFont val="Century Gothic"/>
        <family val="2"/>
        <color indexed="8"/>
        <sz val="9"/>
      </rPr>
      <t>C</t>
    </r>
    <r>
      <rPr>
        <rFont val="宋体"/>
        <charset val="-122"/>
        <family val="0"/>
        <color indexed="8"/>
        <sz val="9"/>
      </rPr>
      <t>级</t>
    </r>
    <r>
      <rPr>
        <rFont val="宋体"/>
        <charset val="-122"/>
        <family val="0"/>
        <color indexed="8"/>
        <sz val="9"/>
      </rPr>
      <t xml:space="preserve">     产品线内公开</t>
    </r>
  </si>
  <si>
    <r>
      <t>文件模板编号：</t>
    </r>
    <r>
      <rPr>
        <rFont val="Century Gothic"/>
        <family val="2"/>
        <color indexed="8"/>
        <sz val="9"/>
      </rPr>
      <t xml:space="preserve"> SFRD-REQM-01-2.4
</t>
    </r>
    <r>
      <rPr>
        <rFont val="宋体"/>
        <charset val="-122"/>
        <family val="0"/>
        <color indexed="8"/>
        <sz val="9"/>
      </rPr>
      <t>密</t>
    </r>
    <r>
      <rPr>
        <rFont val="宋体"/>
        <charset val="-122"/>
        <family val="0"/>
        <color indexed="8"/>
        <sz val="9"/>
      </rPr>
      <t xml:space="preserve">                级：</t>
    </r>
    <r>
      <rPr>
        <rFont val="Century Gothic"/>
        <family val="2"/>
        <color indexed="8"/>
        <sz val="9"/>
      </rPr>
      <t xml:space="preserve"> B</t>
    </r>
    <r>
      <rPr>
        <rFont val="宋体"/>
        <charset val="-122"/>
        <family val="0"/>
        <color indexed="8"/>
        <sz val="9"/>
      </rPr>
      <t>级</t>
    </r>
    <r>
      <rPr>
        <rFont val="Century Gothic"/>
        <family val="2"/>
        <color indexed="8"/>
        <sz val="9"/>
      </rPr>
      <t>(</t>
    </r>
    <r>
      <rPr>
        <rFont val="宋体"/>
        <charset val="-122"/>
        <family val="0"/>
        <color indexed="8"/>
        <sz val="9"/>
      </rPr>
      <t>项目组内公开</t>
    </r>
    <r>
      <rPr>
        <rFont val="Century Gothic"/>
        <family val="2"/>
        <color indexed="8"/>
        <sz val="9"/>
      </rPr>
      <t>)</t>
    </r>
    <r>
      <rPr>
        <rFont val="宋体"/>
        <charset val="-122"/>
        <family val="0"/>
        <color indexed="8"/>
        <sz val="9"/>
      </rPr>
      <t xml:space="preserve">
发布生效日期：</t>
    </r>
    <r>
      <rPr>
        <rFont val="Century Gothic"/>
        <family val="2"/>
        <color indexed="8"/>
        <sz val="9"/>
      </rPr>
      <t xml:space="preserve"> 2014-5-12
</t>
    </r>
    <r>
      <rPr>
        <rFont val="宋体"/>
        <charset val="-122"/>
        <family val="0"/>
        <color indexed="8"/>
        <sz val="9"/>
      </rPr>
      <t>模板现行版本：</t>
    </r>
    <r>
      <rPr>
        <rFont val="Century Gothic"/>
        <family val="2"/>
        <color indexed="8"/>
        <sz val="9"/>
      </rPr>
      <t xml:space="preserve"> V2.4</t>
    </r>
  </si>
  <si>
    <r>
      <t>说明：1. 风险管理表用于归总、跟踪项目的风险，包括测试和开发的风险。项目经理（开发、测试一起）</t>
    </r>
    <r>
      <rPr>
        <rFont val="宋体"/>
        <charset val="-122"/>
        <family val="0"/>
        <b val="true"/>
        <color indexed="12"/>
        <sz val="10"/>
      </rPr>
      <t>每周</t>
    </r>
    <r>
      <rPr>
        <rFont val="宋体"/>
        <charset val="-122"/>
        <family val="0"/>
        <color indexed="12"/>
        <sz val="10"/>
      </rPr>
      <t xml:space="preserve">都需要根据项目的进展更新项目的风险管理表，并提交给开发经理审核。
</t>
    </r>
    <r>
      <rPr>
        <rFont val="宋体"/>
        <charset val="-122"/>
        <family val="0"/>
        <color indexed="12"/>
        <sz val="10"/>
      </rPr>
      <t xml:space="preserve">     2. 项目经理根据风险的参数进行管理，优先处理风险级别高的风险。</t>
    </r>
    <r>
      <rPr>
        <rFont val="宋体"/>
        <charset val="-122"/>
        <family val="0"/>
        <color indexed="12"/>
        <sz val="10"/>
      </rPr>
      <t xml:space="preserve">
     3. </t>
    </r>
    <r>
      <rPr>
        <rFont val="宋体"/>
        <charset val="-122"/>
        <family val="0"/>
        <color indexed="12"/>
        <sz val="10"/>
      </rPr>
      <t xml:space="preserve">当风险识别后，最后未予消除而成为现实时，“风险”就变成了“问题”，则可将其输入到“项目问题跟踪”表中跟踪，直至关闭。
</t>
    </r>
    <r>
      <rPr>
        <rFont val="宋体"/>
        <charset val="-122"/>
        <family val="0"/>
        <color indexed="12"/>
        <sz val="10"/>
      </rPr>
      <t xml:space="preserve">     4. </t>
    </r>
    <r>
      <rPr>
        <rFont val="宋体"/>
        <charset val="-122"/>
        <family val="0"/>
        <color indexed="12"/>
        <sz val="10"/>
      </rPr>
      <t>每个版本结束时，对此版本风险进行总结，对于不属于基本风险库内的通用风险，补充到基本风险库内。</t>
    </r>
  </si>
  <si>
    <r>
      <t>风险</t>
    </r>
    <r>
      <rPr>
        <rFont val="宋体"/>
        <charset val="-122"/>
        <family val="0"/>
        <b val="true"/>
        <color indexed="8"/>
        <sz val="12"/>
      </rPr>
      <t>当前</t>
    </r>
    <r>
      <rPr>
        <rFont val="宋体"/>
        <charset val="-122"/>
        <family val="0"/>
        <color indexed="8"/>
        <sz val="12"/>
      </rPr>
      <t>状态</t>
    </r>
    <r>
      <rPr>
        <rFont val="宋体"/>
        <charset val="-122"/>
        <family val="0"/>
        <color indexed="23"/>
        <sz val="10"/>
      </rPr>
      <t>（每周更新）</t>
    </r>
  </si>
  <si>
    <r>
      <t>需</t>
    </r>
    <r>
      <rPr>
        <rFont val="华文宋体"/>
        <family val="0"/>
        <color indexed="10"/>
        <sz val="10"/>
      </rPr>
      <t>先熟悉“基本风险库”，</t>
    </r>
    <r>
      <rPr>
        <rFont val="华文宋体"/>
        <family val="0"/>
        <sz val="10"/>
      </rPr>
      <t>看当前有无相符合的风险项，然后再进行风险管理。 
需看列头批注后再进行风险描述</t>
    </r>
  </si>
  <si>
    <r>
      <t>NA</t>
    </r>
    <r>
      <rPr>
        <rFont val="宋体"/>
        <charset val="-122"/>
        <family val="0"/>
        <color indexed="8"/>
        <sz val="10"/>
      </rPr>
      <t>：</t>
    </r>
  </si>
</sst>
</file>

<file path=xl/styles.xml><?xml version="1.0" encoding="utf-8"?>
<styleSheet xmlns="http://schemas.openxmlformats.org/spreadsheetml/2006/main">
  <numFmts count="8">
    <numFmt numFmtId="300" formatCode="0.0_);[Red]\(0.0\)"/>
    <numFmt numFmtId="301" formatCode="0_);[Red]\(0\)"/>
    <numFmt numFmtId="302" formatCode="General"/>
    <numFmt numFmtId="303" formatCode="_ &quot;￥&quot;* #,##0_ ;_ &quot;￥&quot;* \-#,##0_ ;_ &quot;￥&quot;* &quot;-&quot;_ ;_ @_ "/>
    <numFmt numFmtId="304" formatCode="_ * #,##0.00_ ;_ * \-#,##0.00_ ;_ * &quot;-&quot;??_ ;_ @_ "/>
    <numFmt numFmtId="305" formatCode="_ * #,##0_ ;_ * \-#,##0_ ;_ * &quot;-&quot;_ ;_ @_ "/>
    <numFmt numFmtId="306" formatCode="_ &quot;￥&quot;* #,##0.00_ ;_ &quot;￥&quot;* \-#,##0.00_ ;_ &quot;￥&quot;* &quot;-&quot;??_ ;_ @_ "/>
    <numFmt numFmtId="307" formatCode="0%"/>
  </numFmts>
  <fonts count="57">
    <font>
      <name val="宋体"/>
      <charset val="134"/>
      <color theme="1"/>
      <sz val="11"/>
      <scheme val="minor"/>
    </font>
    <font>
      <name val="等线"/>
      <charset val="134"/>
      <color rgb="FF175CEB"/>
      <sz val="10"/>
      <u/>
      <scheme val="minor"/>
    </font>
    <font>
      <name val="Segoe UI Symbol"/>
      <family val="2"/>
      <color rgb="FF000000"/>
      <sz val="10"/>
    </font>
    <font>
      <name val="宋体"/>
      <charset val="-122"/>
      <family val="0"/>
      <color rgb="FF0000FF"/>
      <sz val="10"/>
    </font>
    <font>
      <name val="Century Gothic"/>
      <family val="2"/>
      <b val="true"/>
      <sz val="20"/>
    </font>
    <font>
      <name val="宋体"/>
      <charset val="-122"/>
      <family val="0"/>
      <sz val="10"/>
    </font>
    <font>
      <name val="Century Gothic"/>
      <family val="2"/>
      <color rgb="FF000000"/>
      <sz val="10"/>
    </font>
    <font>
      <name val="Century Gothic"/>
      <family val="2"/>
      <b val="true"/>
      <sz val="12"/>
    </font>
    <font>
      <name val="宋体"/>
      <charset val="-122"/>
      <family val="0"/>
      <color rgb="FF000000"/>
      <sz val="10"/>
    </font>
    <font>
      <name val="Century Gothic"/>
      <family val="2"/>
      <sz val="10"/>
    </font>
    <font>
      <name val="Century Gothic"/>
      <family val="2"/>
      <sz val="12"/>
    </font>
    <font>
      <name val="华文宋体"/>
      <family val="0"/>
      <sz val="10"/>
    </font>
    <font>
      <name val="宋体"/>
      <b val="true"/>
    </font>
    <font>
      <name val="宋体"/>
    </font>
    <font>
      <name val="宋体"/>
      <sz val="11"/>
    </font>
    <font>
      <name val="宋体"/>
      <color rgb="FF000000"/>
    </font>
    <font>
      <name val="宋体"/>
      <color rgb="FFF2BA02"/>
      <sz val="11"/>
    </font>
    <font>
      <name val="宋体"/>
      <strike val="true"/>
    </font>
    <font>
      <name val="宋体"/>
      <color rgb="FFFF0000"/>
    </font>
    <font>
      <name val="宋体"/>
      <color rgb="FF4874CB"/>
      <sz val="11"/>
    </font>
    <font>
      <name val="宋体"/>
      <color rgb="FFFF0000"/>
      <sz val="11"/>
    </font>
    <font>
      <name val="宋体"/>
      <charset val="-122"/>
      <family val="0"/>
      <color rgb="FF0000FF"/>
      <sz val="11"/>
    </font>
    <font>
      <name val="Calibri"/>
      <family val="2"/>
      <color rgb="FF0000FF"/>
      <sz val="11"/>
    </font>
    <font>
      <name val="宋体"/>
      <charset val="-122"/>
      <family val="0"/>
      <color rgb="FF000000"/>
      <sz val="18"/>
    </font>
    <font>
      <name val="Calibri"/>
      <family val="2"/>
      <color rgb="FF000000"/>
      <sz val="18"/>
    </font>
    <font>
      <name val="宋体"/>
      <charset val="-122"/>
      <family val="0"/>
      <color rgb="FF3366FF"/>
      <sz val="10"/>
    </font>
    <font>
      <name val="Century Gothic"/>
      <family val="2"/>
      <color rgb="FF3366FF"/>
      <sz val="10"/>
    </font>
    <font>
      <name val="宋体"/>
      <charset val="-122"/>
      <family val="0"/>
      <b val="true"/>
      <color rgb="FF000000"/>
      <sz val="10"/>
    </font>
    <font>
      <name val="Times New Roman"/>
      <family val="1"/>
      <color rgb="FF000000"/>
      <sz val="10"/>
    </font>
    <font>
      <name val="Times New Roman"/>
      <family val="1"/>
      <b val="true"/>
      <color rgb="FF000000"/>
      <sz val="10"/>
    </font>
    <font>
      <name val="宋体"/>
      <charset val="-122"/>
      <family val="0"/>
      <color rgb="FF000000"/>
      <sz val="11"/>
    </font>
    <font>
      <name val="Century Gothic"/>
      <family val="2"/>
      <color rgb="FF000000"/>
      <sz val="9"/>
    </font>
    <font>
      <name val="宋体"/>
      <charset val="-122"/>
      <family val="0"/>
      <color rgb="FF000000"/>
      <sz val="9"/>
    </font>
    <font>
      <name val="宋体"/>
      <charset val="-122"/>
      <family val="0"/>
      <color rgb="FF000000"/>
      <sz val="12"/>
    </font>
    <font>
      <name val="宋体"/>
      <charset val="-122"/>
      <family val="0"/>
      <b val="true"/>
      <color rgb="FF000000"/>
      <sz val="10"/>
      <u/>
    </font>
    <font>
      <name val="Century Gothic"/>
      <family val="2"/>
      <b val="true"/>
      <color rgb="FF000000"/>
      <sz val="10"/>
      <u/>
    </font>
    <font>
      <name val="Calibri"/>
      <family val="2"/>
      <color rgb="FF000000"/>
      <sz val="11"/>
    </font>
    <font>
      <name val="宋体"/>
      <charset val="134"/>
      <color theme="1"/>
      <sz val="11"/>
      <scheme val="minor"/>
    </font>
    <font>
      <name val="宋体"/>
      <charset val="134"/>
      <b val="true"/>
      <color theme="3"/>
      <sz val="11"/>
      <scheme val="minor"/>
    </font>
    <font>
      <name val="宋体"/>
      <charset val="0"/>
      <color theme="0"/>
      <sz val="11"/>
      <scheme val="minor"/>
    </font>
    <font>
      <name val="宋体"/>
      <charset val="134"/>
      <b val="true"/>
      <color theme="3"/>
      <sz val="18"/>
      <scheme val="minor"/>
    </font>
    <font>
      <name val="宋体"/>
      <charset val="0"/>
      <color theme="1"/>
      <sz val="11"/>
      <scheme val="minor"/>
    </font>
    <font>
      <name val="宋体"/>
      <charset val="0"/>
      <color rgb="FF006100"/>
      <sz val="11"/>
      <scheme val="minor"/>
    </font>
    <font>
      <name val="宋体"/>
      <charset val="0"/>
      <color rgb="FFFF0000"/>
      <sz val="11"/>
      <scheme val="minor"/>
    </font>
    <font>
      <name val="宋体"/>
      <charset val="0"/>
      <color rgb="FF0000FF"/>
      <sz val="11"/>
      <u/>
      <scheme val="minor"/>
    </font>
    <font>
      <name val="宋体"/>
      <charset val="0"/>
      <color rgb="FF800080"/>
      <sz val="11"/>
      <u/>
      <scheme val="minor"/>
    </font>
    <font>
      <name val="宋体"/>
      <charset val="0"/>
      <color rgb="FFFA7D00"/>
      <sz val="11"/>
      <scheme val="minor"/>
    </font>
    <font>
      <name val="宋体"/>
      <charset val="0"/>
      <b val="true"/>
      <color theme="1"/>
      <sz val="11"/>
      <scheme val="minor"/>
    </font>
    <font>
      <name val="宋体"/>
      <charset val="134"/>
      <b val="true"/>
      <color theme="3"/>
      <sz val="13"/>
      <scheme val="minor"/>
    </font>
    <font>
      <name val="宋体"/>
      <charset val="0"/>
      <color rgb="FF3F3F76"/>
      <sz val="11"/>
      <scheme val="minor"/>
    </font>
    <font>
      <name val="宋体"/>
      <charset val="0"/>
      <color rgb="FF9C0006"/>
      <sz val="11"/>
      <scheme val="minor"/>
    </font>
    <font>
      <name val="宋体"/>
      <charset val="0"/>
      <b val="true"/>
      <color rgb="FFFA7D00"/>
      <sz val="11"/>
      <scheme val="minor"/>
    </font>
    <font>
      <name val="宋体"/>
      <charset val="0"/>
      <b val="true"/>
      <color rgb="FFFFFFFF"/>
      <sz val="11"/>
      <scheme val="minor"/>
    </font>
    <font>
      <name val="宋体"/>
      <charset val="0"/>
      <b val="true"/>
      <color rgb="FF3F3F3F"/>
      <sz val="11"/>
      <scheme val="minor"/>
    </font>
    <font>
      <name val="宋体"/>
      <charset val="0"/>
      <color rgb="FF9C6500"/>
      <sz val="11"/>
      <scheme val="minor"/>
    </font>
    <font>
      <name val="宋体"/>
      <charset val="134"/>
      <b val="true"/>
      <color theme="3"/>
      <sz val="15"/>
      <scheme val="minor"/>
    </font>
    <font>
      <name val="宋体"/>
      <charset val="0"/>
      <i val="true"/>
      <color rgb="FF7F7F7F"/>
      <sz val="11"/>
      <scheme val="minor"/>
    </font>
  </fonts>
  <fills count="41">
    <fill>
      <patternFill patternType="none"/>
    </fill>
    <fill>
      <patternFill patternType="gray125"/>
    </fill>
    <fill>
      <patternFill patternType="solid">
        <fgColor rgb="FFC0C0C0"/>
        <bgColor indexed="64"/>
      </patternFill>
    </fill>
    <fill>
      <patternFill patternType="solid">
        <fgColor rgb="FF33CCCC"/>
        <bgColor indexed="64"/>
      </patternFill>
    </fill>
    <fill>
      <patternFill patternType="solid">
        <fgColor rgb="FFFFCC99"/>
        <bgColor indexed="64"/>
      </patternFill>
    </fill>
    <fill>
      <patternFill patternType="solid">
        <fgColor rgb="FFAEAAAA"/>
        <bgColor auto="true"/>
      </patternFill>
    </fill>
    <fill/>
    <fill>
      <patternFill patternType="solid">
        <fgColor rgb="FF99CCFF"/>
        <bgColor indexed="64"/>
      </patternFill>
    </fill>
    <fill>
      <patternFill patternType="solid">
        <fgColor rgb="FF99CC00"/>
        <bgColor indexed="64"/>
      </patternFill>
    </fill>
    <fill>
      <patternFill patternType="solid">
        <fgColor rgb="FFCCFFCC"/>
        <bgColor indexed="64"/>
      </patternFill>
    </fill>
    <fill>
      <patternFill patternType="none"/>
    </fill>
    <fill>
      <patternFill patternType="solid">
        <fgColor theme="9" tint="0.399976"/>
        <bgColor indexed="64"/>
      </patternFill>
    </fill>
    <fill>
      <patternFill patternType="solid">
        <fgColor theme="9"/>
        <bgColor indexed="64"/>
      </patternFill>
    </fill>
    <fill>
      <patternFill patternType="solid">
        <fgColor theme="9" tint="0.799982"/>
        <bgColor indexed="64"/>
      </patternFill>
    </fill>
    <fill>
      <patternFill patternType="solid">
        <fgColor rgb="FFC6EFCE"/>
        <bgColor indexed="64"/>
      </patternFill>
    </fill>
    <fill>
      <patternFill patternType="solid">
        <fgColor theme="8" tint="0.399976"/>
        <bgColor indexed="64"/>
      </patternFill>
    </fill>
    <fill>
      <patternFill patternType="solid">
        <fgColor theme="8"/>
        <bgColor indexed="64"/>
      </patternFill>
    </fill>
    <fill>
      <patternFill patternType="solid">
        <fgColor theme="8" tint="0.799982"/>
        <bgColor indexed="64"/>
      </patternFill>
    </fill>
    <fill>
      <patternFill patternType="solid">
        <fgColor theme="7" tint="0.799982"/>
        <bgColor indexed="64"/>
      </patternFill>
    </fill>
    <fill>
      <patternFill patternType="solid">
        <fgColor theme="7" tint="0.399976"/>
        <bgColor indexed="64"/>
      </patternFill>
    </fill>
    <fill>
      <patternFill patternType="solid">
        <fgColor theme="6"/>
        <bgColor indexed="64"/>
      </patternFill>
    </fill>
    <fill>
      <patternFill patternType="solid">
        <fgColor theme="9" tint="0.599994"/>
        <bgColor indexed="64"/>
      </patternFill>
    </fill>
    <fill>
      <patternFill patternType="solid">
        <fgColor theme="8" tint="0.599994"/>
        <bgColor indexed="64"/>
      </patternFill>
    </fill>
    <fill>
      <patternFill patternType="solid">
        <fgColor rgb="FFFFFFCC"/>
        <bgColor indexed="64"/>
      </patternFill>
    </fill>
    <fill>
      <patternFill patternType="solid">
        <fgColor theme="6" tint="0.399976"/>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theme="4" tint="0.399976"/>
        <bgColor indexed="64"/>
      </patternFill>
    </fill>
    <fill>
      <patternFill patternType="solid">
        <fgColor theme="6" tint="0.799982"/>
        <bgColor indexed="64"/>
      </patternFill>
    </fill>
    <fill>
      <patternFill patternType="solid">
        <fgColor theme="4" tint="0.599994"/>
        <bgColor indexed="64"/>
      </patternFill>
    </fill>
    <fill>
      <patternFill patternType="solid">
        <fgColor theme="4" tint="0.799982"/>
        <bgColor indexed="64"/>
      </patternFill>
    </fill>
    <fill>
      <patternFill patternType="solid">
        <fgColor theme="4"/>
        <bgColor indexed="64"/>
      </patternFill>
    </fill>
    <fill>
      <patternFill patternType="solid">
        <fgColor rgb="FFFFEB9C"/>
        <bgColor indexed="64"/>
      </patternFill>
    </fill>
    <fill>
      <patternFill patternType="solid">
        <fgColor theme="5" tint="0.799982"/>
        <bgColor indexed="64"/>
      </patternFill>
    </fill>
    <fill>
      <patternFill patternType="solid">
        <fgColor theme="5" tint="0.599994"/>
        <bgColor indexed="64"/>
      </patternFill>
    </fill>
    <fill>
      <patternFill patternType="solid">
        <fgColor theme="5"/>
        <bgColor indexed="64"/>
      </patternFill>
    </fill>
    <fill>
      <patternFill patternType="solid">
        <fgColor theme="5" tint="0.399976"/>
        <bgColor indexed="64"/>
      </patternFill>
    </fill>
    <fill>
      <patternFill patternType="solid">
        <fgColor theme="7" tint="0.599994"/>
        <bgColor indexed="64"/>
      </patternFill>
    </fill>
    <fill>
      <patternFill patternType="solid">
        <fgColor theme="7"/>
        <bgColor indexed="64"/>
      </patternFill>
    </fill>
    <fill>
      <patternFill patternType="solid">
        <fgColor theme="6" tint="0.599994"/>
        <bgColor indexed="64"/>
      </patternFill>
    </fill>
  </fills>
  <borders count="52">
    <border>
      <left/>
      <right/>
      <top/>
      <bottom/>
      <diagonal/>
    </border>
    <border>
      <left/>
      <right/>
      <top style="thin">
        <color auto="true"/>
      </top>
      <bottom/>
    </border>
    <border>
      <left>
        <color rgb="FF000000"/>
      </left>
      <right style="double">
        <color auto="true"/>
      </right>
      <top style="thin">
        <color auto="true"/>
      </top>
      <bottom/>
    </border>
    <border>
      <left>
        <color rgb="FF000000"/>
      </left>
      <right>
        <color rgb="FF000000"/>
      </right>
      <top>
        <color rgb="FF000000"/>
      </top>
      <bottom style="thin">
        <color auto="true"/>
      </bottom>
    </border>
    <border>
      <left>
        <color rgb="FF000000"/>
      </left>
      <right style="double">
        <color auto="true"/>
      </right>
      <top>
        <color rgb="FF000000"/>
      </top>
      <bottom style="thin">
        <color auto="true"/>
      </bottom>
    </border>
    <border>
      <left style="thin">
        <color auto="true"/>
      </left>
      <right/>
      <top style="thin">
        <color auto="true"/>
      </top>
      <bottom/>
    </border>
    <border>
      <left style="thin">
        <color auto="true"/>
      </left>
      <right/>
      <top/>
      <bottom style="thin">
        <color auto="true"/>
      </bottom>
    </border>
    <border>
      <left style="thin">
        <color auto="true"/>
      </left>
      <right style="thin">
        <color auto="true"/>
      </right>
      <top style="thin">
        <color auto="true"/>
      </top>
      <bottom style="thin">
        <color auto="true"/>
      </bottom>
    </border>
    <border>
      <left style="thin">
        <color auto="true"/>
      </left>
      <right/>
      <top style="thin">
        <color auto="true"/>
      </top>
      <bottom style="thin">
        <color auto="true"/>
      </bottom>
    </border>
    <border>
      <left/>
      <right/>
      <top style="thin">
        <color auto="true"/>
      </top>
      <bottom style="thin">
        <color auto="true"/>
      </bottom>
    </border>
    <border>
      <left/>
      <right style="double">
        <color auto="true"/>
      </right>
      <top style="thin">
        <color auto="true"/>
      </top>
      <bottom style="thin">
        <color auto="true"/>
      </bottom>
    </border>
    <border>
      <left style="double">
        <color auto="true"/>
      </left>
      <right/>
      <top style="thin">
        <color auto="true"/>
      </top>
      <bottom style="thin">
        <color auto="true"/>
      </bottom>
    </border>
    <border>
      <left/>
      <right style="thin">
        <color auto="true"/>
      </right>
      <top style="thin">
        <color auto="true"/>
      </top>
      <bottom style="thin">
        <color auto="true"/>
      </bottom>
    </border>
    <border>
      <left style="double">
        <color auto="true"/>
      </left>
      <right style="thin">
        <color auto="true"/>
      </right>
      <top style="thin">
        <color auto="true"/>
      </top>
      <bottom style="thin">
        <color auto="true"/>
      </bottom>
    </border>
    <border>
      <left style="thin">
        <color auto="true"/>
      </left>
      <right style="double">
        <color auto="true"/>
      </right>
      <top style="thin">
        <color auto="true"/>
      </top>
      <bottom style="thin">
        <color auto="true"/>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thin">
        <color rgb="FF000000"/>
      </right>
      <top style="thin">
        <color rgb="FF000000"/>
      </top>
      <bottom style="thin">
        <color rgb="FF000000"/>
      </bottom>
      <diagonal/>
    </border>
    <border>
      <left style="thin">
        <color rgb="FF000000"/>
      </left>
      <right style="thin">
        <color rgb="FF000000"/>
      </right>
    </border>
    <border>
      <right style="thin">
        <color rgb="FF000000"/>
      </right>
      <top style="thin">
        <color rgb="FF000000"/>
      </top>
      <bottom style="thin">
        <color rgb="FF000000"/>
      </bottom>
    </border>
    <border>
      <left style="thin">
        <color rgb="FF000000"/>
      </left>
      <right style="thin">
        <color rgb="FF000000"/>
      </right>
      <top/>
      <bottom style="thin">
        <color rgb="FF000000"/>
      </bottom>
      <diagonal/>
    </border>
    <border>
      <left style="thin">
        <color rgb="FF000000"/>
      </left>
      <right style="thin">
        <color rgb="FF000000"/>
      </right>
      <top style="thin">
        <color rgb="FF000000"/>
      </top>
      <diagonal/>
    </border>
    <border>
      <left style="thin">
        <color rgb="FF000000"/>
      </left>
      <top style="thin">
        <color rgb="FF000000"/>
      </top>
      <bottom style="thin">
        <color rgb="FF000000"/>
      </bottom>
    </border>
    <border>
      <left style="thin">
        <color auto="true"/>
      </left>
      <right style="thin">
        <color auto="true"/>
      </right>
      <top style="thin">
        <color auto="true"/>
      </top>
      <bottom>
        <color rgb="FF000000"/>
      </bottom>
    </border>
    <border>
      <left style="thin">
        <color auto="true"/>
      </left>
      <right style="thin">
        <color auto="true"/>
      </right>
      <top>
        <color rgb="FF000000"/>
      </top>
      <bottom>
        <color rgb="FF000000"/>
      </bottom>
    </border>
    <border>
      <left style="thin">
        <color auto="true"/>
      </left>
      <right style="thin">
        <color auto="true"/>
      </right>
      <top>
        <color rgb="FF000000"/>
      </top>
      <bottom style="thin">
        <color auto="true"/>
      </bottom>
    </border>
    <border>
      <left style="thin">
        <color auto="true"/>
      </left>
      <right style="thin">
        <color auto="true"/>
      </right>
      <top>
        <color rgb="FF000000"/>
      </top>
      <bottom/>
    </border>
    <border>
      <left style="thin">
        <color auto="true"/>
      </left>
      <right style="thin">
        <color auto="true"/>
      </right>
      <top/>
      <bottom style="thin">
        <color auto="true"/>
      </bottom>
    </border>
    <border>
      <left>
        <color rgb="FF000000"/>
      </left>
      <right style="thin">
        <color auto="true"/>
      </right>
      <top style="thin">
        <color auto="true"/>
      </top>
      <bottom>
        <color rgb="FF000000"/>
      </bottom>
    </border>
    <border>
      <left style="double">
        <color auto="true"/>
      </left>
      <right/>
      <top style="double">
        <color auto="true"/>
      </top>
      <bottom style="thin">
        <color auto="true"/>
      </bottom>
    </border>
    <border>
      <left/>
      <right/>
      <top style="double">
        <color auto="true"/>
      </top>
      <bottom style="thin">
        <color auto="true"/>
      </bottom>
    </border>
    <border>
      <left/>
      <right style="double">
        <color auto="true"/>
      </right>
      <top style="double">
        <color auto="true"/>
      </top>
      <bottom style="thin">
        <color auto="true"/>
      </bottom>
    </border>
    <border>
      <left style="double">
        <color auto="true"/>
      </left>
      <right style="thin">
        <color auto="true"/>
      </right>
      <top>
        <color rgb="FF000000"/>
      </top>
      <bottom style="thin">
        <color auto="true"/>
      </bottom>
    </border>
    <border>
      <left style="double">
        <color auto="true"/>
      </left>
      <right>
        <color rgb="FF000000"/>
      </right>
      <top style="thin">
        <color auto="true"/>
      </top>
      <bottom>
        <color rgb="FF000000"/>
      </bottom>
    </border>
    <border>
      <left style="double">
        <color auto="true"/>
      </left>
      <right style="thin">
        <color auto="true"/>
      </right>
      <top style="thin">
        <color auto="true"/>
      </top>
      <bottom style="double">
        <color auto="true"/>
      </bottom>
    </border>
    <border>
      <left style="thin">
        <color auto="true"/>
      </left>
      <right style="thin">
        <color auto="true"/>
      </right>
      <top style="thin">
        <color auto="true"/>
      </top>
      <bottom style="double">
        <color auto="true"/>
      </bottom>
    </border>
    <border>
      <left style="thin">
        <color auto="true"/>
      </left>
      <right>
        <color rgb="FF000000"/>
      </right>
      <top style="thin">
        <color auto="true"/>
      </top>
      <bottom style="double">
        <color auto="true"/>
      </bottom>
    </border>
    <border>
      <left style="thin">
        <color auto="true"/>
      </left>
      <right style="double">
        <color auto="true"/>
      </right>
      <top style="thin">
        <color auto="true"/>
      </top>
      <bottom style="double">
        <color auto="true"/>
      </bottom>
    </border>
    <border>
      <left/>
      <right/>
      <top/>
      <bottom/>
      <diagonal/>
    </border>
    <border>
      <left/>
      <right/>
      <top/>
      <bottom style="medium">
        <color theme="4" tint="0.499985"/>
      </bottom>
      <diagonal/>
    </border>
    <border>
      <left/>
      <right/>
      <top/>
      <bottom style="double">
        <color rgb="FFFF8001"/>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xf numFmtId="302" fontId="37" fillId="0" borderId="43" xfId="0">
      <alignment vertical="center"/>
    </xf>
    <xf numFmtId="302" fontId="38" fillId="10" borderId="44" xfId="0" applyNumberFormat="false" applyFill="false" applyAlignment="false" applyProtection="false">
      <alignment vertical="center"/>
    </xf>
    <xf numFmtId="302" fontId="39" fillId="11" borderId="43" xfId="0" applyNumberFormat="false" applyBorder="false" applyAlignment="false" applyProtection="false">
      <alignment vertical="center"/>
    </xf>
    <xf numFmtId="302" fontId="40" fillId="10" borderId="43" xfId="0" applyNumberFormat="false" applyFill="false" applyBorder="false" applyAlignment="false" applyProtection="false">
      <alignment vertical="center"/>
    </xf>
    <xf numFmtId="302" fontId="39" fillId="12" borderId="43" xfId="0" applyNumberFormat="false" applyBorder="false" applyAlignment="false" applyProtection="false">
      <alignment vertical="center"/>
    </xf>
    <xf numFmtId="302" fontId="41" fillId="13" borderId="43" xfId="0" applyNumberFormat="false" applyBorder="false" applyAlignment="false" applyProtection="false">
      <alignment vertical="center"/>
    </xf>
    <xf numFmtId="302" fontId="42" fillId="14" borderId="43" xfId="0" applyNumberFormat="false" applyBorder="false" applyAlignment="false" applyProtection="false">
      <alignment vertical="center"/>
    </xf>
    <xf numFmtId="302" fontId="39" fillId="15" borderId="43" xfId="0" applyNumberFormat="false" applyBorder="false" applyAlignment="false" applyProtection="false">
      <alignment vertical="center"/>
    </xf>
    <xf numFmtId="302" fontId="43" fillId="10" borderId="43" xfId="0" applyNumberFormat="false" applyFill="false" applyBorder="false" applyAlignment="false" applyProtection="false">
      <alignment vertical="center"/>
    </xf>
    <xf numFmtId="302" fontId="39" fillId="16" borderId="43" xfId="0" applyNumberFormat="false" applyBorder="false" applyAlignment="false" applyProtection="false">
      <alignment vertical="center"/>
    </xf>
    <xf numFmtId="302" fontId="44" fillId="10" borderId="43" xfId="0" applyNumberFormat="false" applyFill="false" applyBorder="false" applyAlignment="false" applyProtection="false">
      <alignment vertical="center"/>
    </xf>
    <xf numFmtId="302" fontId="45" fillId="10" borderId="43" xfId="0" applyNumberFormat="false" applyFill="false" applyBorder="false" applyAlignment="false" applyProtection="false">
      <alignment vertical="center"/>
    </xf>
    <xf numFmtId="302" fontId="41" fillId="17" borderId="43" xfId="0" applyNumberFormat="false" applyBorder="false" applyAlignment="false" applyProtection="false">
      <alignment vertical="center"/>
    </xf>
    <xf numFmtId="302" fontId="41" fillId="18" borderId="43" xfId="0" applyNumberFormat="false" applyBorder="false" applyAlignment="false" applyProtection="false">
      <alignment vertical="center"/>
    </xf>
    <xf numFmtId="303" fontId="37" fillId="10" borderId="43" xfId="0" applyFont="false" applyFill="false" applyBorder="false" applyAlignment="false" applyProtection="false">
      <alignment vertical="center"/>
    </xf>
    <xf numFmtId="302" fontId="39" fillId="19" borderId="43" xfId="0" applyNumberFormat="false" applyBorder="false" applyAlignment="false" applyProtection="false">
      <alignment vertical="center"/>
    </xf>
    <xf numFmtId="302" fontId="46" fillId="10" borderId="45" xfId="0" applyNumberFormat="false" applyFill="false" applyAlignment="false" applyProtection="false">
      <alignment vertical="center"/>
    </xf>
    <xf numFmtId="302" fontId="47" fillId="10" borderId="46" xfId="0" applyNumberFormat="false" applyFill="false" applyAlignment="false" applyProtection="false">
      <alignment vertical="center"/>
    </xf>
    <xf numFmtId="302" fontId="39" fillId="20" borderId="43" xfId="0" applyNumberFormat="false" applyBorder="false" applyAlignment="false" applyProtection="false">
      <alignment vertical="center"/>
    </xf>
    <xf numFmtId="302" fontId="41" fillId="21" borderId="43" xfId="0" applyNumberFormat="false" applyBorder="false" applyAlignment="false" applyProtection="false">
      <alignment vertical="center"/>
    </xf>
    <xf numFmtId="302" fontId="48" fillId="10" borderId="47" xfId="0" applyNumberFormat="false" applyFill="false" applyAlignment="false" applyProtection="false">
      <alignment vertical="center"/>
    </xf>
    <xf numFmtId="302" fontId="38" fillId="10" borderId="43" xfId="0" applyNumberFormat="false" applyFill="false" applyBorder="false" applyAlignment="false" applyProtection="false">
      <alignment vertical="center"/>
    </xf>
    <xf numFmtId="302" fontId="41" fillId="22" borderId="43" xfId="0" applyNumberFormat="false" applyBorder="false" applyAlignment="false" applyProtection="false">
      <alignment vertical="center"/>
    </xf>
    <xf numFmtId="302" fontId="37" fillId="23" borderId="48" xfId="0" applyNumberFormat="false" applyFont="false" applyAlignment="false" applyProtection="false">
      <alignment vertical="center"/>
    </xf>
    <xf numFmtId="304" fontId="37" fillId="10" borderId="43" xfId="0" applyFont="false" applyFill="false" applyBorder="false" applyAlignment="false" applyProtection="false">
      <alignment vertical="center"/>
    </xf>
    <xf numFmtId="302" fontId="39" fillId="24" borderId="43" xfId="0" applyNumberFormat="false" applyBorder="false" applyAlignment="false" applyProtection="false">
      <alignment vertical="center"/>
    </xf>
    <xf numFmtId="302" fontId="49" fillId="4" borderId="49" xfId="0" applyNumberFormat="false" applyAlignment="false" applyProtection="false">
      <alignment vertical="center"/>
    </xf>
    <xf numFmtId="302" fontId="50" fillId="25" borderId="43" xfId="0" applyNumberFormat="false" applyBorder="false" applyAlignment="false" applyProtection="false">
      <alignment vertical="center"/>
    </xf>
    <xf numFmtId="302" fontId="51" fillId="26" borderId="49" xfId="0" applyNumberFormat="false" applyAlignment="false" applyProtection="false">
      <alignment vertical="center"/>
    </xf>
    <xf numFmtId="302" fontId="52" fillId="27" borderId="50" xfId="0" applyNumberFormat="false" applyAlignment="false" applyProtection="false">
      <alignment vertical="center"/>
    </xf>
    <xf numFmtId="302" fontId="39" fillId="28" borderId="43" xfId="0" applyNumberFormat="false" applyBorder="false" applyAlignment="false" applyProtection="false">
      <alignment vertical="center"/>
    </xf>
    <xf numFmtId="302" fontId="53" fillId="26" borderId="51" xfId="0" applyNumberFormat="false" applyAlignment="false" applyProtection="false">
      <alignment vertical="center"/>
    </xf>
    <xf numFmtId="302" fontId="41" fillId="29" borderId="43" xfId="0" applyNumberFormat="false" applyBorder="false" applyAlignment="false" applyProtection="false">
      <alignment vertical="center"/>
    </xf>
    <xf numFmtId="302" fontId="41" fillId="30" borderId="43" xfId="0" applyNumberFormat="false" applyBorder="false" applyAlignment="false" applyProtection="false">
      <alignment vertical="center"/>
    </xf>
    <xf numFmtId="302" fontId="41" fillId="31" borderId="43" xfId="0" applyNumberFormat="false" applyBorder="false" applyAlignment="false" applyProtection="false">
      <alignment vertical="center"/>
    </xf>
    <xf numFmtId="302" fontId="39" fillId="32" borderId="43" xfId="0" applyNumberFormat="false" applyBorder="false" applyAlignment="false" applyProtection="false">
      <alignment vertical="center"/>
    </xf>
    <xf numFmtId="302" fontId="54" fillId="33" borderId="43" xfId="0" applyNumberFormat="false" applyBorder="false" applyAlignment="false" applyProtection="false">
      <alignment vertical="center"/>
    </xf>
    <xf numFmtId="302" fontId="41" fillId="34" borderId="43" xfId="0" applyNumberFormat="false" applyBorder="false" applyAlignment="false" applyProtection="false">
      <alignment vertical="center"/>
    </xf>
    <xf numFmtId="302" fontId="41" fillId="35" borderId="43" xfId="0" applyNumberFormat="false" applyBorder="false" applyAlignment="false" applyProtection="false">
      <alignment vertical="center"/>
    </xf>
    <xf numFmtId="302" fontId="39" fillId="36" borderId="43" xfId="0" applyNumberFormat="false" applyBorder="false" applyAlignment="false" applyProtection="false">
      <alignment vertical="center"/>
    </xf>
    <xf numFmtId="302" fontId="55" fillId="10" borderId="47" xfId="0" applyNumberFormat="false" applyFill="false" applyAlignment="false" applyProtection="false">
      <alignment vertical="center"/>
    </xf>
    <xf numFmtId="302" fontId="56" fillId="10" borderId="43" xfId="0" applyNumberFormat="false" applyFill="false" applyBorder="false" applyAlignment="false" applyProtection="false">
      <alignment vertical="center"/>
    </xf>
    <xf numFmtId="302" fontId="39" fillId="37" borderId="43" xfId="0" applyNumberFormat="false" applyBorder="false" applyAlignment="false" applyProtection="false">
      <alignment vertical="center"/>
    </xf>
    <xf numFmtId="305" fontId="37" fillId="10" borderId="43" xfId="0" applyFont="false" applyFill="false" applyBorder="false" applyAlignment="false" applyProtection="false">
      <alignment vertical="center"/>
    </xf>
    <xf numFmtId="302" fontId="41" fillId="38" borderId="43" xfId="0" applyNumberFormat="false" applyBorder="false" applyAlignment="false" applyProtection="false">
      <alignment vertical="center"/>
    </xf>
    <xf numFmtId="302" fontId="39" fillId="39" borderId="43" xfId="0" applyNumberFormat="false" applyBorder="false" applyAlignment="false" applyProtection="false">
      <alignment vertical="center"/>
    </xf>
    <xf numFmtId="306" fontId="37" fillId="10" borderId="43" xfId="0" applyFont="false" applyFill="false" applyBorder="false" applyAlignment="false" applyProtection="false">
      <alignment vertical="center"/>
    </xf>
    <xf numFmtId="302" fontId="41" fillId="40" borderId="43" xfId="0" applyNumberFormat="false" applyBorder="false" applyAlignment="false" applyProtection="false">
      <alignment vertical="center"/>
    </xf>
    <xf numFmtId="307" fontId="37" fillId="10" borderId="43" xfId="0" applyFont="false" applyFill="false" applyBorder="false" applyAlignment="false" applyProtection="false">
      <alignment vertical="center"/>
    </xf>
  </cellStyleXfs>
  <cellXfs count="210">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2" fontId="3" fillId="0" borderId="1" xfId="0" applyFont="true" applyBorder="true" applyAlignment="true">
      <alignment horizontal="left" vertical="top" wrapText="true"/>
    </xf>
    <xf numFmtId="302" fontId="3" fillId="0" borderId="1" xfId="0" applyFont="true" applyBorder="true" applyAlignment="true">
      <alignment horizontal="left" vertical="top"/>
    </xf>
    <xf numFmtId="302" fontId="3" fillId="0" borderId="2" xfId="0" applyFont="true" applyBorder="true" applyAlignment="true">
      <alignment horizontal="left" vertical="top"/>
    </xf>
    <xf numFmtId="302" fontId="3" fillId="0" borderId="3" xfId="0" applyFont="true" applyBorder="true" applyAlignment="true">
      <alignment horizontal="left" vertical="top"/>
    </xf>
    <xf numFmtId="302" fontId="3" fillId="0" borderId="4" xfId="0" applyFont="true" applyBorder="true" applyAlignment="true">
      <alignment horizontal="left" vertical="top"/>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302" fontId="37" fillId="0" borderId="7" xfId="0" applyBorder="true" applyAlignment="true">
      <alignment vertical="center" wrapText="true"/>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12" fillId="5" borderId="15" xfId="0">
      <alignment vertical="center" textRotation="0" wrapText="true"/>
    </xf>
    <xf numFmtId="0" fontId="12" fillId="5" borderId="15" xfId="0">
      <alignment vertical="center" textRotation="0"/>
    </xf>
    <xf numFmtId="0" fontId="12" fillId="5" borderId="15" xfId="0">
      <alignment horizontal="left" vertical="center" textRotation="0" wrapText="true"/>
    </xf>
    <xf fontId="13" fillId="0" borderId="15" xfId="0">
      <alignment vertical="center" textRotation="0" wrapText="true"/>
    </xf>
    <xf numFmtId="0" fontId="13" fillId="0" borderId="15" xfId="0">
      <alignment vertical="center" textRotation="0" wrapText="true"/>
    </xf>
    <xf numFmtId="0" fontId="13" fillId="0" borderId="15" xfId="0">
      <alignment vertical="center" textRotation="0"/>
    </xf>
    <xf fontId="13" fillId="0" borderId="15" xfId="0">
      <alignment vertical="center" textRotation="0"/>
    </xf>
    <xf fontId="13" fillId="0" borderId="16" xfId="0">
      <alignment horizontal="left" vertical="center" textRotation="0" wrapText="true"/>
    </xf>
    <xf fontId="13" fillId="0" borderId="16" xfId="0">
      <alignment vertical="center" textRotation="0" wrapText="true"/>
    </xf>
    <xf fontId="13" fillId="0" borderId="16" xfId="0">
      <alignment vertical="center" textRotation="0"/>
    </xf>
    <xf fontId="13" fillId="0" borderId="17" xfId="0">
      <alignment vertical="center" textRotation="0" wrapText="true"/>
    </xf>
    <xf numFmtId="0" fontId="13" fillId="0" borderId="17" xfId="0">
      <alignment vertical="center" textRotation="0" wrapText="true"/>
    </xf>
    <xf numFmtId="0" fontId="13" fillId="0" borderId="17" xfId="0">
      <alignment vertical="center" textRotation="0"/>
    </xf>
    <xf fontId="13" fillId="0" borderId="17" xfId="0">
      <alignment vertical="center" textRotation="0"/>
    </xf>
    <xf fontId="13" fillId="0" borderId="18" xfId="0">
      <alignment horizontal="left" vertical="center" textRotation="0" wrapText="true"/>
    </xf>
    <xf fontId="13" fillId="0" borderId="18" xfId="0">
      <alignment vertical="center" textRotation="0" wrapText="true"/>
    </xf>
    <xf fontId="13" fillId="0" borderId="18" xfId="0">
      <alignment vertical="center" textRotation="0"/>
    </xf>
    <xf fontId="13" fillId="0" borderId="19" xfId="0">
      <alignment vertical="center" textRotation="0" wrapText="true"/>
    </xf>
    <xf fontId="13" fillId="0" borderId="20" xfId="0">
      <alignment vertical="center" textRotation="0"/>
    </xf>
    <xf fontId="0" fillId="0" borderId="21" xfId="0">
      <alignment vertical="center"/>
    </xf>
    <xf fontId="13" fillId="0" borderId="19" xfId="0">
      <alignment vertical="center" textRotation="0"/>
    </xf>
    <xf numFmtId="0" fontId="14" fillId="0" borderId="19" xfId="0">
      <alignment vertical="center" textRotation="0" wrapText="true"/>
    </xf>
    <xf numFmtId="0" fontId="14" fillId="0" borderId="16" xfId="0">
      <alignment vertical="center" textRotation="0" wrapText="true"/>
    </xf>
    <xf fontId="13" fillId="0" borderId="19" xfId="0">
      <alignment horizontal="left" vertical="center" textRotation="0" wrapText="true"/>
    </xf>
    <xf numFmtId="0" fontId="13" fillId="0" borderId="16" xfId="0">
      <alignment horizontal="left" vertical="center" textRotation="0" wrapText="true"/>
    </xf>
    <xf fontId="15" fillId="0" borderId="16" xfId="0">
      <alignment vertical="center" textRotation="0" wrapText="true"/>
    </xf>
    <xf numFmtId="28" fontId="13" fillId="0" borderId="15" xfId="0">
      <alignment vertical="center" textRotation="0"/>
    </xf>
    <xf numFmtId="0" fontId="13" fillId="0" borderId="17" xfId="0">
      <alignment horizontal="left" vertical="center" textRotation="0" wrapText="true"/>
    </xf>
    <xf fontId="15" fillId="0" borderId="17" xfId="0">
      <alignment vertical="center" textRotation="0" wrapText="true"/>
    </xf>
    <xf numFmtId="28" fontId="13" fillId="0" borderId="17" xfId="0">
      <alignment vertical="center" textRotation="0"/>
    </xf>
    <xf numFmtId="0" fontId="13" fillId="0" borderId="22" xfId="0">
      <alignment vertical="center" textRotation="0" wrapText="true"/>
    </xf>
    <xf numFmtId="0" fontId="13" fillId="0" borderId="19" xfId="0">
      <alignment vertical="center" textRotation="0" wrapText="true"/>
    </xf>
    <xf fontId="0" fillId="0" borderId="23" xfId="0">
      <alignment vertical="center"/>
    </xf>
    <xf numFmtId="0" fontId="13" fillId="0" borderId="18" xfId="0">
      <alignment vertical="center" textRotation="0" wrapText="true"/>
    </xf>
    <xf numFmtId="0" fontId="14" fillId="0" borderId="18" xfId="0">
      <alignment vertical="center" textRotation="0" wrapText="true"/>
    </xf>
    <xf numFmtId="0" fontId="13" fillId="0" borderId="18" xfId="0">
      <alignment vertical="center" textRotation="0"/>
    </xf>
    <xf fontId="13" fillId="0" borderId="16" xfId="0">
      <alignment vertical="center" wrapText="true"/>
    </xf>
    <xf numFmtId="0" fontId="13" fillId="0" borderId="24" xfId="0">
      <alignment vertical="center" textRotation="0" wrapText="true"/>
    </xf>
    <xf numFmtId="0" fontId="13" fillId="0" borderId="15" xfId="0">
      <alignment horizontal="left" vertical="center" textRotation="0" wrapText="true"/>
    </xf>
    <xf numFmtId="0" fontId="16" fillId="0" borderId="15" xfId="0">
      <alignment vertical="center" textRotation="0" wrapText="true"/>
    </xf>
    <xf numFmtId="0" fontId="14" fillId="0" borderId="20" xfId="0">
      <alignment vertical="center" textRotation="0" wrapText="true"/>
    </xf>
    <xf numFmtId="0" fontId="14" fillId="0" borderId="15" xfId="0">
      <alignment vertical="center" textRotation="0" wrapText="true"/>
    </xf>
    <xf fontId="13" fillId="0" borderId="25" xfId="0">
      <alignment vertical="center" textRotation="0" wrapText="true"/>
    </xf>
    <xf numFmtId="0" fontId="14" fillId="0" borderId="25" xfId="0">
      <alignment vertical="center" textRotation="0" wrapText="true"/>
    </xf>
    <xf fontId="0" fillId="0" borderId="17" xfId="0">
      <alignment vertical="center"/>
    </xf>
    <xf numFmtId="0" fontId="13" fillId="0" borderId="25" xfId="0">
      <alignment horizontal="left" vertical="center" textRotation="0" wrapText="true"/>
    </xf>
    <xf numFmtId="0" fontId="17" fillId="0" borderId="25" xfId="0">
      <alignment vertical="center" textRotation="0" wrapText="true"/>
    </xf>
    <xf numFmtId="0" fontId="13" fillId="0" borderId="25" xfId="0">
      <alignment vertical="center" textRotation="0" wrapText="true"/>
    </xf>
    <xf fontId="18" fillId="0" borderId="25" xfId="0">
      <alignment vertical="center" textRotation="0" wrapText="true"/>
    </xf>
    <xf numFmtId="0" fontId="19" fillId="0" borderId="17" xfId="0">
      <alignment vertical="center" textRotation="0" wrapText="true"/>
    </xf>
    <xf fontId="13" fillId="0" borderId="17" xfId="0">
      <alignment horizontal="left" vertical="center" textRotation="0" wrapText="true"/>
    </xf>
    <xf numFmtId="0" fontId="13" fillId="6" borderId="15" xfId="0">
      <alignment vertical="center" textRotation="0" wrapText="true"/>
    </xf>
    <xf fontId="13" fillId="0" borderId="15" xfId="0">
      <alignment horizontal="left" vertical="center" textRotation="0" wrapText="true"/>
    </xf>
    <xf numFmtId="0" fontId="18" fillId="6" borderId="15" xfId="0">
      <alignment vertical="center" textRotation="0" wrapText="true"/>
    </xf>
    <xf numFmtId="0" fontId="18" fillId="0" borderId="15" xfId="0">
      <alignment vertical="center" textRotation="0"/>
    </xf>
    <xf fontId="18" fillId="0" borderId="15" xfId="0">
      <alignment vertical="center" textRotation="0"/>
    </xf>
    <xf numFmtId="0" fontId="20" fillId="0" borderId="15" xfId="0">
      <alignment vertical="center" textRotation="0" wrapText="true"/>
    </xf>
    <xf fontId="18" fillId="0" borderId="15" xfId="0">
      <alignment vertical="center" textRotation="0" wrapText="true"/>
    </xf>
    <xf fontId="13" fillId="0" borderId="26" xfId="0">
      <alignment vertical="center" textRotation="0" wrapText="true"/>
    </xf>
    <xf numFmtId="0" fontId="14" fillId="0" borderId="17" xfId="0">
      <alignment vertical="center" textRotation="0" wrapText="true"/>
    </xf>
    <xf numFmtId="0" fontId="18" fillId="0" borderId="17" xfId="0">
      <alignment vertical="center" textRotation="0"/>
    </xf>
    <xf numFmtId="0" fontId="18" fillId="0" borderId="17" xfId="0">
      <alignment horizontal="left" vertical="center" textRotation="0" wrapText="true"/>
    </xf>
    <xf numFmtId="0" fontId="17" fillId="0" borderId="17" xfId="0">
      <alignment vertical="center" textRotation="0" wrapText="true"/>
    </xf>
    <xf fontId="13" fillId="0" borderId="27" xfId="0">
      <alignment vertical="center" textRotation="0"/>
    </xf>
    <xf numFmtId="302" fontId="21" fillId="0" borderId="8" xfId="0" applyFont="true" applyBorder="true" applyAlignment="true">
      <alignment horizontal="left" vertical="center" wrapText="true"/>
    </xf>
    <xf numFmtId="302" fontId="22" fillId="0" borderId="9" xfId="0" applyFont="true" applyBorder="true" applyAlignment="true">
      <alignment horizontal="left" vertical="center" wrapText="true"/>
    </xf>
    <xf numFmtId="302" fontId="22" fillId="0" borderId="12" xfId="0" applyFont="true" applyBorder="true" applyAlignment="true">
      <alignment horizontal="left" vertical="center" wrapText="true"/>
    </xf>
    <xf numFmtId="302" fontId="23" fillId="0" borderId="43" xfId="0" applyFont="true" applyAlignment="true">
      <alignment horizontal="center" vertical="center"/>
    </xf>
    <xf numFmtId="302" fontId="24" fillId="0" borderId="43" xfId="0" applyFont="true" applyAlignment="true">
      <alignment horizontal="center" vertical="center"/>
    </xf>
    <xf numFmtId="0" fontId="0" fillId="0" borderId="0" xfId="0">
      <alignment vertical="center"/>
    </xf>
    <xf numFmtId="0" fontId="0" fillId="0" borderId="0" xfId="0">
      <alignment vertical="center"/>
    </xf>
    <xf numFmtId="302" fontId="37" fillId="0" borderId="43" xfId="0">
      <alignment vertical="center"/>
    </xf>
    <xf numFmtId="302" fontId="25" fillId="0" borderId="3" xfId="0" applyFont="true" applyBorder="true" applyAlignment="true">
      <alignment horizontal="left" vertical="center"/>
    </xf>
    <xf numFmtId="302" fontId="26" fillId="0" borderId="3" xfId="0" applyFont="true" applyBorder="true" applyAlignment="true">
      <alignment horizontal="left" vertical="center"/>
    </xf>
    <xf numFmtId="302" fontId="27" fillId="3" borderId="7" xfId="0" applyFont="true" applyFill="true" applyBorder="true">
      <alignment vertical="center"/>
    </xf>
    <xf numFmtId="302" fontId="8" fillId="0" borderId="28" xfId="0" applyFont="true" applyBorder="true" applyAlignment="true">
      <alignment horizontal="center" vertical="center"/>
    </xf>
    <xf numFmtId="302" fontId="8" fillId="0" borderId="7" xfId="0" applyFont="true" applyBorder="true" applyAlignment="true">
      <alignment vertical="top" wrapText="true"/>
    </xf>
    <xf numFmtId="302" fontId="28" fillId="0" borderId="7" xfId="0" applyFont="true" applyBorder="true" applyAlignment="true">
      <alignment vertical="top" wrapText="true"/>
    </xf>
    <xf numFmtId="302" fontId="8" fillId="0" borderId="7" xfId="0" applyFont="true" applyBorder="true" applyAlignment="true">
      <alignment horizontal="center" vertical="center"/>
    </xf>
    <xf numFmtId="302" fontId="8" fillId="8" borderId="7" xfId="0" applyFont="true" applyFill="true" applyBorder="true" applyAlignment="true">
      <alignment vertical="top" wrapText="true"/>
    </xf>
    <xf numFmtId="302" fontId="8" fillId="0" borderId="29" xfId="0" applyFont="true" applyBorder="true" applyAlignment="true">
      <alignment horizontal="center" vertical="center"/>
    </xf>
    <xf numFmtId="302" fontId="8" fillId="0" borderId="30" xfId="0" applyFont="true" applyBorder="true" applyAlignment="true">
      <alignment horizontal="center" vertical="center"/>
    </xf>
    <xf numFmtId="302" fontId="8" fillId="0" borderId="43" xfId="0" applyFont="true" applyAlignment="true">
      <alignment vertical="center" wrapText="true"/>
    </xf>
    <xf numFmtId="302" fontId="8" fillId="0" borderId="7" xfId="0" applyFont="true" applyBorder="true">
      <alignment vertical="center"/>
    </xf>
    <xf numFmtId="302" fontId="8" fillId="0" borderId="7" xfId="0" applyFont="true" applyBorder="true" applyAlignment="true">
      <alignment vertical="center" wrapText="true"/>
    </xf>
    <xf numFmtId="302" fontId="29" fillId="0" borderId="7" xfId="0" applyFont="true" applyBorder="true" applyAlignment="true">
      <alignment vertical="top" wrapText="true"/>
    </xf>
    <xf numFmtId="302" fontId="8" fillId="0" borderId="31" xfId="0" applyFont="true" applyBorder="true" applyAlignment="true">
      <alignment horizontal="center" vertical="center"/>
    </xf>
    <xf numFmtId="302" fontId="8" fillId="0" borderId="12" xfId="0" applyFont="true" applyBorder="true" applyAlignment="true">
      <alignment vertical="top" wrapText="true"/>
    </xf>
    <xf numFmtId="302" fontId="8" fillId="0" borderId="32" xfId="0" applyFont="true" applyBorder="true" applyAlignment="true">
      <alignment horizontal="center" vertical="center"/>
    </xf>
    <xf numFmtId="302" fontId="8" fillId="0" borderId="28" xfId="0" applyFont="true" applyBorder="true" applyAlignment="true">
      <alignment horizontal="left" vertical="top" wrapText="true"/>
    </xf>
    <xf numFmtId="302" fontId="6" fillId="0" borderId="7" xfId="0" applyFont="true" applyBorder="true" applyAlignment="true">
      <alignment horizontal="center" vertical="center"/>
    </xf>
    <xf numFmtId="302" fontId="8" fillId="0" borderId="29" xfId="0" applyFont="true" applyBorder="true" applyAlignment="true">
      <alignment horizontal="left" vertical="top" wrapText="true"/>
    </xf>
    <xf numFmtId="302" fontId="8" fillId="0" borderId="30" xfId="0" applyFont="true" applyBorder="true" applyAlignment="true">
      <alignment horizontal="left" vertical="top" wrapText="true"/>
    </xf>
    <xf numFmtId="302" fontId="8" fillId="0" borderId="28" xfId="0" applyFont="true" applyBorder="true" applyAlignment="true">
      <alignment vertical="top" wrapText="true"/>
    </xf>
    <xf numFmtId="302" fontId="8" fillId="0" borderId="29" xfId="0" applyFont="true" applyBorder="true" applyAlignment="true">
      <alignment vertical="top" wrapText="true"/>
    </xf>
    <xf numFmtId="302" fontId="8" fillId="0" borderId="31" xfId="0" applyFont="true" applyBorder="true" applyAlignment="true">
      <alignment vertical="top" wrapText="true"/>
    </xf>
    <xf numFmtId="302" fontId="8" fillId="0" borderId="8" xfId="0" applyFont="true" applyBorder="true" applyAlignment="true">
      <alignment vertical="top" wrapText="true"/>
    </xf>
    <xf numFmtId="302" fontId="8" fillId="8" borderId="8" xfId="0" applyFont="true" applyFill="true" applyBorder="true" applyAlignment="true">
      <alignment vertical="top" wrapText="true"/>
    </xf>
    <xf numFmtId="302" fontId="8" fillId="8" borderId="12" xfId="0" applyFont="true" applyFill="true" applyBorder="true" applyAlignment="true">
      <alignment vertical="top" wrapText="true"/>
    </xf>
    <xf numFmtId="302" fontId="30" fillId="0" borderId="43" xfId="0" applyFont="true">
      <alignment vertical="center"/>
    </xf>
    <xf numFmtId="302" fontId="6" fillId="0" borderId="43" xfId="0" applyFont="true">
      <alignment vertical="center"/>
    </xf>
    <xf numFmtId="0" fontId="0" fillId="0" borderId="0" xfId="0">
      <alignment vertical="center"/>
    </xf>
    <xf numFmtId="302" fontId="31" fillId="0" borderId="8" xfId="0" applyFont="true" applyBorder="true" applyAlignment="true">
      <alignment vertical="center" wrapText="true"/>
    </xf>
    <xf numFmtId="302" fontId="31" fillId="0" borderId="9" xfId="0" applyFont="true" applyBorder="true" applyAlignment="true">
      <alignment horizontal="left" vertical="center" wrapText="true"/>
    </xf>
    <xf numFmtId="302" fontId="32" fillId="0" borderId="9" xfId="0" applyFont="true" applyBorder="true" applyAlignment="true">
      <alignment horizontal="left" vertical="center" wrapText="true"/>
    </xf>
    <xf numFmtId="302" fontId="3" fillId="0" borderId="8" xfId="0" applyFont="true" applyBorder="true" applyAlignment="true">
      <alignment horizontal="left" vertical="top" wrapText="true"/>
    </xf>
    <xf numFmtId="302" fontId="3" fillId="0" borderId="9" xfId="0" applyFont="true" applyBorder="true" applyAlignment="true">
      <alignment horizontal="left" vertical="top" wrapText="true"/>
    </xf>
    <xf numFmtId="302" fontId="3" fillId="0" borderId="12" xfId="0" applyFont="true" applyBorder="true" applyAlignment="true">
      <alignment horizontal="left" vertical="top" wrapText="true"/>
    </xf>
    <xf numFmtId="302" fontId="3" fillId="0" borderId="5" xfId="0" applyFont="true" applyBorder="true" applyAlignment="true">
      <alignment horizontal="left" vertical="top" wrapText="true"/>
    </xf>
    <xf numFmtId="302" fontId="3" fillId="0" borderId="33" xfId="0" applyFont="true" applyBorder="true" applyAlignment="true">
      <alignment horizontal="left" vertical="top" wrapText="true"/>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302" fontId="37" fillId="0" borderId="30" xfId="0" applyBorder="true" applyAlignment="true">
      <alignment vertical="center" wrapText="true"/>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0" fontId="0" fillId="0" borderId="0" xfId="0">
      <alignment vertical="center"/>
    </xf>
    <xf numFmtId="302" fontId="34" fillId="0" borderId="43" xfId="0" applyFont="true">
      <alignment vertical="center"/>
    </xf>
    <xf numFmtId="302" fontId="35" fillId="0" borderId="43" xfId="0" applyFont="true">
      <alignment vertical="center"/>
    </xf>
    <xf numFmtId="302" fontId="8" fillId="0" borderId="43" xfId="0" applyFont="true">
      <alignment vertical="center"/>
    </xf>
    <xf numFmtId="302" fontId="34" fillId="0" borderId="43" xfId="0" applyFont="true" applyAlignment="true">
      <alignment horizontal="left" vertical="center"/>
    </xf>
    <xf numFmtId="302" fontId="35" fillId="0" borderId="43" xfId="0" applyFont="true" applyAlignment="true">
      <alignment horizontal="left" vertical="center"/>
    </xf>
    <xf fontId="0" fillId="0" borderId="0" xfId="0">
      <alignment vertical="center" wrapText="true"/>
    </xf>
    <xf numFmtId="302" fontId="37" fillId="10" borderId="43" xfId="0" applyNumberFormat="true" applyFill="true" applyBorder="true" applyAlignment="true">
      <alignment vertical="center" wrapText="true"/>
    </xf>
    <xf fontId="0" fillId="0" borderId="0" xfId="0">
      <alignment horizontal="left" vertical="center"/>
    </xf>
    <xf numFmtId="302" fontId="37" fillId="10" borderId="43" xfId="0" applyNumberFormat="true" applyFill="true" applyBorder="true" applyAlignment="true">
      <alignment vertical="center"/>
    </xf>
    <xf numFmtId="0" fontId="0" fillId="0" borderId="0" xfId="0">
      <alignment vertical="center"/>
    </xf>
    <xf numFmtId="0" fontId="0" fillId="0" borderId="0" xfId="0">
      <alignment vertical="center"/>
    </xf>
    <xf numFmtId="0" fontId="0" fillId="0" borderId="0" xfId="0">
      <alignment vertical="center"/>
    </xf>
    <xf numFmtId="302" fontId="36" fillId="10" borderId="43" xfId="0" applyNumberFormat="true" applyFont="true" applyFill="true" applyBorder="true" applyAlignment="true">
      <alignment horizontal="center" vertical="center"/>
    </xf>
    <xf numFmtId="302" fontId="36" fillId="10" borderId="43" xfId="0" applyNumberFormat="true" applyFont="true" applyFill="true" applyBorder="true" applyAlignment="true">
      <alignment vertical="center"/>
    </xf>
  </cellXfs>
  <cellStyles>
    <cellStyle name="常规" xfId="0" builtinId="0"/>
    <cellStyle name="标题 3" xfId="1" builtinId="18"/>
    <cellStyle name="60% - 强调文字颜色 6" xfId="2" builtinId="52"/>
    <cellStyle name="标题" xfId="3" builtinId="15"/>
    <cellStyle name="强调文字颜色 6" xfId="4" builtinId="49"/>
    <cellStyle name="20% - 强调文字颜色 6" xfId="5" builtinId="50"/>
    <cellStyle name="好" xfId="6" builtinId="26"/>
    <cellStyle name="60% - 强调文字颜色 5" xfId="7" builtinId="48"/>
    <cellStyle name="警告文本" xfId="8" builtinId="11"/>
    <cellStyle name="强调文字颜色 5" xfId="9" builtinId="45"/>
    <cellStyle name="超链接" xfId="10" builtinId="8"/>
    <cellStyle name="已访问的超链接" xfId="11" builtinId="9"/>
    <cellStyle name="20% - 强调文字颜色 5" xfId="12" builtinId="46"/>
    <cellStyle name="20% - 强调文字颜色 4" xfId="13" builtinId="42"/>
    <cellStyle name="货币[0]" xfId="14" builtinId="7"/>
    <cellStyle name="60% - 强调文字颜色 4" xfId="15" builtinId="44"/>
    <cellStyle name="链接单元格" xfId="16" builtinId="24"/>
    <cellStyle name="汇总" xfId="17" builtinId="25"/>
    <cellStyle name="强调文字颜色 3" xfId="18" builtinId="37"/>
    <cellStyle name="40% - 强调文字颜色 6" xfId="19" builtinId="51"/>
    <cellStyle name="标题 2" xfId="20" builtinId="17"/>
    <cellStyle name="标题 4" xfId="21" builtinId="19"/>
    <cellStyle name="40% - 强调文字颜色 5" xfId="22" builtinId="47"/>
    <cellStyle name="注释" xfId="23" builtinId="10"/>
    <cellStyle name="千位分隔" xfId="24" builtinId="3"/>
    <cellStyle name="60% - 强调文字颜色 3" xfId="25" builtinId="40"/>
    <cellStyle name="输入" xfId="26" builtinId="20"/>
    <cellStyle name="差" xfId="27" builtinId="27"/>
    <cellStyle name="计算" xfId="28" builtinId="22"/>
    <cellStyle name="检查单元格" xfId="29" builtinId="23"/>
    <cellStyle name="60% - 强调文字颜色 1" xfId="30" builtinId="32"/>
    <cellStyle name="输出" xfId="31" builtinId="21"/>
    <cellStyle name="20% - 强调文字颜色 3" xfId="32" builtinId="38"/>
    <cellStyle name="40% - 强调文字颜色 1" xfId="33" builtinId="31"/>
    <cellStyle name="20% - 强调文字颜色 1" xfId="34" builtinId="30"/>
    <cellStyle name="强调文字颜色 1" xfId="35" builtinId="29"/>
    <cellStyle name="适中" xfId="36" builtinId="28"/>
    <cellStyle name="20% - 强调文字颜色 2" xfId="37" builtinId="34"/>
    <cellStyle name="40% - 强调文字颜色 2" xfId="38" builtinId="35"/>
    <cellStyle name="强调文字颜色 2" xfId="39" builtinId="33"/>
    <cellStyle name="标题 1" xfId="40" builtinId="16"/>
    <cellStyle name="解释性文本" xfId="41" builtinId="53"/>
    <cellStyle name="60% - 强调文字颜色 2" xfId="42" builtinId="36"/>
    <cellStyle name="千位分隔[0]" xfId="43" builtinId="6"/>
    <cellStyle name="40% - 强调文字颜色 4" xfId="44" builtinId="43"/>
    <cellStyle name="强调文字颜色 4" xfId="45" builtinId="41"/>
    <cellStyle name="货币" xfId="46" builtinId="4"/>
    <cellStyle name="40% - 强调文字颜色 3" xfId="47" builtinId="39"/>
    <cellStyle name="百分比" xfId="48" builtinId="5"/>
  </cellStyles>
  <dxfs count="2">
    <dxf>
      <fill>
        <patternFill patternType="solid">
          <fgColor indexed="65"/>
          <bgColor rgb="FFFF0000"/>
        </patternFill>
      </fill>
    </dxf>
    <dxf>
      <fill>
        <patternFill patternType="solid">
          <fgColor indexed="65"/>
          <bgColor rgb="FFFFFF00"/>
        </patternFill>
      </fill>
    </dxf>
  </dxfs>
</styleSheet>
</file>

<file path=xl/_rels/workbook.xml.rels><?xml version="1.0" encoding="UTF-8" standalone="yes"?><Relationships xmlns="http://schemas.openxmlformats.org/package/2006/relationships"><Relationship Id="rId8" Type="http://schemas.openxmlformats.org/officeDocument/2006/relationships/worksheet" Target="worksheets/sheet5.xml" /><Relationship Id="rId6" Type="http://schemas.openxmlformats.org/officeDocument/2006/relationships/worksheet" Target="worksheets/sheet3.xml" /><Relationship Id="rId4" Type="http://schemas.openxmlformats.org/officeDocument/2006/relationships/worksheet" Target="worksheets/sheet1.xml" /><Relationship Id="rId5" Type="http://schemas.openxmlformats.org/officeDocument/2006/relationships/worksheet" Target="worksheets/sheet2.xml" /><Relationship Id="rId1" Type="http://schemas.openxmlformats.org/officeDocument/2006/relationships/theme" Target="theme/theme1.xml" /><Relationship Id="rId9" Type="http://schemas.openxmlformats.org/officeDocument/2006/relationships/worksheet" Target="worksheets/sheet6.xml" /><Relationship Id="rId0" Type="http://schemas.openxmlformats.org/officeDocument/2006/relationships/sharedStrings" Target="sharedStrings.xml" /><Relationship Id="rId2" Type="http://schemas.openxmlformats.org/officeDocument/2006/relationships/styles" Target="styles.xml" /><Relationship Id="rId3" Type="http://schemas.microsoft.com/office/2017/10/relationships/person" Target="persons/person.xml" /><Relationship Id="rId10" Type="http://schemas.openxmlformats.org/officeDocument/2006/relationships/worksheet" Target="worksheets/sheet7.xml" /><Relationship Id="rId7" Type="http://schemas.openxmlformats.org/officeDocument/2006/relationships/worksheet" Target="worksheets/sheet4.xml" /><Relationship Id="rId11" Type="http://schemas.openxmlformats.org/officeDocument/2006/relationships/worksheet" Target="worksheets/sheet8.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0</xdr:col>
      <xdr:colOff>133434</xdr:colOff>
      <xdr:row>0</xdr:row>
      <xdr:rowOff>46806</xdr:rowOff>
    </xdr:from>
    <xdr:to>
      <xdr:col>2</xdr:col>
      <xdr:colOff>1000358</xdr:colOff>
      <xdr:row>0</xdr:row>
      <xdr:rowOff>572691</xdr:rowOff>
    </xdr:to>
    <xdr:pic>
      <xdr:nvPicPr>
        <xdr:cNvPr id="1" name="Picture 353"/>
        <xdr:cNvPicPr>
          <a:picLocks noChangeAspect="true"/>
        </xdr:cNvPicPr>
      </xdr:nvPicPr>
      <xdr:blipFill>
        <a:blip r:embed="rId0"/>
        <a:stretch>
          <a:fillRect/>
        </a:stretch>
      </xdr:blipFill>
      <xdr:spPr>
        <a:xfrm>
          <a:off x="133350" y="47625"/>
          <a:ext cx="1524000" cy="523875"/>
        </a:xfrm>
        <a:prstGeom prst="rect"/>
        <a:noFill/>
        <a:ln w="9525">
          <a:noFill/>
        </a:ln>
      </xdr:spPr>
    </xdr:pic>
    <xdr:clientData/>
  </xdr:twoCellAnchor>
</xdr:wsDr>
</file>

<file path=xl/persons/person.xml><?xml version="1.0" encoding="utf-8"?>
<tc2018:personList xmlns:tc2018="http://schemas.microsoft.com/office/spreadsheetml/2018/threadedcomments" xmlns:mc="http://schemas.openxmlformats.org/markup-compatibility/2006" mc:Ignorable="tc2018">
  <tc2018:person displayName="祝显伟(12655)" id="{DD544DF0-6C9E-46B8-B852-900208CE726D}"/>
</tc2018:personList>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false"/>
        </a:gradFill>
        <a:gradFill>
          <a:gsLst>
            <a:gs pos="0">
              <a:schemeClr val="phClr">
                <a:hueOff val="-2520000"/>
              </a:schemeClr>
            </a:gs>
            <a:gs pos="100000">
              <a:schemeClr val="phClr"/>
            </a:gs>
          </a:gsLst>
          <a:lin ang="2700000" scaled="false"/>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true"/>
          </a:gradFill>
          <a:prstDash val="solid"/>
          <a:miter lim="800000"/>
        </a:ln>
      </a:lnStyleLst>
      <a:effectStyleLst>
        <a:effectStyle>
          <a:effectLst>
            <a:outerShdw blurRad="101600" dist="50800" dir="5400000" algn="ctr" rotWithShape="false">
              <a:schemeClr val="phClr">
                <a:alpha val="60000"/>
              </a:schemeClr>
            </a:outerShdw>
          </a:effectLst>
        </a:effectStyle>
        <a:effectStyle>
          <a:effectLst>
            <a:reflection stA="50000" endA="300" endPos="40000" dist="25400" dir="5400000" sy="-100000" algn="bl" rotWithShape="fals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B36" dT="2026-04-25T03:58:33Z" personId="{DD544DF0-6C9E-46B8-B852-900208CE726D}" id="{9D82464F-3651-4AA6-B1A0-8824F4079E99}">
    <tc2018:text>下单即交付，首批量充足供应销售</tc2018:text>
  </tc2018:threadedComment>
  <tc2018:threadedComment ref="B33" dT="2026-04-25T03:58:03Z" personId="{DD544DF0-6C9E-46B8-B852-900208CE726D}" id="{E65F9C57-00E2-4969-8277-566CBD459A1A}">
    <tc2018:text>软件预发布（软件、小批量设备都准备好），用于开放PoC测试和前三单交付</tc2018:text>
  </tc2018:threadedComment>
</tc2018:ThreadedComments>
</file>

<file path=xl/worksheets/_rels/sheet1.xml.rels><?xml version="1.0" encoding="UTF-8" standalone="yes"?><Relationships xmlns="http://schemas.openxmlformats.org/package/2006/relationships"><Relationship Id="rId2" Type="http://schemas.microsoft.com/office/2017/10/relationships/threadedComment" Target="../threadedComments/threadedComment1.xml" /><Relationship Id="rId0" Type="http://schemas.openxmlformats.org/officeDocument/2006/relationships/vmlDrawing" Target="../drawings/vmlDrawing1.vml" /><Relationship Id="rId1" Type="http://schemas.openxmlformats.org/officeDocument/2006/relationships/comments" Target="../comments1.xml" /></Relationships>
</file>

<file path=xl/worksheets/_rels/sheet2.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codeName="里程碑计划"/>
  <dimension ref="M36"/>
  <sheetViews>
    <sheetView showGridLines="true" tabSelected="false" workbookViewId="0">
      <pane ySplit="1" topLeftCell="A2" state="frozen"/>
    </sheetView>
  </sheetViews>
  <sheetFormatPr defaultColWidth="9" defaultRowHeight="13.5"/>
  <cols>
    <col min="1" max="1" width="20.2305" style="201" customWidth="true"/>
    <col min="2" max="2" width="19.625" style="202" customWidth="true"/>
    <col min="3" max="3" width="15.7031" customWidth="true"/>
    <col min="4" max="4" width="14.4727" customWidth="true"/>
    <col min="5" max="5" width="13.9805" customWidth="true"/>
    <col min="6" max="6" width="21.7109" style="203" customWidth="true"/>
    <col min="7" max="7" width="19.9922" customWidth="true"/>
    <col min="8" max="8" width="20.875" customWidth="true"/>
    <col min="9" max="9" width="14.625" customWidth="true"/>
    <col min="10" max="10" width="14.5" customWidth="true"/>
    <col min="11" max="11" width="14" customWidth="true"/>
    <col min="12" max="12" width="15" customWidth="true"/>
    <col min="13" max="13" width="48.5" customWidth="true"/>
  </cols>
  <sheetData>
    <row r="1" spans="1:13">
      <c r="A1" s="48" t="s">
        <v>43</v>
      </c>
      <c r="B1" s="48" t="s">
        <v>44</v>
      </c>
      <c r="C1" s="49" t="s">
        <v>45</v>
      </c>
      <c r="D1" s="49" t="s">
        <v>46</v>
      </c>
      <c r="E1" s="49" t="s">
        <v>47</v>
      </c>
      <c r="F1" s="50" t="s">
        <v>48</v>
      </c>
      <c r="G1" s="49" t="s">
        <v>49</v>
      </c>
      <c r="H1" s="49" t="s">
        <v>50</v>
      </c>
      <c r="I1" s="49" t="s">
        <v>51</v>
      </c>
      <c r="J1" s="49" t="s">
        <v>52</v>
      </c>
      <c r="K1" s="49" t="s">
        <v>53</v>
      </c>
      <c r="L1" s="49" t="s">
        <v>54</v>
      </c>
      <c r="M1" s="49" t="s">
        <v>55</v>
      </c>
    </row>
    <row r="2" spans="1:13" ht="153.75" customHeight="true">
      <c r="A2" s="51" t="s">
        <v>56</v>
      </c>
      <c r="B2" s="52" t="s">
        <v>57</v>
      </c>
      <c r="C2" s="53" t="s">
        <v>58</v>
      </c>
      <c r="D2" s="54" t="s"/>
      <c r="E2" s="54" t="s"/>
      <c r="F2" s="55" t="s"/>
      <c r="G2" s="56" t="s">
        <v>59</v>
      </c>
      <c r="H2" s="56" t="s">
        <v>60</v>
      </c>
      <c r="I2" s="54" t="s"/>
      <c r="J2" s="54" t="s"/>
      <c r="K2" s="54" t="s"/>
      <c r="L2" s="54" t="s"/>
      <c r="M2" s="57" t="s"/>
    </row>
    <row r="3" spans="1:13" ht="104.25" customHeight="true">
      <c r="A3" s="51" t="s">
        <v>61</v>
      </c>
      <c r="B3" s="52" t="s">
        <v>62</v>
      </c>
      <c r="C3" s="53" t="s">
        <v>58</v>
      </c>
      <c r="D3" s="54" t="s"/>
      <c r="E3" s="54" t="s"/>
      <c r="F3" s="55" t="s">
        <f>=B2</f>
        <v>57</v>
      </c>
      <c r="G3" s="56" t="s">
        <v>63</v>
      </c>
      <c r="H3" s="56" t="s">
        <v>64</v>
      </c>
      <c r="I3" s="54" t="s"/>
      <c r="J3" s="54" t="s"/>
      <c r="K3" s="54" t="s"/>
      <c r="L3" s="54" t="s"/>
      <c r="M3" s="57" t="s"/>
    </row>
    <row r="4" spans="1:13" ht="185.25" customHeight="true">
      <c r="A4" s="58" t="s">
        <v>65</v>
      </c>
      <c r="B4" s="59" t="s">
        <v>66</v>
      </c>
      <c r="C4" s="60" t="s">
        <v>67</v>
      </c>
      <c r="D4" s="54" t="s"/>
      <c r="E4" s="61" t="s"/>
      <c r="F4" s="62" t="s">
        <f>=B3</f>
        <v>62</v>
      </c>
      <c r="G4" s="63" t="s">
        <v>68</v>
      </c>
      <c r="H4" s="63" t="s">
        <v>493</v>
      </c>
      <c r="I4" s="61" t="s"/>
      <c r="J4" s="61" t="s"/>
      <c r="K4" s="61" t="s"/>
      <c r="L4" s="61" t="s"/>
      <c r="M4" s="64" t="s"/>
    </row>
    <row r="5" spans="1:13" ht="195" customHeight="true">
      <c r="A5" s="56" t="s">
        <v>69</v>
      </c>
      <c r="B5" s="59" t="s">
        <v>70</v>
      </c>
      <c r="C5" s="60" t="s">
        <v>71</v>
      </c>
      <c r="D5" s="54" t="s"/>
      <c r="E5" s="61" t="s"/>
      <c r="F5" s="62" t="s">
        <f>=B4</f>
        <v>66</v>
      </c>
      <c r="G5" s="65" t="s">
        <v>494</v>
      </c>
      <c r="H5" s="63" t="s">
        <v>495</v>
      </c>
      <c r="I5" s="54" t="s"/>
      <c r="J5" s="54" t="s"/>
      <c r="K5" s="54" t="s"/>
      <c r="L5" s="54" t="s"/>
      <c r="M5" s="66" t="s"/>
    </row>
    <row r="6" spans="1:13" ht="90" customHeight="true">
      <c r="A6" s="67" t="s"/>
      <c r="B6" s="59" t="s">
        <v>72</v>
      </c>
      <c r="C6" s="60" t="s">
        <v>73</v>
      </c>
      <c r="D6" s="54" t="s"/>
      <c r="E6" s="54" t="s"/>
      <c r="F6" s="62" t="s">
        <f>=B4</f>
        <v>66</v>
      </c>
      <c r="G6" s="68" t="s">
        <v>74</v>
      </c>
      <c r="H6" s="69" t="s">
        <v>75</v>
      </c>
      <c r="I6" s="54" t="s"/>
      <c r="J6" s="54" t="s"/>
      <c r="K6" s="54" t="s"/>
      <c r="L6" s="54" t="s"/>
      <c r="M6" s="57" t="s"/>
    </row>
    <row r="7" spans="1:13" ht="90" customHeight="true">
      <c r="A7" s="56" t="s">
        <v>76</v>
      </c>
      <c r="B7" s="52" t="s">
        <v>77</v>
      </c>
      <c r="C7" s="60" t="s">
        <v>71</v>
      </c>
      <c r="D7" s="54" t="s"/>
      <c r="E7" s="54" t="s"/>
      <c r="F7" s="55" t="s">
        <f>=B5</f>
        <v>70</v>
      </c>
      <c r="G7" s="65" t="s">
        <v>496</v>
      </c>
      <c r="H7" s="70" t="s">
        <v>78</v>
      </c>
      <c r="I7" s="54" t="s"/>
      <c r="J7" s="54" t="s"/>
      <c r="K7" s="54" t="s"/>
      <c r="L7" s="54" t="s"/>
      <c r="M7" s="57" t="s"/>
    </row>
    <row r="8" spans="1:13" ht="90" customHeight="true">
      <c r="A8" s="67" t="s"/>
      <c r="B8" s="52" t="s">
        <v>79</v>
      </c>
      <c r="C8" s="60" t="s">
        <v>73</v>
      </c>
      <c r="D8" s="54" t="s"/>
      <c r="E8" s="54" t="s"/>
      <c r="F8" s="71" t="s">
        <f>=B6</f>
        <v>72</v>
      </c>
      <c r="G8" s="68" t="s">
        <v>74</v>
      </c>
      <c r="H8" s="69" t="s">
        <v>80</v>
      </c>
      <c r="I8" s="54" t="s"/>
      <c r="J8" s="54" t="s"/>
      <c r="K8" s="54" t="s"/>
      <c r="L8" s="54" t="s"/>
      <c r="M8" s="57" t="s"/>
    </row>
    <row r="9" spans="1:13" ht="152.25" customHeight="true">
      <c r="A9" s="56" t="s">
        <v>81</v>
      </c>
      <c r="B9" s="52" t="s">
        <v>82</v>
      </c>
      <c r="C9" s="53" t="s">
        <v>71</v>
      </c>
      <c r="D9" s="54" t="s"/>
      <c r="E9" s="54" t="s"/>
      <c r="F9" s="72" t="s">
        <f>=B5</f>
        <v>70</v>
      </c>
      <c r="G9" s="73" t="s">
        <v>83</v>
      </c>
      <c r="H9" s="56" t="s">
        <v>84</v>
      </c>
      <c r="I9" s="74" t="s"/>
      <c r="J9" s="54" t="s"/>
      <c r="K9" s="74" t="s"/>
      <c r="L9" s="74" t="s"/>
      <c r="M9" s="57" t="s"/>
    </row>
    <row r="10" spans="1:13" ht="223.5" customHeight="true">
      <c r="A10" s="67" t="s"/>
      <c r="B10" s="59" t="s">
        <v>85</v>
      </c>
      <c r="C10" s="60" t="s">
        <v>73</v>
      </c>
      <c r="D10" s="54" t="s"/>
      <c r="E10" s="61" t="s"/>
      <c r="F10" s="75" t="s">
        <f>=B15</f>
        <v>86</v>
      </c>
      <c r="G10" s="76" t="s">
        <v>87</v>
      </c>
      <c r="H10" s="58" t="s">
        <v>88</v>
      </c>
      <c r="I10" s="77" t="s"/>
      <c r="J10" s="61" t="s"/>
      <c r="K10" s="77" t="s"/>
      <c r="L10" s="77" t="s"/>
      <c r="M10" s="61" t="s"/>
    </row>
    <row r="11" spans="1:13" ht="211.5" customHeight="true">
      <c r="A11" s="56" t="s">
        <v>89</v>
      </c>
      <c r="B11" s="78" t="s">
        <v>90</v>
      </c>
      <c r="C11" s="53" t="s"/>
      <c r="D11" s="54" t="s"/>
      <c r="E11" s="54" t="s"/>
      <c r="F11" s="71" t="s">
        <f>=B9</f>
        <v>82</v>
      </c>
      <c r="G11" s="68" t="s">
        <v>91</v>
      </c>
      <c r="H11" s="79" t="s">
        <v>497</v>
      </c>
      <c r="I11" s="54" t="s"/>
      <c r="J11" s="54" t="s"/>
      <c r="K11" s="54" t="s"/>
      <c r="L11" s="54" t="s"/>
      <c r="M11" s="79" t="s"/>
    </row>
    <row r="12" spans="1:13" ht="134.25" customHeight="true">
      <c r="A12" s="80" t="s"/>
      <c r="B12" s="78" t="s">
        <v>92</v>
      </c>
      <c r="C12" s="60" t="s">
        <v>71</v>
      </c>
      <c r="D12" s="54" t="s"/>
      <c r="E12" s="61" t="s"/>
      <c r="F12" s="62" t="s">
        <f>=B11</f>
        <v>90</v>
      </c>
      <c r="G12" s="64" t="s">
        <v>93</v>
      </c>
      <c r="H12" s="81" t="s">
        <v>498</v>
      </c>
      <c r="I12" s="61" t="s"/>
      <c r="J12" s="61" t="s"/>
      <c r="K12" s="61" t="s"/>
      <c r="L12" s="61" t="s"/>
      <c r="M12" s="81" t="s"/>
    </row>
    <row r="13" spans="1:13" ht="85.5" customHeight="true">
      <c r="A13" s="67" t="s"/>
      <c r="B13" s="59" t="s">
        <v>94</v>
      </c>
      <c r="C13" s="60" t="s">
        <v>73</v>
      </c>
      <c r="D13" s="54" t="s"/>
      <c r="E13" s="61" t="s"/>
      <c r="F13" s="62" t="s">
        <f>=B11</f>
        <v>90</v>
      </c>
      <c r="G13" s="82" t="s">
        <v>95</v>
      </c>
      <c r="H13" s="83" t="s">
        <v>96</v>
      </c>
      <c r="I13" s="61" t="s"/>
      <c r="J13" s="61" t="s"/>
      <c r="K13" s="61" t="s"/>
      <c r="L13" s="61" t="s"/>
      <c r="M13" s="64" t="s"/>
    </row>
    <row r="14" spans="1:13" ht="85.5" customHeight="true">
      <c r="A14" s="84" t="s">
        <v>97</v>
      </c>
      <c r="B14" s="85" t="s">
        <v>98</v>
      </c>
      <c r="C14" s="53" t="s">
        <v>99</v>
      </c>
      <c r="D14" s="54" t="s"/>
      <c r="E14" s="54" t="s"/>
      <c r="F14" s="86" t="s">
        <f>=B12</f>
        <v>92</v>
      </c>
      <c r="G14" s="87" t="s">
        <v>100</v>
      </c>
      <c r="H14" s="88" t="s">
        <v>101</v>
      </c>
      <c r="I14" s="54" t="s"/>
      <c r="J14" s="54" t="s"/>
      <c r="K14" s="54" t="s"/>
      <c r="L14" s="54" t="s"/>
      <c r="M14" s="89" t="s"/>
    </row>
    <row r="15" spans="1:13" ht="288" customHeight="true">
      <c r="A15" s="80" t="s"/>
      <c r="B15" s="78" t="s">
        <v>86</v>
      </c>
      <c r="C15" s="60" t="s">
        <v>99</v>
      </c>
      <c r="D15" s="54" t="s"/>
      <c r="E15" s="61" t="s"/>
      <c r="F15" s="86" t="s">
        <f>=B12</f>
        <v>92</v>
      </c>
      <c r="G15" s="90" t="s">
        <v>499</v>
      </c>
      <c r="H15" s="91" t="s">
        <v>102</v>
      </c>
      <c r="I15" s="61" t="s"/>
      <c r="J15" s="61" t="s"/>
      <c r="K15" s="61" t="s"/>
      <c r="L15" s="61" t="s"/>
      <c r="M15" s="92" t="s"/>
    </row>
    <row r="16" spans="1:13" ht="46.5" customHeight="true">
      <c r="A16" s="80" t="s"/>
      <c r="B16" s="59" t="s">
        <v>103</v>
      </c>
      <c r="C16" s="60" t="s">
        <v>71</v>
      </c>
      <c r="D16" s="54" t="s"/>
      <c r="E16" s="61" t="s"/>
      <c r="F16" s="93" t="s">
        <f>=B15</f>
        <v>86</v>
      </c>
      <c r="G16" s="94" t="s">
        <v>500</v>
      </c>
      <c r="H16" s="95" t="s">
        <v>501</v>
      </c>
      <c r="I16" s="61" t="s"/>
      <c r="J16" s="61" t="s"/>
      <c r="K16" s="61" t="s"/>
      <c r="L16" s="61" t="s"/>
      <c r="M16" s="90" t="s"/>
    </row>
    <row r="17" spans="1:13" ht="73.5" customHeight="true">
      <c r="A17" s="80" t="s"/>
      <c r="B17" s="59" t="s">
        <v>104</v>
      </c>
      <c r="C17" s="60" t="s">
        <v>105</v>
      </c>
      <c r="D17" s="54" t="s"/>
      <c r="E17" s="61" t="s"/>
      <c r="F17" s="93" t="s">
        <f>=B16</f>
        <v>103</v>
      </c>
      <c r="G17" s="95" t="s">
        <v>502</v>
      </c>
      <c r="H17" s="95" t="s">
        <v>503</v>
      </c>
      <c r="I17" s="61" t="s"/>
      <c r="J17" s="61" t="s"/>
      <c r="K17" s="61" t="s"/>
      <c r="L17" s="61" t="s"/>
      <c r="M17" s="95" t="s"/>
    </row>
    <row r="18" spans="1:13" ht="68.25" customHeight="true">
      <c r="A18" s="80" t="s"/>
      <c r="B18" s="59" t="s">
        <v>106</v>
      </c>
      <c r="C18" s="60" t="s">
        <v>71</v>
      </c>
      <c r="D18" s="54" t="s"/>
      <c r="E18" s="61" t="s"/>
      <c r="F18" s="93" t="s">
        <f>=B16</f>
        <v>103</v>
      </c>
      <c r="G18" s="96" t="s">
        <v>107</v>
      </c>
      <c r="H18" s="95" t="s">
        <v>504</v>
      </c>
      <c r="I18" s="61" t="s"/>
      <c r="J18" s="61" t="s"/>
      <c r="K18" s="61" t="s"/>
      <c r="L18" s="61" t="s"/>
      <c r="M18" s="90" t="s"/>
    </row>
    <row r="19" spans="1:13" ht="52.5" customHeight="true">
      <c r="A19" s="80" t="s"/>
      <c r="B19" s="59" t="s">
        <v>108</v>
      </c>
      <c r="C19" s="60" t="s">
        <v>73</v>
      </c>
      <c r="D19" s="54" t="s"/>
      <c r="E19" s="61" t="s"/>
      <c r="F19" s="93" t="s">
        <f>=B16</f>
        <v>103</v>
      </c>
      <c r="G19" s="91" t="s">
        <v>109</v>
      </c>
      <c r="H19" s="95" t="s">
        <v>110</v>
      </c>
      <c r="I19" s="61" t="s"/>
      <c r="J19" s="61" t="s"/>
      <c r="K19" s="61" t="s"/>
      <c r="L19" s="61" t="s"/>
      <c r="M19" s="90" t="s"/>
    </row>
    <row r="20" spans="1:13" ht="78" customHeight="true">
      <c r="A20" s="80" t="s"/>
      <c r="B20" s="59" t="s">
        <v>111</v>
      </c>
      <c r="C20" s="60" t="s">
        <v>99</v>
      </c>
      <c r="D20" s="54" t="s"/>
      <c r="E20" s="61" t="s"/>
      <c r="F20" s="75" t="s">
        <f>=B19</f>
        <v>108</v>
      </c>
      <c r="G20" s="97" t="s">
        <v>112</v>
      </c>
      <c r="H20" s="59" t="s">
        <v>505</v>
      </c>
      <c r="I20" s="77" t="s"/>
      <c r="J20" s="61" t="s"/>
      <c r="K20" s="77" t="s"/>
      <c r="L20" s="77" t="s"/>
      <c r="M20" s="61" t="s"/>
    </row>
    <row r="21" spans="1:13" ht="49.5" customHeight="true">
      <c r="A21" s="67" t="s"/>
      <c r="B21" s="59" t="s">
        <v>113</v>
      </c>
      <c r="C21" s="59" t="s">
        <v>114</v>
      </c>
      <c r="D21" s="54" t="s"/>
      <c r="E21" s="61" t="s"/>
      <c r="F21" s="75" t="s">
        <f>=B20</f>
        <v>111</v>
      </c>
      <c r="G21" s="59" t="s">
        <v>115</v>
      </c>
      <c r="H21" s="59" t="s">
        <v>116</v>
      </c>
      <c r="I21" s="77" t="s"/>
      <c r="J21" s="61" t="s"/>
      <c r="K21" s="77" t="s"/>
      <c r="L21" s="77" t="s"/>
      <c r="M21" s="61" t="s"/>
    </row>
    <row r="22" spans="1:13" ht="83.25" customHeight="true">
      <c r="A22" s="58" t="s">
        <v>117</v>
      </c>
      <c r="B22" s="59" t="s">
        <v>118</v>
      </c>
      <c r="C22" s="60" t="s">
        <v>119</v>
      </c>
      <c r="D22" s="54" t="s"/>
      <c r="E22" s="61" t="s"/>
      <c r="F22" s="98" t="s">
        <f>=B10</f>
        <v>85</v>
      </c>
      <c r="G22" s="58" t="s">
        <v>120</v>
      </c>
      <c r="H22" s="58" t="s">
        <v>121</v>
      </c>
      <c r="I22" s="61" t="s"/>
      <c r="J22" s="61" t="s"/>
      <c r="K22" s="61" t="s"/>
      <c r="L22" s="61" t="s"/>
      <c r="M22" s="61" t="s"/>
    </row>
    <row r="23" spans="1:13" ht="195" customHeight="true">
      <c r="A23" s="56" t="s">
        <v>122</v>
      </c>
      <c r="B23" s="99" t="s">
        <v>123</v>
      </c>
      <c r="C23" s="53" t="s">
        <v>119</v>
      </c>
      <c r="D23" s="54" t="s"/>
      <c r="E23" s="54" t="s"/>
      <c r="F23" s="100" t="s">
        <f>=B22</f>
        <v>118</v>
      </c>
      <c r="G23" s="89" t="s">
        <v>124</v>
      </c>
      <c r="H23" s="51" t="s">
        <v>125</v>
      </c>
      <c r="I23" s="54" t="s"/>
      <c r="J23" s="54" t="s"/>
      <c r="K23" s="54" t="s"/>
      <c r="L23" s="54" t="s"/>
      <c r="M23" s="54" t="s"/>
    </row>
    <row r="24" spans="1:13" ht="195" customHeight="true">
      <c r="A24" s="67" t="s"/>
      <c r="B24" s="101" t="s">
        <v>123</v>
      </c>
      <c r="C24" s="102" t="s">
        <v>126</v>
      </c>
      <c r="D24" s="103" t="s"/>
      <c r="E24" s="103" t="s"/>
      <c r="F24" s="104" t="s">
        <v>127</v>
      </c>
      <c r="G24" s="104" t="s">
        <v>128</v>
      </c>
      <c r="H24" s="105" t="s">
        <v>129</v>
      </c>
      <c r="I24" s="54" t="s"/>
      <c r="J24" s="54" t="s"/>
      <c r="K24" s="54" t="s"/>
      <c r="L24" s="54" t="s"/>
      <c r="M24" s="54" t="s"/>
    </row>
    <row r="25" spans="1:13" ht="195" customHeight="true">
      <c r="A25" s="51" t="s">
        <v>130</v>
      </c>
      <c r="B25" s="99" t="s">
        <v>131</v>
      </c>
      <c r="C25" s="53" t="s">
        <v>119</v>
      </c>
      <c r="D25" s="54" t="s"/>
      <c r="E25" s="54" t="s"/>
      <c r="F25" s="100" t="s">
        <f>=B23</f>
        <v>123</v>
      </c>
      <c r="G25" s="89" t="s">
        <v>132</v>
      </c>
      <c r="H25" s="51" t="s">
        <v>133</v>
      </c>
      <c r="I25" s="54" t="s"/>
      <c r="J25" s="54" t="s"/>
      <c r="K25" s="54" t="s"/>
      <c r="L25" s="54" t="s"/>
      <c r="M25" s="54" t="s"/>
    </row>
    <row r="26" spans="1:13" ht="195" customHeight="true">
      <c r="A26" s="106" t="s">
        <v>134</v>
      </c>
      <c r="B26" s="107" t="s">
        <v>135</v>
      </c>
      <c r="C26" s="108" t="s">
        <v>71</v>
      </c>
      <c r="D26" s="54" t="s"/>
      <c r="E26" s="61" t="s"/>
      <c r="F26" s="109" t="s">
        <v>136</v>
      </c>
      <c r="G26" s="59" t="s">
        <v>506</v>
      </c>
      <c r="H26" s="110" t="s">
        <v>507</v>
      </c>
      <c r="I26" s="77" t="s"/>
      <c r="J26" s="77" t="s"/>
      <c r="K26" s="77" t="s"/>
      <c r="L26" s="77" t="s"/>
      <c r="M26" s="61" t="s"/>
    </row>
    <row r="27" spans="1:13" ht="49.5" customHeight="true">
      <c r="A27" s="80" t="s"/>
      <c r="B27" s="59" t="s">
        <v>137</v>
      </c>
      <c r="C27" s="60" t="s">
        <v>138</v>
      </c>
      <c r="D27" s="54" t="s"/>
      <c r="E27" s="61" t="s"/>
      <c r="F27" s="75" t="s">
        <f>=B20</f>
        <v>111</v>
      </c>
      <c r="G27" s="107" t="s">
        <v>139</v>
      </c>
      <c r="H27" s="107" t="s">
        <v>140</v>
      </c>
      <c r="I27" s="61" t="s"/>
      <c r="J27" s="61" t="s"/>
      <c r="K27" s="61" t="s"/>
      <c r="L27" s="61" t="s"/>
      <c r="M27" s="61" t="s"/>
    </row>
    <row r="28" spans="1:13" ht="33" customHeight="true">
      <c r="A28" s="80" t="s"/>
      <c r="B28" s="59" t="s">
        <v>141</v>
      </c>
      <c r="C28" s="60" t="s">
        <v>138</v>
      </c>
      <c r="D28" s="54" t="s"/>
      <c r="E28" s="61" t="s"/>
      <c r="F28" s="75" t="s">
        <f>=B26</f>
        <v>135</v>
      </c>
      <c r="G28" s="107" t="s">
        <v>142</v>
      </c>
      <c r="H28" s="107" t="s">
        <v>143</v>
      </c>
      <c r="I28" s="61" t="s"/>
      <c r="J28" s="61" t="s"/>
      <c r="K28" s="61" t="s"/>
      <c r="L28" s="61" t="s"/>
      <c r="M28" s="61" t="s"/>
    </row>
    <row r="29" spans="1:13" ht="45" customHeight="true">
      <c r="A29" s="80" t="s"/>
      <c r="B29" s="59" t="s">
        <v>144</v>
      </c>
      <c r="C29" s="60" t="s">
        <v>145</v>
      </c>
      <c r="D29" s="54" t="s"/>
      <c r="E29" s="61" t="s"/>
      <c r="F29" s="98" t="s">
        <f>=B28</f>
        <v>141</v>
      </c>
      <c r="G29" s="107" t="s">
        <v>146</v>
      </c>
      <c r="H29" s="107" t="s">
        <v>147</v>
      </c>
      <c r="I29" s="77" t="s"/>
      <c r="J29" s="61" t="s"/>
      <c r="K29" s="61" t="s"/>
      <c r="L29" s="61" t="s"/>
      <c r="M29" s="58" t="s"/>
    </row>
    <row r="30" spans="1:13" ht="99.75" customHeight="true">
      <c r="A30" s="67" t="s"/>
      <c r="B30" s="59" t="s">
        <v>148</v>
      </c>
      <c r="C30" s="60" t="s">
        <v>99</v>
      </c>
      <c r="D30" s="54" t="s"/>
      <c r="E30" s="61" t="s"/>
      <c r="F30" s="75" t="s">
        <f>=B29</f>
        <v>144</v>
      </c>
      <c r="G30" s="61" t="s">
        <v>149</v>
      </c>
      <c r="H30" s="59" t="s">
        <v>150</v>
      </c>
      <c r="I30" s="77" t="s"/>
      <c r="J30" s="77" t="s"/>
      <c r="K30" s="61" t="s"/>
      <c r="L30" s="61" t="s"/>
      <c r="M30" s="61" t="s"/>
    </row>
    <row r="31" spans="1:13" ht="124.5" customHeight="true">
      <c r="A31" s="51" t="s">
        <v>151</v>
      </c>
      <c r="B31" s="99" t="s">
        <v>152</v>
      </c>
      <c r="C31" s="53" t="s">
        <v>119</v>
      </c>
      <c r="D31" s="54" t="s"/>
      <c r="E31" s="54" t="s"/>
      <c r="F31" s="100" t="s">
        <f>=B29</f>
        <v>144</v>
      </c>
      <c r="G31" s="51" t="s">
        <v>153</v>
      </c>
      <c r="H31" s="51" t="s">
        <v>154</v>
      </c>
      <c r="I31" s="54" t="s"/>
      <c r="J31" s="54" t="s"/>
      <c r="K31" s="54" t="s"/>
      <c r="L31" s="54" t="s"/>
      <c r="M31" s="54" t="s"/>
    </row>
    <row r="32" spans="1:13" ht="54" customHeight="true">
      <c r="A32" s="56" t="s">
        <v>155</v>
      </c>
      <c r="B32" s="99" t="s">
        <v>156</v>
      </c>
      <c r="C32" s="53" t="s"/>
      <c r="D32" s="54" t="s"/>
      <c r="E32" s="54" t="s"/>
      <c r="F32" s="100" t="s">
        <f>=B31</f>
        <v>152</v>
      </c>
      <c r="G32" s="51" t="s"/>
      <c r="H32" s="52" t="s"/>
      <c r="I32" s="54" t="s"/>
      <c r="J32" s="54" t="s"/>
      <c r="K32" s="54" t="s"/>
      <c r="L32" s="54" t="s"/>
      <c r="M32" s="54" t="s"/>
    </row>
    <row r="33" spans="1:13" ht="60" customHeight="true">
      <c r="A33" s="67" t="s"/>
      <c r="B33" s="99" t="s">
        <v>157</v>
      </c>
      <c r="C33" s="53" t="s">
        <v>119</v>
      </c>
      <c r="D33" s="54" t="s"/>
      <c r="E33" s="54" t="s"/>
      <c r="F33" s="100" t="s">
        <f>=B32</f>
        <v>156</v>
      </c>
      <c r="G33" s="51" t="s">
        <v>154</v>
      </c>
      <c r="H33" s="52" t="s">
        <v>158</v>
      </c>
      <c r="I33" s="54" t="s"/>
      <c r="J33" s="54" t="s"/>
      <c r="K33" s="54" t="s"/>
      <c r="L33" s="54" t="s"/>
      <c r="M33" s="54" t="s"/>
    </row>
    <row r="34" spans="1:13" ht="31.5" customHeight="true">
      <c r="A34" s="56" t="s">
        <v>159</v>
      </c>
      <c r="B34" s="99" t="s">
        <v>160</v>
      </c>
      <c r="C34" s="53" t="s">
        <v>138</v>
      </c>
      <c r="D34" s="54" t="s"/>
      <c r="E34" s="54" t="s"/>
      <c r="F34" s="100" t="s">
        <f>=B31</f>
        <v>152</v>
      </c>
      <c r="G34" s="53" t="s">
        <v>161</v>
      </c>
      <c r="H34" s="53" t="s">
        <v>162</v>
      </c>
      <c r="I34" s="54" t="s"/>
      <c r="J34" s="54" t="s"/>
      <c r="K34" s="57" t="s"/>
      <c r="L34" s="57" t="s"/>
      <c r="M34" s="57" t="s"/>
    </row>
    <row r="35" spans="1:13" ht="40.5" customHeight="true">
      <c r="A35" s="80" t="s"/>
      <c r="B35" s="99" t="s">
        <v>163</v>
      </c>
      <c r="C35" s="53" t="s">
        <v>138</v>
      </c>
      <c r="D35" s="54" t="s"/>
      <c r="E35" s="54" t="s"/>
      <c r="F35" s="100" t="s">
        <f>=B34</f>
        <v>160</v>
      </c>
      <c r="G35" s="53" t="s">
        <v>162</v>
      </c>
      <c r="H35" s="53" t="s">
        <v>164</v>
      </c>
      <c r="I35" s="54" t="s"/>
      <c r="J35" s="111" t="s"/>
      <c r="K35" s="54" t="s"/>
      <c r="L35" s="54" t="s"/>
      <c r="M35" s="54" t="s"/>
    </row>
    <row r="36" spans="1:13" ht="30" customHeight="true">
      <c r="A36" s="67" t="s"/>
      <c r="B36" s="99" t="s">
        <v>165</v>
      </c>
      <c r="C36" s="53" t="s">
        <v>166</v>
      </c>
      <c r="D36" s="54" t="s"/>
      <c r="E36" s="54" t="s"/>
      <c r="F36" s="100" t="s">
        <f>=B35</f>
        <v>163</v>
      </c>
      <c r="G36" s="89" t="s">
        <v>167</v>
      </c>
      <c r="H36" s="53" t="s">
        <v>168</v>
      </c>
      <c r="I36" s="54" t="s"/>
      <c r="J36" s="111" t="s"/>
      <c r="K36" s="54" t="s"/>
      <c r="L36" s="54" t="s"/>
      <c r="M36" s="54" t="s"/>
    </row>
  </sheetData>
  <mergeCells count="9">
    <mergeCell ref="A5:A6"/>
    <mergeCell ref="A9:A10"/>
    <mergeCell ref="A14:A21"/>
    <mergeCell ref="A26:A30"/>
    <mergeCell ref="A34:A36"/>
    <mergeCell ref="A32:A33"/>
    <mergeCell ref="A7:A8"/>
    <mergeCell ref="A11:A13"/>
    <mergeCell ref="A23:A24"/>
  </mergeCells>
  <pageMargins left="0.75" right="0.75" top="1" bottom="1" header="0.5" footer="0.5"/>
  <headerFooter/>
  <legacyDrawing r:id="rId0"/>
</worksheet>
</file>

<file path=xl/worksheets/sheet2.xml><?xml version="1.0" encoding="utf-8"?>
<worksheet xmlns:r="http://schemas.openxmlformats.org/officeDocument/2006/relationships" xmlns="http://schemas.openxmlformats.org/spreadsheetml/2006/main">
  <sheetPr/>
  <dimension ref="Z36"/>
  <sheetViews>
    <sheetView showGridLines="false" topLeftCell="A1" zoomScale="130" zoomScaleNormal="130" workbookViewId="0"/>
  </sheetViews>
  <sheetFormatPr defaultColWidth="9" defaultRowHeight="16.5"/>
  <cols>
    <col min="1" max="1" width="2.375" style="204"/>
    <col min="2" max="2" width="6.25" style="204"/>
    <col min="3" max="3" width="17.125" style="204"/>
    <col min="4" max="4" width="17.75" style="204"/>
    <col min="5" max="5" width="19.75" style="204"/>
    <col min="6" max="6" width="11.75" style="204"/>
    <col min="7" max="7" width="7" style="204"/>
    <col min="8" max="8" width="8.25" style="204"/>
    <col min="9" max="9" width="2.5" style="204"/>
    <col min="10" max="10" width="2.625" style="204"/>
    <col min="11" max="11" width="3.125" style="204"/>
    <col min="12" max="12" width="19.875" style="204"/>
    <col min="13" max="13" width="5.375" style="204"/>
    <col min="14" max="14" width="5.625" style="204"/>
    <col min="15" max="15" width="6.875" style="204"/>
    <col min="16" max="26" width="9" style="204"/>
  </cols>
  <sheetData>
    <row r="1" spans="1:6" s="204" customFormat="true" ht="55.5" customHeight="true">
      <c r="A1" s="150" t="s">
        <v>514</v>
      </c>
      <c r="B1" s="151" t="s"/>
      <c r="C1" s="151" t="s"/>
      <c r="E1" s="152" t="s">
        <v>515</v>
      </c>
      <c r="F1" s="151" t="s"/>
    </row>
    <row r="2" spans="1:16" ht="14.25" customHeight="true">
      <c r="A2" s="153" t="s">
        <v>516</v>
      </c>
      <c r="B2" s="154" t="s"/>
      <c r="C2" s="154" t="s"/>
      <c r="D2" s="154" t="s"/>
      <c r="E2" s="154" t="s"/>
      <c r="F2" s="154" t="s"/>
      <c r="G2" s="154" t="s"/>
      <c r="H2" s="154" t="s"/>
      <c r="I2" s="154" t="s"/>
      <c r="J2" s="154" t="s"/>
      <c r="K2" s="154" t="s"/>
      <c r="L2" s="154" t="s"/>
      <c r="M2" s="154" t="s"/>
      <c r="N2" s="154" t="s"/>
      <c r="O2" s="154" t="s"/>
      <c r="P2" s="155" t="s"/>
    </row>
    <row r="3" spans="1:16" ht="39" customHeight="true" thickBot="true">
      <c r="A3" s="156" t="s"/>
      <c r="B3" s="4" t="s"/>
      <c r="C3" s="4" t="s"/>
      <c r="D3" s="4" t="s"/>
      <c r="E3" s="4" t="s"/>
      <c r="F3" s="4" t="s"/>
      <c r="G3" s="4" t="s"/>
      <c r="H3" s="4" t="s"/>
      <c r="I3" s="4" t="s"/>
      <c r="J3" s="4" t="s"/>
      <c r="K3" s="4" t="s"/>
      <c r="L3" s="4" t="s"/>
      <c r="M3" s="4" t="s"/>
      <c r="N3" s="4" t="s"/>
      <c r="O3" s="4" t="s"/>
      <c r="P3" s="157" t="s"/>
    </row>
    <row r="4" spans="1:16" s="205" customFormat="true" ht="13.5" customHeight="true" thickTop="true">
      <c r="A4" s="158" t="s">
        <v>490</v>
      </c>
      <c r="B4" s="159" t="s"/>
      <c r="C4" s="159" t="s"/>
      <c r="D4" s="159" t="s"/>
      <c r="E4" s="159" t="s"/>
      <c r="F4" s="159" t="s"/>
      <c r="G4" s="159" t="s"/>
      <c r="H4" s="159" t="s"/>
      <c r="I4" s="159" t="s"/>
      <c r="J4" s="159" t="s"/>
      <c r="K4" s="159" t="s"/>
      <c r="L4" s="159" t="s"/>
      <c r="M4" s="159" t="s"/>
      <c r="N4" s="159" t="s"/>
      <c r="O4" s="159" t="s"/>
      <c r="P4" s="160" t="s"/>
    </row>
    <row r="5" spans="1:16" s="205" customFormat="true" ht="13.5" customHeight="true">
      <c r="A5" s="161" t="s"/>
      <c r="B5" s="162" t="s"/>
      <c r="C5" s="162" t="s"/>
      <c r="D5" s="162" t="s"/>
      <c r="E5" s="162" t="s"/>
      <c r="F5" s="162" t="s"/>
      <c r="G5" s="162" t="s"/>
      <c r="H5" s="162" t="s"/>
      <c r="I5" s="162" t="s"/>
      <c r="J5" s="162" t="s"/>
      <c r="K5" s="162" t="s"/>
      <c r="L5" s="162" t="s"/>
      <c r="M5" s="162" t="s"/>
      <c r="N5" s="162" t="s"/>
      <c r="O5" s="162" t="s"/>
      <c r="P5" s="163" t="s"/>
    </row>
    <row r="6" spans="1:16" s="206" customFormat="true" ht="22.5" customHeight="true">
      <c r="A6" s="164" t="s">
        <v>1</v>
      </c>
      <c r="B6" s="165" t="s"/>
      <c r="C6" s="166" t="s"/>
      <c r="D6" s="167" t="s"/>
      <c r="E6" s="168" t="s">
        <v>3</v>
      </c>
      <c r="F6" s="24" t="s"/>
      <c r="G6" s="25" t="s"/>
      <c r="H6" s="25" t="s"/>
      <c r="I6" s="169" t="s"/>
      <c r="J6" s="170" t="s"/>
      <c r="K6" s="170" t="s"/>
      <c r="L6" s="170" t="s"/>
      <c r="M6" s="170" t="s"/>
      <c r="N6" s="170" t="s"/>
      <c r="O6" s="170" t="s"/>
      <c r="P6" s="171" t="s"/>
    </row>
    <row r="7" spans="1:16" s="206" customFormat="true" ht="17.25" customHeight="true">
      <c r="A7" s="29" t="s">
        <v>5</v>
      </c>
      <c r="B7" s="30" t="s"/>
      <c r="C7" s="30" t="s"/>
      <c r="D7" s="30" t="s"/>
      <c r="E7" s="30" t="s"/>
      <c r="F7" s="30" t="s"/>
      <c r="G7" s="30" t="s"/>
      <c r="H7" s="30" t="s"/>
      <c r="I7" s="172" t="s">
        <v>517</v>
      </c>
      <c r="J7" s="173" t="s"/>
      <c r="K7" s="173" t="s"/>
      <c r="L7" s="173" t="s"/>
      <c r="M7" s="173" t="s"/>
      <c r="N7" s="173" t="s"/>
      <c r="O7" s="173" t="s"/>
      <c r="P7" s="174" t="s"/>
    </row>
    <row r="8" spans="1:16" s="205" customFormat="true" ht="48" customHeight="true">
      <c r="A8" s="33" t="s">
        <v>22</v>
      </c>
      <c r="B8" s="34" t="s">
        <v>23</v>
      </c>
      <c r="C8" s="34" t="s">
        <v>491</v>
      </c>
      <c r="D8" s="36" t="s">
        <v>27</v>
      </c>
      <c r="E8" s="36" t="s">
        <v>28</v>
      </c>
      <c r="F8" s="36" t="s">
        <v>449</v>
      </c>
      <c r="G8" s="36" t="s">
        <v>30</v>
      </c>
      <c r="H8" s="175" t="s">
        <v>32</v>
      </c>
      <c r="I8" s="176" t="s">
        <v>24</v>
      </c>
      <c r="J8" s="39" t="s">
        <v>25</v>
      </c>
      <c r="K8" s="39" t="s">
        <v>26</v>
      </c>
      <c r="L8" s="39" t="s">
        <v>450</v>
      </c>
      <c r="M8" s="39" t="s">
        <v>31</v>
      </c>
      <c r="N8" s="39" t="s">
        <v>451</v>
      </c>
      <c r="O8" s="177" t="s">
        <v>452</v>
      </c>
      <c r="P8" s="178" t="s">
        <v>32</v>
      </c>
    </row>
    <row r="9" spans="1:16" s="207" customFormat="true" ht="76.5">
      <c r="A9" s="40">
        <v>1</v>
      </c>
      <c r="B9" s="41" t="s"/>
      <c r="C9" s="41" t="s">
        <v>518</v>
      </c>
      <c r="D9" s="41" t="s">
        <v>453</v>
      </c>
      <c r="E9" s="41" t="s">
        <v>454</v>
      </c>
      <c r="F9" s="41" t="s">
        <v>455</v>
      </c>
      <c r="G9" s="43">
        <v>40256</v>
      </c>
      <c r="H9" s="179" t="s"/>
      <c r="I9" s="180" t="s"/>
      <c r="J9" s="181" t="s"/>
      <c r="K9" s="182" t="s">
        <f>=IF(I9*J9&lt;&gt;0,I9*J9,"")</f>
      </c>
      <c r="L9" s="183" t="s"/>
      <c r="M9" s="183" t="s"/>
      <c r="N9" s="184" t="s"/>
      <c r="O9" s="43">
        <v>40544</v>
      </c>
      <c r="P9" s="185" t="s"/>
    </row>
    <row r="10" spans="1:16" s="207" customFormat="true" ht="12.75">
      <c r="A10" s="40">
        <v>2</v>
      </c>
      <c r="B10" s="41" t="s"/>
      <c r="C10" s="41" t="s"/>
      <c r="D10" s="41" t="s"/>
      <c r="E10" s="41" t="s"/>
      <c r="F10" s="41" t="s">
        <v>456</v>
      </c>
      <c r="G10" s="41" t="s"/>
      <c r="H10" s="179" t="s"/>
      <c r="I10" s="180" t="s"/>
      <c r="J10" s="181" t="s"/>
      <c r="K10" s="182" t="s">
        <f>=IF(I10*J10&lt;&gt;0,I10*J10,"")</f>
      </c>
      <c r="L10" s="183" t="s"/>
      <c r="M10" s="183" t="s"/>
      <c r="N10" s="184" t="s"/>
      <c r="O10" s="43" t="s"/>
      <c r="P10" s="185" t="s"/>
    </row>
    <row r="11" spans="1:16" s="207" customFormat="true" ht="12.75">
      <c r="A11" s="40">
        <v>3</v>
      </c>
      <c r="B11" s="41" t="s"/>
      <c r="C11" s="41" t="s"/>
      <c r="D11" s="41" t="s"/>
      <c r="E11" s="41" t="s"/>
      <c r="F11" s="41" t="s">
        <v>457</v>
      </c>
      <c r="G11" s="41" t="s"/>
      <c r="H11" s="179" t="s"/>
      <c r="I11" s="180" t="s"/>
      <c r="J11" s="181" t="s"/>
      <c r="K11" s="182" t="s">
        <f>=IF(I11*J11&lt;&gt;0,I11*J11,"")</f>
      </c>
      <c r="L11" s="183" t="s"/>
      <c r="M11" s="183" t="s"/>
      <c r="N11" s="184" t="s"/>
      <c r="O11" s="43" t="s"/>
      <c r="P11" s="185" t="s"/>
    </row>
    <row r="12" spans="1:16" s="207" customFormat="true" ht="12.75">
      <c r="A12" s="40">
        <v>4</v>
      </c>
      <c r="B12" s="41" t="s"/>
      <c r="C12" s="41" t="s"/>
      <c r="D12" s="41" t="s"/>
      <c r="E12" s="41" t="s"/>
      <c r="F12" s="41" t="s">
        <v>458</v>
      </c>
      <c r="G12" s="41" t="s"/>
      <c r="H12" s="179" t="s"/>
      <c r="I12" s="180" t="s"/>
      <c r="J12" s="181" t="s"/>
      <c r="K12" s="182" t="s">
        <f>=IF(I12*J12&lt;&gt;0,I12*J12,"")</f>
      </c>
      <c r="L12" s="183" t="s"/>
      <c r="M12" s="183" t="s"/>
      <c r="N12" s="184" t="s"/>
      <c r="O12" s="43" t="s"/>
      <c r="P12" s="185" t="s"/>
    </row>
    <row r="13" spans="1:16" s="207" customFormat="true" ht="12.75">
      <c r="A13" s="40">
        <v>5</v>
      </c>
      <c r="B13" s="41" t="s"/>
      <c r="C13" s="41" t="s"/>
      <c r="D13" s="41" t="s"/>
      <c r="E13" s="41" t="s"/>
      <c r="F13" s="41" t="s">
        <v>459</v>
      </c>
      <c r="G13" s="41" t="s"/>
      <c r="H13" s="179" t="s"/>
      <c r="I13" s="180" t="s"/>
      <c r="J13" s="181" t="s"/>
      <c r="K13" s="182" t="s">
        <f>=IF(I13*J13&lt;&gt;0,I13*J13,"")</f>
      </c>
      <c r="L13" s="183" t="s"/>
      <c r="M13" s="183" t="s"/>
      <c r="N13" s="184" t="s"/>
      <c r="O13" s="43" t="s"/>
      <c r="P13" s="185" t="s"/>
    </row>
    <row r="14" spans="1:16" s="207" customFormat="true" ht="12.75">
      <c r="A14" s="40">
        <v>6</v>
      </c>
      <c r="B14" s="41" t="s"/>
      <c r="C14" s="41" t="s"/>
      <c r="D14" s="41" t="s"/>
      <c r="E14" s="41" t="s"/>
      <c r="F14" s="41" t="s">
        <v>460</v>
      </c>
      <c r="G14" s="41" t="s"/>
      <c r="H14" s="179" t="s"/>
      <c r="I14" s="180" t="s"/>
      <c r="J14" s="181" t="s"/>
      <c r="K14" s="182" t="s">
        <f>=IF(I14*J14&lt;&gt;0,I14*J14,"")</f>
      </c>
      <c r="L14" s="183" t="s"/>
      <c r="M14" s="183" t="s"/>
      <c r="N14" s="184" t="s"/>
      <c r="O14" s="43" t="s"/>
      <c r="P14" s="185" t="s"/>
    </row>
    <row r="15" spans="1:16" s="207" customFormat="true" ht="12.75">
      <c r="A15" s="40">
        <v>7</v>
      </c>
      <c r="B15" s="41" t="s"/>
      <c r="C15" s="41" t="s"/>
      <c r="D15" s="41" t="s"/>
      <c r="E15" s="41" t="s"/>
      <c r="F15" s="41" t="s">
        <v>459</v>
      </c>
      <c r="G15" s="41" t="s"/>
      <c r="H15" s="179" t="s"/>
      <c r="I15" s="180" t="s"/>
      <c r="J15" s="181" t="s"/>
      <c r="K15" s="182" t="s">
        <f>=IF(I15*J15&lt;&gt;0,I15*J15,"")</f>
      </c>
      <c r="L15" s="183" t="s"/>
      <c r="M15" s="183" t="s"/>
      <c r="N15" s="184" t="s"/>
      <c r="O15" s="43" t="s"/>
      <c r="P15" s="185" t="s"/>
    </row>
    <row r="16" spans="1:16" s="207" customFormat="true" ht="12.75">
      <c r="A16" s="40">
        <v>8</v>
      </c>
      <c r="B16" s="41" t="s"/>
      <c r="C16" s="41" t="s"/>
      <c r="D16" s="41" t="s"/>
      <c r="E16" s="41" t="s"/>
      <c r="F16" s="41" t="s">
        <v>461</v>
      </c>
      <c r="G16" s="41" t="s"/>
      <c r="H16" s="179" t="s"/>
      <c r="I16" s="180" t="s"/>
      <c r="J16" s="181" t="s"/>
      <c r="K16" s="182" t="s"/>
      <c r="L16" s="183" t="s"/>
      <c r="M16" s="183" t="s"/>
      <c r="N16" s="184" t="s"/>
      <c r="O16" s="43" t="s"/>
      <c r="P16" s="185" t="s"/>
    </row>
    <row r="17" spans="1:16" s="207" customFormat="true" ht="12.75">
      <c r="A17" s="40">
        <v>9</v>
      </c>
      <c r="B17" s="41" t="s"/>
      <c r="C17" s="41" t="s"/>
      <c r="D17" s="41" t="s"/>
      <c r="E17" s="41" t="s"/>
      <c r="F17" s="41" t="s">
        <v>456</v>
      </c>
      <c r="G17" s="41" t="s"/>
      <c r="H17" s="179" t="s"/>
      <c r="I17" s="180" t="s"/>
      <c r="J17" s="181" t="s"/>
      <c r="K17" s="182" t="s"/>
      <c r="L17" s="183" t="s"/>
      <c r="M17" s="183" t="s"/>
      <c r="N17" s="184" t="s"/>
      <c r="O17" s="43" t="s"/>
      <c r="P17" s="185" t="s"/>
    </row>
    <row r="18" spans="1:16" s="207" customFormat="true" ht="12.75">
      <c r="A18" s="40">
        <v>10</v>
      </c>
      <c r="B18" s="41" t="s"/>
      <c r="C18" s="41" t="s"/>
      <c r="D18" s="41" t="s"/>
      <c r="E18" s="41" t="s"/>
      <c r="F18" s="41" t="s">
        <v>462</v>
      </c>
      <c r="G18" s="41" t="s"/>
      <c r="H18" s="179" t="s"/>
      <c r="I18" s="180" t="s"/>
      <c r="J18" s="181" t="s"/>
      <c r="K18" s="182" t="s"/>
      <c r="L18" s="183" t="s"/>
      <c r="M18" s="183" t="s"/>
      <c r="N18" s="184" t="s"/>
      <c r="O18" s="43" t="s"/>
      <c r="P18" s="185" t="s"/>
    </row>
    <row r="19" spans="1:16" s="207" customFormat="true" ht="13.5" thickBot="true">
      <c r="A19" s="186">
        <v>11</v>
      </c>
      <c r="B19" s="187" t="s"/>
      <c r="C19" s="187" t="s"/>
      <c r="D19" s="187" t="s"/>
      <c r="E19" s="187" t="s"/>
      <c r="F19" s="41" t="s">
        <v>462</v>
      </c>
      <c r="G19" s="187" t="s"/>
      <c r="H19" s="188" t="s"/>
      <c r="I19" s="189" t="s"/>
      <c r="J19" s="190" t="s"/>
      <c r="K19" s="191" t="s"/>
      <c r="L19" s="192" t="s"/>
      <c r="M19" s="192" t="s"/>
      <c r="N19" s="193" t="s"/>
      <c r="O19" s="194" t="s"/>
      <c r="P19" s="195" t="s"/>
    </row>
    <row r="20" spans="1:26" ht="17.25" thickTop="true"/>
    <row r="21" spans="1:7" ht="16.5">
      <c r="A21" s="148" t="s"/>
      <c r="B21" s="196" t="s">
        <v>463</v>
      </c>
      <c r="C21" s="197" t="s"/>
      <c r="D21" s="148" t="s"/>
      <c r="E21" s="148" t="s"/>
      <c r="F21" s="148" t="s"/>
      <c r="G21" s="148" t="s"/>
    </row>
    <row r="22" spans="1:7" ht="16.5">
      <c r="A22" s="148" t="s"/>
      <c r="B22" s="148" t="s"/>
      <c r="C22" s="198" t="s">
        <v>464</v>
      </c>
      <c r="D22" s="198" t="s">
        <v>465</v>
      </c>
      <c r="E22" s="148" t="s"/>
      <c r="F22" s="148" t="s"/>
      <c r="G22" s="148" t="s"/>
    </row>
    <row r="23" spans="1:7" ht="16.5">
      <c r="A23" s="148" t="s"/>
      <c r="B23" s="148" t="s"/>
      <c r="C23" s="198" t="s">
        <v>466</v>
      </c>
      <c r="D23" s="198" t="s">
        <v>467</v>
      </c>
      <c r="E23" s="148" t="s"/>
      <c r="F23" s="148" t="s"/>
      <c r="G23" s="148" t="s"/>
    </row>
    <row r="24" spans="1:7" ht="16.5">
      <c r="A24" s="148" t="s"/>
      <c r="B24" s="148" t="s"/>
      <c r="C24" s="198" t="s">
        <v>468</v>
      </c>
      <c r="D24" s="198" t="s">
        <v>469</v>
      </c>
      <c r="E24" s="148" t="s"/>
      <c r="F24" s="148" t="s"/>
      <c r="G24" s="148" t="s"/>
    </row>
    <row r="25" spans="1:7" ht="16.5">
      <c r="A25" s="148" t="s"/>
      <c r="B25" s="148" t="s"/>
      <c r="C25" s="198" t="s">
        <v>470</v>
      </c>
      <c r="D25" s="198" t="s">
        <v>471</v>
      </c>
      <c r="E25" s="148" t="s"/>
      <c r="F25" s="148" t="s"/>
      <c r="G25" s="148" t="s"/>
    </row>
    <row r="26" spans="1:7" ht="16.5">
      <c r="A26" s="148" t="s"/>
      <c r="B26" s="148" t="s"/>
      <c r="C26" s="198" t="s">
        <v>472</v>
      </c>
      <c r="D26" s="198" t="s">
        <v>473</v>
      </c>
      <c r="E26" s="148" t="s"/>
      <c r="F26" s="148" t="s"/>
      <c r="G26" s="148" t="s"/>
    </row>
    <row r="27" spans="1:7" ht="16.5">
      <c r="A27" s="148" t="s"/>
      <c r="B27" s="148" t="s"/>
      <c r="C27" s="198" t="s">
        <v>474</v>
      </c>
      <c r="D27" s="198" t="s">
        <v>475</v>
      </c>
      <c r="E27" s="148" t="s"/>
      <c r="F27" s="148" t="s"/>
      <c r="G27" s="148" t="s"/>
    </row>
    <row r="28" spans="1:7" ht="16.5">
      <c r="A28" s="148" t="s"/>
      <c r="B28" s="148" t="s"/>
      <c r="C28" s="198" t="s">
        <v>476</v>
      </c>
      <c r="D28" s="198" t="s">
        <v>477</v>
      </c>
      <c r="E28" s="148" t="s"/>
      <c r="F28" s="148" t="s"/>
      <c r="G28" s="148" t="s"/>
    </row>
    <row r="29" spans="1:7" ht="16.5">
      <c r="A29" s="148" t="s"/>
      <c r="B29" s="148" t="s"/>
      <c r="C29" s="198" t="s">
        <v>478</v>
      </c>
      <c r="D29" s="198" t="s"/>
      <c r="E29" s="148" t="s"/>
      <c r="F29" s="148" t="s"/>
      <c r="G29" s="148" t="s"/>
    </row>
    <row r="30" spans="1:7" ht="16.5">
      <c r="A30" s="148" t="s"/>
      <c r="B30" s="148" t="s"/>
      <c r="C30" s="198" t="s">
        <v>479</v>
      </c>
      <c r="D30" s="198" t="s">
        <v>480</v>
      </c>
      <c r="E30" s="148" t="s"/>
      <c r="F30" s="148" t="s"/>
      <c r="G30" s="148" t="s"/>
    </row>
    <row r="31" spans="1:7" ht="16.5">
      <c r="A31" s="148" t="s"/>
      <c r="B31" s="148" t="s">
        <v>519</v>
      </c>
      <c r="C31" s="198" t="s">
        <v>481</v>
      </c>
      <c r="D31" s="148" t="s"/>
      <c r="E31" s="148" t="s"/>
      <c r="F31" s="148" t="s"/>
      <c r="G31" s="148" t="s"/>
    </row>
    <row r="32" spans="1:7" ht="16.5">
      <c r="A32" s="148" t="s"/>
      <c r="B32" s="148" t="s"/>
      <c r="C32" s="148" t="s"/>
      <c r="D32" s="148" t="s"/>
      <c r="E32" s="148" t="s"/>
      <c r="F32" s="148" t="s"/>
      <c r="G32" s="148" t="s"/>
    </row>
    <row r="33" spans="1:7" ht="16.5">
      <c r="A33" s="148" t="s"/>
      <c r="B33" s="199" t="s">
        <v>482</v>
      </c>
      <c r="C33" s="200" t="s"/>
      <c r="D33" s="200" t="s"/>
      <c r="E33" s="148" t="s"/>
      <c r="F33" s="148" t="s"/>
      <c r="G33" s="148" t="s"/>
    </row>
    <row r="34" spans="1:8" ht="16.5">
      <c r="A34" s="148" t="s"/>
      <c r="B34" s="148" t="s"/>
      <c r="C34" s="198" t="s">
        <v>483</v>
      </c>
      <c r="D34" s="198" t="s">
        <v>484</v>
      </c>
      <c r="E34" s="198" t="s"/>
      <c r="F34" s="198" t="s"/>
      <c r="G34" s="198" t="s"/>
      <c r="H34" s="198" t="s"/>
    </row>
    <row r="35" spans="1:8" ht="16.5">
      <c r="A35" s="148" t="s"/>
      <c r="B35" s="148" t="s"/>
      <c r="C35" s="198" t="s">
        <v>485</v>
      </c>
      <c r="D35" s="198" t="s">
        <v>486</v>
      </c>
      <c r="E35" s="198" t="s"/>
      <c r="F35" s="198" t="s"/>
      <c r="G35" s="198" t="s"/>
      <c r="H35" s="198" t="s"/>
    </row>
    <row r="36" spans="3:8" ht="16.5">
      <c r="C36" s="198" t="s">
        <v>487</v>
      </c>
      <c r="D36" s="198" t="s">
        <v>488</v>
      </c>
      <c r="E36" s="198" t="s"/>
      <c r="F36" s="198" t="s"/>
      <c r="G36" s="198" t="s"/>
      <c r="H36" s="198" t="s"/>
    </row>
  </sheetData>
  <sheetProtection/>
  <mergeCells count="9">
    <mergeCell ref="B1:C1"/>
    <mergeCell ref="E1:F1"/>
    <mergeCell ref="A6:B6"/>
    <mergeCell ref="F6:H6"/>
    <mergeCell ref="A7:H7"/>
    <mergeCell ref="I7:P7"/>
    <mergeCell ref="B33:D33"/>
    <mergeCell ref="A2:P3"/>
    <mergeCell ref="A4:P5"/>
  </mergeCells>
  <dataValidations>
    <dataValidation type="list" operator="between" allowBlank="true" showInputMessage="true" showErrorMessage="true" sqref="B9:B19">
      <formula1>"需求风险,计划风险,组织风险,管理风险,人员风险,开发环境风险,客户风险,产品风险,设计风险,编码风险,过程风险,测试风险"</formula1>
    </dataValidation>
    <dataValidation type="list" operator="between" allowBlank="true" showInputMessage="true" showErrorMessage="true" sqref="F9:F19">
      <formula1>"风险库,项目组,SQA,外部干系人,决策分析,头脑风暴,其它"</formula1>
    </dataValidation>
    <dataValidation type="list" operator="between" allowBlank="true" showInputMessage="true" showErrorMessage="true" sqref="H9:H19">
      <formula1>"风险内容已审核,风险关闭已审核,不认同是风险"</formula1>
    </dataValidation>
    <dataValidation type="list" operator="between" allowBlank="true" showInputMessage="true" showErrorMessage="true" sqref="I9:I19">
      <formula1>"1,2,3"</formula1>
    </dataValidation>
    <dataValidation type="list" operator="between" allowBlank="true" showInputMessage="true" showErrorMessage="true" sqref="J9:J19">
      <formula1>"1,2,3"</formula1>
    </dataValidation>
    <dataValidation type="list" operator="between" allowBlank="true" showInputMessage="true" showErrorMessage="true" sqref="N9:N19">
      <formula1>"已识别,处理中,已发生,已消除,应急处理,已关闭,己转移,己认可,己缓解"</formula1>
    </dataValidation>
    <dataValidation type="list" operator="between" allowBlank="true" showInputMessage="true" showErrorMessage="true" sqref="P9:P19">
      <formula1>"风险内容已审核,风险关闭已审核,不认同是风险"</formula1>
    </dataValidation>
  </dataValidations>
  <pageMargins left="0.7" right="0.7" top="0.75" bottom="0.75" header="0.3" footer="0.3"/>
  <pageSetup paperSize="9" orientation="portrait"/>
  <headerFooter scaleWithDoc="false" alignWithMargins="false"/>
  <drawing r:id="rId0"/>
</worksheet>
</file>

<file path=xl/worksheets/sheet3.xml><?xml version="1.0" encoding="utf-8"?>
<worksheet xmlns="http://schemas.openxmlformats.org/spreadsheetml/2006/main">
  <sheetPr/>
  <dimension ref="AY32"/>
  <sheetViews>
    <sheetView showGridLines="true" topLeftCell="A1" zoomScale="115" zoomScaleNormal="115" workbookViewId="0"/>
  </sheetViews>
  <sheetFormatPr defaultColWidth="9" defaultRowHeight="15"/>
  <cols>
    <col min="1" max="1" width="5.5" style="208"/>
    <col min="2" max="2" width="24.625" style="209"/>
    <col min="3" max="3" width="5.875" style="209"/>
    <col min="4" max="4" width="24.125" style="209"/>
    <col min="5" max="5" width="7.375" style="208"/>
    <col min="6" max="6" width="9.375" style="208"/>
    <col min="7" max="7" width="9" style="208"/>
    <col min="8" max="8" width="12.125" style="209"/>
    <col min="9" max="9" width="9" style="209"/>
    <col min="10" max="10" width="25.625" style="209"/>
    <col min="11" max="11" width="11.625" style="209"/>
    <col min="12" max="12" width="8.5" style="209"/>
    <col min="13" max="13" width="22.875" style="209"/>
    <col min="14" max="14" width="12.5" style="209"/>
    <col min="15" max="15" width="8.875" style="209"/>
    <col min="16" max="16" width="24.5" style="209"/>
    <col min="17" max="17" width="11.75" style="209"/>
    <col min="18" max="18" width="8.625" style="209"/>
    <col min="19" max="19" width="24.125" style="209"/>
    <col min="20" max="21" width="10.625" style="209"/>
    <col min="22" max="22" width="24.5" style="209"/>
    <col min="23" max="23" width="11.75" style="209"/>
    <col min="24" max="24" width="8.625" style="209"/>
    <col min="25" max="25" width="24.125" style="209"/>
    <col min="26" max="27" width="10.625" style="209"/>
    <col min="28" max="28" width="24.5" style="209"/>
    <col min="29" max="29" width="11.75" style="209"/>
    <col min="30" max="30" width="8.625" style="209"/>
    <col min="31" max="31" width="24.125" style="209"/>
    <col min="32" max="33" width="10.625" style="209"/>
    <col min="34" max="34" width="24.5" style="209"/>
    <col min="35" max="35" width="11.75" style="209"/>
    <col min="36" max="36" width="8.625" style="209"/>
    <col min="37" max="37" width="24.125" style="209"/>
    <col min="38" max="39" width="10.625" style="209"/>
    <col min="40" max="40" width="24.5" style="209"/>
    <col min="41" max="41" width="11.75" style="209"/>
    <col min="42" max="42" width="8.625" style="209"/>
    <col min="43" max="43" width="24.125" style="209"/>
    <col min="44" max="45" width="10.625" style="209"/>
    <col min="46" max="46" width="24.5" style="209"/>
    <col min="47" max="47" width="11.75" style="209"/>
    <col min="48" max="48" width="8.625" style="209"/>
    <col min="49" max="49" width="24.125" style="209"/>
    <col min="50" max="51" width="10.625" style="209"/>
  </cols>
  <sheetData>
    <row r="1" spans="1:8" ht="47.25" customHeight="true">
      <c r="A1" s="112" t="s">
        <v>508</v>
      </c>
      <c r="B1" s="113" t="s"/>
      <c r="C1" s="113" t="s"/>
      <c r="D1" s="113" t="s"/>
      <c r="E1" s="113" t="s"/>
      <c r="F1" s="113" t="s"/>
      <c r="G1" s="113" t="s"/>
      <c r="H1" s="114" t="s"/>
    </row>
    <row r="2" spans="1:8" ht="23.25" customHeight="true">
      <c r="A2" s="115" t="s">
        <v>169</v>
      </c>
      <c r="B2" s="116" t="s"/>
      <c r="C2" s="116" t="s"/>
      <c r="D2" s="116" t="s"/>
      <c r="E2" s="116" t="s"/>
      <c r="F2" s="116" t="s"/>
      <c r="G2" s="116" t="s"/>
      <c r="H2" s="116" t="s"/>
    </row>
    <row r="3" spans="1:8" ht="23.25" customHeight="true">
      <c r="A3" s="116" t="s"/>
      <c r="B3" s="116" t="s"/>
      <c r="C3" s="116" t="s"/>
      <c r="D3" s="116" t="s"/>
      <c r="E3" s="116" t="s"/>
      <c r="F3" s="116" t="s"/>
      <c r="G3" s="116" t="s"/>
      <c r="H3" s="116" t="s"/>
    </row>
    <row r="4" spans="1:51" s="205" customFormat="true" ht="13.5">
      <c r="A4" s="33" t="s">
        <v>22</v>
      </c>
      <c r="B4" s="117" t="s">
        <v>509</v>
      </c>
      <c r="C4" s="36" t="s">
        <v>26</v>
      </c>
      <c r="D4" s="36" t="s">
        <v>170</v>
      </c>
      <c r="E4" s="36" t="s">
        <v>171</v>
      </c>
      <c r="F4" s="36" t="s">
        <v>172</v>
      </c>
      <c r="G4" s="36" t="s">
        <v>31</v>
      </c>
      <c r="H4" s="36" t="s">
        <v>32</v>
      </c>
      <c r="I4" s="37" t="s">
        <v>33</v>
      </c>
      <c r="J4" s="39" t="s">
        <v>170</v>
      </c>
      <c r="K4" s="39" t="s">
        <v>32</v>
      </c>
      <c r="L4" s="39" t="s">
        <v>33</v>
      </c>
      <c r="M4" s="118" t="s">
        <v>170</v>
      </c>
      <c r="N4" s="118" t="s">
        <v>32</v>
      </c>
      <c r="O4" s="118" t="s">
        <v>33</v>
      </c>
      <c r="P4" s="39" t="s">
        <v>170</v>
      </c>
      <c r="Q4" s="39" t="s">
        <v>32</v>
      </c>
      <c r="R4" s="39" t="s">
        <v>33</v>
      </c>
      <c r="S4" s="118" t="s">
        <v>170</v>
      </c>
      <c r="T4" s="118" t="s">
        <v>32</v>
      </c>
      <c r="U4" s="118" t="s">
        <v>33</v>
      </c>
      <c r="V4" s="39" t="s">
        <v>170</v>
      </c>
      <c r="W4" s="39" t="s">
        <v>32</v>
      </c>
      <c r="X4" s="39" t="s">
        <v>33</v>
      </c>
      <c r="Y4" s="118" t="s">
        <v>170</v>
      </c>
      <c r="Z4" s="118" t="s">
        <v>32</v>
      </c>
      <c r="AA4" s="118" t="s">
        <v>33</v>
      </c>
      <c r="AB4" s="39" t="s">
        <v>170</v>
      </c>
      <c r="AC4" s="39" t="s">
        <v>32</v>
      </c>
      <c r="AD4" s="39" t="s">
        <v>33</v>
      </c>
      <c r="AE4" s="118" t="s">
        <v>170</v>
      </c>
      <c r="AF4" s="118" t="s">
        <v>32</v>
      </c>
      <c r="AG4" s="118" t="s">
        <v>33</v>
      </c>
      <c r="AH4" s="39" t="s">
        <v>170</v>
      </c>
      <c r="AI4" s="39" t="s">
        <v>32</v>
      </c>
      <c r="AJ4" s="39" t="s">
        <v>33</v>
      </c>
      <c r="AK4" s="118" t="s">
        <v>170</v>
      </c>
      <c r="AL4" s="118" t="s">
        <v>32</v>
      </c>
      <c r="AM4" s="118" t="s">
        <v>33</v>
      </c>
      <c r="AN4" s="39" t="s">
        <v>170</v>
      </c>
      <c r="AO4" s="39" t="s">
        <v>32</v>
      </c>
      <c r="AP4" s="39" t="s">
        <v>33</v>
      </c>
      <c r="AQ4" s="118" t="s">
        <v>170</v>
      </c>
      <c r="AR4" s="118" t="s">
        <v>32</v>
      </c>
      <c r="AS4" s="118" t="s">
        <v>33</v>
      </c>
      <c r="AT4" s="39" t="s">
        <v>170</v>
      </c>
      <c r="AU4" s="39" t="s">
        <v>32</v>
      </c>
      <c r="AV4" s="39" t="s">
        <v>33</v>
      </c>
      <c r="AW4" s="118" t="s">
        <v>170</v>
      </c>
      <c r="AX4" s="118" t="s">
        <v>32</v>
      </c>
      <c r="AY4" s="118" t="s">
        <v>33</v>
      </c>
    </row>
    <row r="5" spans="1:51" s="207" customFormat="true" ht="12.75">
      <c r="A5" s="40">
        <v>1</v>
      </c>
      <c r="B5" s="41" t="s"/>
      <c r="C5" s="41" t="s"/>
      <c r="D5" s="41" t="s"/>
      <c r="E5" s="41" t="s">
        <v>173</v>
      </c>
      <c r="F5" s="43">
        <v>40550</v>
      </c>
      <c r="G5" s="43" t="s"/>
      <c r="H5" s="43" t="s"/>
      <c r="I5" s="47" t="s"/>
      <c r="J5" s="41" t="s"/>
      <c r="K5" s="43" t="s"/>
      <c r="L5" s="43" t="s"/>
      <c r="M5" s="41" t="s"/>
      <c r="N5" s="43" t="s"/>
      <c r="O5" s="43" t="s"/>
      <c r="P5" s="41" t="s"/>
      <c r="Q5" s="43" t="s"/>
      <c r="R5" s="43" t="s"/>
      <c r="S5" s="41" t="s"/>
      <c r="T5" s="43" t="s"/>
      <c r="U5" s="41" t="s"/>
      <c r="V5" s="41" t="s"/>
      <c r="W5" s="43" t="s"/>
      <c r="X5" s="43" t="s"/>
      <c r="Y5" s="41" t="s"/>
      <c r="Z5" s="43" t="s"/>
      <c r="AA5" s="41" t="s"/>
      <c r="AB5" s="41" t="s"/>
      <c r="AC5" s="43" t="s"/>
      <c r="AD5" s="43" t="s"/>
      <c r="AE5" s="41" t="s"/>
      <c r="AF5" s="43" t="s"/>
      <c r="AG5" s="41" t="s"/>
      <c r="AH5" s="41" t="s"/>
      <c r="AI5" s="43" t="s"/>
      <c r="AJ5" s="43" t="s"/>
      <c r="AK5" s="41" t="s"/>
      <c r="AL5" s="43" t="s"/>
      <c r="AM5" s="41" t="s"/>
      <c r="AN5" s="41" t="s"/>
      <c r="AO5" s="43" t="s"/>
      <c r="AP5" s="43" t="s"/>
      <c r="AQ5" s="41" t="s"/>
      <c r="AR5" s="43" t="s"/>
      <c r="AS5" s="41" t="s"/>
      <c r="AT5" s="41" t="s"/>
      <c r="AU5" s="43" t="s"/>
      <c r="AV5" s="43" t="s"/>
      <c r="AW5" s="41" t="s"/>
      <c r="AX5" s="43" t="s"/>
      <c r="AY5" s="41" t="s"/>
    </row>
    <row r="6" spans="1:51" ht="15">
      <c r="A6" s="40">
        <v>2</v>
      </c>
      <c r="B6" s="41" t="s"/>
      <c r="C6" s="41" t="s"/>
      <c r="D6" s="41" t="s"/>
      <c r="E6" s="41" t="s">
        <v>173</v>
      </c>
      <c r="F6" s="43">
        <v>40551</v>
      </c>
      <c r="G6" s="43" t="s"/>
      <c r="H6" s="43" t="s"/>
      <c r="I6" s="47" t="s"/>
      <c r="J6" s="41" t="s"/>
      <c r="K6" s="43" t="s"/>
      <c r="L6" s="43" t="s"/>
      <c r="M6" s="41" t="s"/>
      <c r="N6" s="43" t="s"/>
      <c r="O6" s="43" t="s"/>
      <c r="P6" s="41" t="s"/>
      <c r="Q6" s="43" t="s"/>
      <c r="R6" s="43" t="s"/>
      <c r="S6" s="41" t="s"/>
      <c r="T6" s="43" t="s"/>
      <c r="U6" s="41" t="s"/>
      <c r="V6" s="41" t="s"/>
      <c r="W6" s="43" t="s"/>
      <c r="X6" s="43" t="s"/>
      <c r="Y6" s="41" t="s"/>
      <c r="Z6" s="43" t="s"/>
      <c r="AA6" s="41" t="s"/>
      <c r="AB6" s="41" t="s"/>
      <c r="AC6" s="43" t="s"/>
      <c r="AD6" s="43" t="s"/>
      <c r="AE6" s="41" t="s"/>
      <c r="AF6" s="43" t="s"/>
      <c r="AG6" s="41" t="s"/>
      <c r="AH6" s="41" t="s"/>
      <c r="AI6" s="43" t="s"/>
      <c r="AJ6" s="43" t="s"/>
      <c r="AK6" s="41" t="s"/>
      <c r="AL6" s="43" t="s"/>
      <c r="AM6" s="41" t="s"/>
      <c r="AN6" s="41" t="s"/>
      <c r="AO6" s="43" t="s"/>
      <c r="AP6" s="43" t="s"/>
      <c r="AQ6" s="41" t="s"/>
      <c r="AR6" s="43" t="s"/>
      <c r="AS6" s="41" t="s"/>
      <c r="AT6" s="41" t="s"/>
      <c r="AU6" s="43" t="s"/>
      <c r="AV6" s="43" t="s"/>
      <c r="AW6" s="41" t="s"/>
      <c r="AX6" s="43" t="s"/>
      <c r="AY6" s="41" t="s"/>
    </row>
    <row r="7" spans="1:51" ht="15">
      <c r="A7" s="40">
        <v>3</v>
      </c>
      <c r="B7" s="41" t="s"/>
      <c r="C7" s="41" t="s"/>
      <c r="D7" s="41" t="s"/>
      <c r="E7" s="41" t="s">
        <v>173</v>
      </c>
      <c r="F7" s="43">
        <v>40552</v>
      </c>
      <c r="G7" s="43" t="s"/>
      <c r="H7" s="43" t="s"/>
      <c r="I7" s="47" t="s"/>
      <c r="J7" s="41" t="s"/>
      <c r="K7" s="43" t="s"/>
      <c r="L7" s="43" t="s"/>
      <c r="M7" s="41" t="s"/>
      <c r="N7" s="43" t="s"/>
      <c r="O7" s="43" t="s"/>
      <c r="P7" s="41" t="s"/>
      <c r="Q7" s="43" t="s"/>
      <c r="R7" s="43" t="s"/>
      <c r="S7" s="41" t="s"/>
      <c r="T7" s="43" t="s"/>
      <c r="U7" s="41" t="s"/>
      <c r="V7" s="41" t="s"/>
      <c r="W7" s="43" t="s"/>
      <c r="X7" s="43" t="s"/>
      <c r="Y7" s="41" t="s"/>
      <c r="Z7" s="43" t="s"/>
      <c r="AA7" s="41" t="s"/>
      <c r="AB7" s="41" t="s"/>
      <c r="AC7" s="43" t="s"/>
      <c r="AD7" s="43" t="s"/>
      <c r="AE7" s="41" t="s"/>
      <c r="AF7" s="43" t="s"/>
      <c r="AG7" s="41" t="s"/>
      <c r="AH7" s="41" t="s"/>
      <c r="AI7" s="43" t="s"/>
      <c r="AJ7" s="43" t="s"/>
      <c r="AK7" s="41" t="s"/>
      <c r="AL7" s="43" t="s"/>
      <c r="AM7" s="41" t="s"/>
      <c r="AN7" s="41" t="s"/>
      <c r="AO7" s="43" t="s"/>
      <c r="AP7" s="43" t="s"/>
      <c r="AQ7" s="41" t="s"/>
      <c r="AR7" s="43" t="s"/>
      <c r="AS7" s="41" t="s"/>
      <c r="AT7" s="41" t="s"/>
      <c r="AU7" s="43" t="s"/>
      <c r="AV7" s="43" t="s"/>
      <c r="AW7" s="41" t="s"/>
      <c r="AX7" s="43" t="s"/>
      <c r="AY7" s="41" t="s"/>
    </row>
    <row r="8" spans="1:51" ht="15">
      <c r="A8" s="40">
        <v>4</v>
      </c>
      <c r="B8" s="41" t="s"/>
      <c r="C8" s="41" t="s"/>
      <c r="D8" s="41" t="s"/>
      <c r="E8" s="41" t="s">
        <v>173</v>
      </c>
      <c r="F8" s="43">
        <v>40553</v>
      </c>
      <c r="G8" s="43" t="s"/>
      <c r="H8" s="43" t="s"/>
      <c r="I8" s="47" t="s"/>
      <c r="J8" s="41" t="s"/>
      <c r="K8" s="43" t="s"/>
      <c r="L8" s="43" t="s"/>
      <c r="M8" s="41" t="s"/>
      <c r="N8" s="43" t="s"/>
      <c r="O8" s="43" t="s"/>
      <c r="P8" s="41" t="s"/>
      <c r="Q8" s="43" t="s"/>
      <c r="R8" s="43" t="s"/>
      <c r="S8" s="41" t="s"/>
      <c r="T8" s="43" t="s"/>
      <c r="U8" s="41" t="s"/>
      <c r="V8" s="41" t="s"/>
      <c r="W8" s="43" t="s"/>
      <c r="X8" s="43" t="s"/>
      <c r="Y8" s="41" t="s"/>
      <c r="Z8" s="43" t="s"/>
      <c r="AA8" s="41" t="s"/>
      <c r="AB8" s="41" t="s"/>
      <c r="AC8" s="43" t="s"/>
      <c r="AD8" s="43" t="s"/>
      <c r="AE8" s="41" t="s"/>
      <c r="AF8" s="43" t="s"/>
      <c r="AG8" s="41" t="s"/>
      <c r="AH8" s="41" t="s"/>
      <c r="AI8" s="43" t="s"/>
      <c r="AJ8" s="43" t="s"/>
      <c r="AK8" s="41" t="s"/>
      <c r="AL8" s="43" t="s"/>
      <c r="AM8" s="41" t="s"/>
      <c r="AN8" s="41" t="s"/>
      <c r="AO8" s="43" t="s"/>
      <c r="AP8" s="43" t="s"/>
      <c r="AQ8" s="41" t="s"/>
      <c r="AR8" s="43" t="s"/>
      <c r="AS8" s="41" t="s"/>
      <c r="AT8" s="41" t="s"/>
      <c r="AU8" s="43" t="s"/>
      <c r="AV8" s="43" t="s"/>
      <c r="AW8" s="41" t="s"/>
      <c r="AX8" s="43" t="s"/>
      <c r="AY8" s="41" t="s"/>
    </row>
    <row r="9" spans="1:51" ht="15">
      <c r="A9" s="40">
        <v>5</v>
      </c>
      <c r="B9" s="41" t="s"/>
      <c r="C9" s="41" t="s"/>
      <c r="D9" s="41" t="s"/>
      <c r="E9" s="41" t="s">
        <v>173</v>
      </c>
      <c r="F9" s="43">
        <v>40554</v>
      </c>
      <c r="G9" s="43" t="s"/>
      <c r="H9" s="43" t="s"/>
      <c r="I9" s="47" t="s"/>
      <c r="J9" s="41" t="s"/>
      <c r="K9" s="43" t="s"/>
      <c r="L9" s="43" t="s"/>
      <c r="M9" s="41" t="s"/>
      <c r="N9" s="43" t="s"/>
      <c r="O9" s="43" t="s"/>
      <c r="P9" s="41" t="s"/>
      <c r="Q9" s="43" t="s"/>
      <c r="R9" s="43" t="s"/>
      <c r="S9" s="41" t="s"/>
      <c r="T9" s="43" t="s"/>
      <c r="U9" s="41" t="s"/>
      <c r="V9" s="41" t="s"/>
      <c r="W9" s="43" t="s"/>
      <c r="X9" s="43" t="s"/>
      <c r="Y9" s="41" t="s"/>
      <c r="Z9" s="43" t="s"/>
      <c r="AA9" s="41" t="s"/>
      <c r="AB9" s="41" t="s"/>
      <c r="AC9" s="43" t="s"/>
      <c r="AD9" s="43" t="s"/>
      <c r="AE9" s="41" t="s"/>
      <c r="AF9" s="43" t="s"/>
      <c r="AG9" s="41" t="s"/>
      <c r="AH9" s="41" t="s"/>
      <c r="AI9" s="43" t="s"/>
      <c r="AJ9" s="43" t="s"/>
      <c r="AK9" s="41" t="s"/>
      <c r="AL9" s="43" t="s"/>
      <c r="AM9" s="41" t="s"/>
      <c r="AN9" s="41" t="s"/>
      <c r="AO9" s="43" t="s"/>
      <c r="AP9" s="43" t="s"/>
      <c r="AQ9" s="41" t="s"/>
      <c r="AR9" s="43" t="s"/>
      <c r="AS9" s="41" t="s"/>
      <c r="AT9" s="41" t="s"/>
      <c r="AU9" s="43" t="s"/>
      <c r="AV9" s="43" t="s"/>
      <c r="AW9" s="41" t="s"/>
      <c r="AX9" s="43" t="s"/>
      <c r="AY9" s="41" t="s"/>
    </row>
    <row r="10" spans="1:51" ht="15">
      <c r="A10" s="40">
        <v>6</v>
      </c>
      <c r="B10" s="41" t="s"/>
      <c r="C10" s="41" t="s"/>
      <c r="D10" s="41" t="s"/>
      <c r="E10" s="41" t="s">
        <v>173</v>
      </c>
      <c r="F10" s="43">
        <v>40555</v>
      </c>
      <c r="G10" s="43" t="s"/>
      <c r="H10" s="43" t="s"/>
      <c r="I10" s="47" t="s"/>
      <c r="J10" s="41" t="s"/>
      <c r="K10" s="43" t="s"/>
      <c r="L10" s="43" t="s"/>
      <c r="M10" s="41" t="s"/>
      <c r="N10" s="43" t="s"/>
      <c r="O10" s="43" t="s"/>
      <c r="P10" s="41" t="s"/>
      <c r="Q10" s="43" t="s"/>
      <c r="R10" s="43" t="s"/>
      <c r="S10" s="41" t="s"/>
      <c r="T10" s="43" t="s"/>
      <c r="U10" s="41" t="s"/>
      <c r="V10" s="41" t="s"/>
      <c r="W10" s="43" t="s"/>
      <c r="X10" s="43" t="s"/>
      <c r="Y10" s="41" t="s"/>
      <c r="Z10" s="43" t="s"/>
      <c r="AA10" s="41" t="s"/>
      <c r="AB10" s="41" t="s"/>
      <c r="AC10" s="43" t="s"/>
      <c r="AD10" s="43" t="s"/>
      <c r="AE10" s="41" t="s"/>
      <c r="AF10" s="43" t="s"/>
      <c r="AG10" s="41" t="s"/>
      <c r="AH10" s="41" t="s"/>
      <c r="AI10" s="43" t="s"/>
      <c r="AJ10" s="43" t="s"/>
      <c r="AK10" s="41" t="s"/>
      <c r="AL10" s="43" t="s"/>
      <c r="AM10" s="41" t="s"/>
      <c r="AN10" s="41" t="s"/>
      <c r="AO10" s="43" t="s"/>
      <c r="AP10" s="43" t="s"/>
      <c r="AQ10" s="41" t="s"/>
      <c r="AR10" s="43" t="s"/>
      <c r="AS10" s="41" t="s"/>
      <c r="AT10" s="41" t="s"/>
      <c r="AU10" s="43" t="s"/>
      <c r="AV10" s="43" t="s"/>
      <c r="AW10" s="41" t="s"/>
      <c r="AX10" s="43" t="s"/>
      <c r="AY10" s="41" t="s"/>
    </row>
    <row r="11" spans="1:51" ht="15">
      <c r="A11" s="40">
        <v>7</v>
      </c>
      <c r="B11" s="41" t="s"/>
      <c r="C11" s="41" t="s"/>
      <c r="D11" s="41" t="s"/>
      <c r="E11" s="41" t="s">
        <v>173</v>
      </c>
      <c r="F11" s="43">
        <v>40556</v>
      </c>
      <c r="G11" s="43" t="s"/>
      <c r="H11" s="43" t="s"/>
      <c r="I11" s="47" t="s"/>
      <c r="J11" s="41" t="s"/>
      <c r="K11" s="43" t="s"/>
      <c r="L11" s="43" t="s"/>
      <c r="M11" s="41" t="s"/>
      <c r="N11" s="43" t="s"/>
      <c r="O11" s="43" t="s"/>
      <c r="P11" s="41" t="s"/>
      <c r="Q11" s="43" t="s"/>
      <c r="R11" s="43" t="s"/>
      <c r="S11" s="41" t="s"/>
      <c r="T11" s="43" t="s"/>
      <c r="U11" s="41" t="s"/>
      <c r="V11" s="41" t="s"/>
      <c r="W11" s="43" t="s"/>
      <c r="X11" s="43" t="s"/>
      <c r="Y11" s="41" t="s"/>
      <c r="Z11" s="43" t="s"/>
      <c r="AA11" s="41" t="s"/>
      <c r="AB11" s="41" t="s"/>
      <c r="AC11" s="43" t="s"/>
      <c r="AD11" s="43" t="s"/>
      <c r="AE11" s="41" t="s"/>
      <c r="AF11" s="43" t="s"/>
      <c r="AG11" s="41" t="s"/>
      <c r="AH11" s="41" t="s"/>
      <c r="AI11" s="43" t="s"/>
      <c r="AJ11" s="43" t="s"/>
      <c r="AK11" s="41" t="s"/>
      <c r="AL11" s="43" t="s"/>
      <c r="AM11" s="41" t="s"/>
      <c r="AN11" s="41" t="s"/>
      <c r="AO11" s="43" t="s"/>
      <c r="AP11" s="43" t="s"/>
      <c r="AQ11" s="41" t="s"/>
      <c r="AR11" s="43" t="s"/>
      <c r="AS11" s="41" t="s"/>
      <c r="AT11" s="41" t="s"/>
      <c r="AU11" s="43" t="s"/>
      <c r="AV11" s="43" t="s"/>
      <c r="AW11" s="41" t="s"/>
      <c r="AX11" s="43" t="s"/>
      <c r="AY11" s="41" t="s"/>
    </row>
    <row r="12" spans="1:51" ht="15">
      <c r="A12" s="40">
        <v>8</v>
      </c>
      <c r="B12" s="41" t="s"/>
      <c r="C12" s="41" t="s"/>
      <c r="D12" s="41" t="s"/>
      <c r="E12" s="41" t="s">
        <v>173</v>
      </c>
      <c r="F12" s="43">
        <v>40557</v>
      </c>
      <c r="G12" s="43" t="s"/>
      <c r="H12" s="43" t="s"/>
      <c r="I12" s="47" t="s"/>
      <c r="J12" s="41" t="s"/>
      <c r="K12" s="43" t="s"/>
      <c r="L12" s="43" t="s"/>
      <c r="M12" s="41" t="s"/>
      <c r="N12" s="43" t="s"/>
      <c r="O12" s="43" t="s"/>
      <c r="P12" s="41" t="s"/>
      <c r="Q12" s="43" t="s"/>
      <c r="R12" s="43" t="s"/>
      <c r="S12" s="41" t="s"/>
      <c r="T12" s="43" t="s"/>
      <c r="U12" s="41" t="s"/>
      <c r="V12" s="41" t="s"/>
      <c r="W12" s="43" t="s"/>
      <c r="X12" s="43" t="s"/>
      <c r="Y12" s="41" t="s"/>
      <c r="Z12" s="43" t="s"/>
      <c r="AA12" s="41" t="s"/>
      <c r="AB12" s="41" t="s"/>
      <c r="AC12" s="43" t="s"/>
      <c r="AD12" s="43" t="s"/>
      <c r="AE12" s="41" t="s"/>
      <c r="AF12" s="43" t="s"/>
      <c r="AG12" s="41" t="s"/>
      <c r="AH12" s="41" t="s"/>
      <c r="AI12" s="43" t="s"/>
      <c r="AJ12" s="43" t="s"/>
      <c r="AK12" s="41" t="s"/>
      <c r="AL12" s="43" t="s"/>
      <c r="AM12" s="41" t="s"/>
      <c r="AN12" s="41" t="s"/>
      <c r="AO12" s="43" t="s"/>
      <c r="AP12" s="43" t="s"/>
      <c r="AQ12" s="41" t="s"/>
      <c r="AR12" s="43" t="s"/>
      <c r="AS12" s="41" t="s"/>
      <c r="AT12" s="41" t="s"/>
      <c r="AU12" s="43" t="s"/>
      <c r="AV12" s="43" t="s"/>
      <c r="AW12" s="41" t="s"/>
      <c r="AX12" s="43" t="s"/>
      <c r="AY12" s="41" t="s"/>
    </row>
    <row r="13" spans="1:51" ht="15">
      <c r="A13" s="40">
        <v>9</v>
      </c>
      <c r="B13" s="41" t="s"/>
      <c r="C13" s="41" t="s"/>
      <c r="D13" s="41" t="s"/>
      <c r="E13" s="41" t="s">
        <v>173</v>
      </c>
      <c r="F13" s="43">
        <v>40558</v>
      </c>
      <c r="G13" s="43" t="s"/>
      <c r="H13" s="43" t="s"/>
      <c r="I13" s="47" t="s"/>
      <c r="J13" s="41" t="s"/>
      <c r="K13" s="43" t="s"/>
      <c r="L13" s="43" t="s"/>
      <c r="M13" s="41" t="s"/>
      <c r="N13" s="43" t="s"/>
      <c r="O13" s="43" t="s"/>
      <c r="P13" s="41" t="s"/>
      <c r="Q13" s="43" t="s"/>
      <c r="R13" s="43" t="s"/>
      <c r="S13" s="41" t="s"/>
      <c r="T13" s="43" t="s"/>
      <c r="U13" s="41" t="s"/>
      <c r="V13" s="41" t="s"/>
      <c r="W13" s="43" t="s"/>
      <c r="X13" s="43" t="s"/>
      <c r="Y13" s="41" t="s"/>
      <c r="Z13" s="43" t="s"/>
      <c r="AA13" s="41" t="s"/>
      <c r="AB13" s="41" t="s"/>
      <c r="AC13" s="43" t="s"/>
      <c r="AD13" s="43" t="s"/>
      <c r="AE13" s="41" t="s"/>
      <c r="AF13" s="43" t="s"/>
      <c r="AG13" s="41" t="s"/>
      <c r="AH13" s="41" t="s"/>
      <c r="AI13" s="43" t="s"/>
      <c r="AJ13" s="43" t="s"/>
      <c r="AK13" s="41" t="s"/>
      <c r="AL13" s="43" t="s"/>
      <c r="AM13" s="41" t="s"/>
      <c r="AN13" s="41" t="s"/>
      <c r="AO13" s="43" t="s"/>
      <c r="AP13" s="43" t="s"/>
      <c r="AQ13" s="41" t="s"/>
      <c r="AR13" s="43" t="s"/>
      <c r="AS13" s="41" t="s"/>
      <c r="AT13" s="41" t="s"/>
      <c r="AU13" s="43" t="s"/>
      <c r="AV13" s="43" t="s"/>
      <c r="AW13" s="41" t="s"/>
      <c r="AX13" s="43" t="s"/>
      <c r="AY13" s="41" t="s"/>
    </row>
    <row r="14" spans="1:51" ht="15">
      <c r="A14" s="40">
        <v>10</v>
      </c>
      <c r="B14" s="41" t="s"/>
      <c r="C14" s="41" t="s"/>
      <c r="D14" s="41" t="s"/>
      <c r="E14" s="41" t="s">
        <v>173</v>
      </c>
      <c r="F14" s="43">
        <v>40559</v>
      </c>
      <c r="G14" s="43" t="s"/>
      <c r="H14" s="43" t="s"/>
      <c r="I14" s="47" t="s"/>
      <c r="J14" s="41" t="s"/>
      <c r="K14" s="43" t="s"/>
      <c r="L14" s="43" t="s"/>
      <c r="M14" s="41" t="s"/>
      <c r="N14" s="43" t="s"/>
      <c r="O14" s="43" t="s"/>
      <c r="P14" s="41" t="s"/>
      <c r="Q14" s="43" t="s"/>
      <c r="R14" s="43" t="s"/>
      <c r="S14" s="41" t="s"/>
      <c r="T14" s="43" t="s"/>
      <c r="U14" s="41" t="s"/>
      <c r="V14" s="41" t="s"/>
      <c r="W14" s="43" t="s"/>
      <c r="X14" s="43" t="s"/>
      <c r="Y14" s="41" t="s"/>
      <c r="Z14" s="43" t="s"/>
      <c r="AA14" s="41" t="s"/>
      <c r="AB14" s="41" t="s"/>
      <c r="AC14" s="43" t="s"/>
      <c r="AD14" s="43" t="s"/>
      <c r="AE14" s="41" t="s"/>
      <c r="AF14" s="43" t="s"/>
      <c r="AG14" s="41" t="s"/>
      <c r="AH14" s="41" t="s"/>
      <c r="AI14" s="43" t="s"/>
      <c r="AJ14" s="43" t="s"/>
      <c r="AK14" s="41" t="s"/>
      <c r="AL14" s="43" t="s"/>
      <c r="AM14" s="41" t="s"/>
      <c r="AN14" s="41" t="s"/>
      <c r="AO14" s="43" t="s"/>
      <c r="AP14" s="43" t="s"/>
      <c r="AQ14" s="41" t="s"/>
      <c r="AR14" s="43" t="s"/>
      <c r="AS14" s="41" t="s"/>
      <c r="AT14" s="41" t="s"/>
      <c r="AU14" s="43" t="s"/>
      <c r="AV14" s="43" t="s"/>
      <c r="AW14" s="41" t="s"/>
      <c r="AX14" s="43" t="s"/>
      <c r="AY14" s="41" t="s"/>
    </row>
    <row r="15" spans="1:51" ht="15">
      <c r="A15" s="40">
        <v>11</v>
      </c>
      <c r="B15" s="41" t="s"/>
      <c r="C15" s="41" t="s"/>
      <c r="D15" s="41" t="s"/>
      <c r="E15" s="41" t="s">
        <v>173</v>
      </c>
      <c r="F15" s="43">
        <v>40560</v>
      </c>
      <c r="G15" s="43" t="s"/>
      <c r="H15" s="43" t="s"/>
      <c r="I15" s="47" t="s"/>
      <c r="J15" s="41" t="s"/>
      <c r="K15" s="43" t="s"/>
      <c r="L15" s="43" t="s"/>
      <c r="M15" s="41" t="s"/>
      <c r="N15" s="43" t="s"/>
      <c r="O15" s="43" t="s"/>
      <c r="P15" s="41" t="s"/>
      <c r="Q15" s="43" t="s"/>
      <c r="R15" s="43" t="s"/>
      <c r="S15" s="41" t="s"/>
      <c r="T15" s="43" t="s"/>
      <c r="U15" s="41" t="s"/>
      <c r="V15" s="41" t="s"/>
      <c r="W15" s="43" t="s"/>
      <c r="X15" s="43" t="s"/>
      <c r="Y15" s="41" t="s"/>
      <c r="Z15" s="43" t="s"/>
      <c r="AA15" s="41" t="s"/>
      <c r="AB15" s="41" t="s"/>
      <c r="AC15" s="43" t="s"/>
      <c r="AD15" s="43" t="s"/>
      <c r="AE15" s="41" t="s"/>
      <c r="AF15" s="43" t="s"/>
      <c r="AG15" s="41" t="s"/>
      <c r="AH15" s="41" t="s"/>
      <c r="AI15" s="43" t="s"/>
      <c r="AJ15" s="43" t="s"/>
      <c r="AK15" s="41" t="s"/>
      <c r="AL15" s="43" t="s"/>
      <c r="AM15" s="41" t="s"/>
      <c r="AN15" s="41" t="s"/>
      <c r="AO15" s="43" t="s"/>
      <c r="AP15" s="43" t="s"/>
      <c r="AQ15" s="41" t="s"/>
      <c r="AR15" s="43" t="s"/>
      <c r="AS15" s="41" t="s"/>
      <c r="AT15" s="41" t="s"/>
      <c r="AU15" s="43" t="s"/>
      <c r="AV15" s="43" t="s"/>
      <c r="AW15" s="41" t="s"/>
      <c r="AX15" s="43" t="s"/>
      <c r="AY15" s="41" t="s"/>
    </row>
    <row r="16" spans="1:51" ht="15">
      <c r="A16" s="40">
        <v>12</v>
      </c>
      <c r="B16" s="41" t="s"/>
      <c r="C16" s="41" t="s"/>
      <c r="D16" s="41" t="s"/>
      <c r="E16" s="41" t="s">
        <v>173</v>
      </c>
      <c r="F16" s="43">
        <v>40561</v>
      </c>
      <c r="G16" s="43" t="s"/>
      <c r="H16" s="43" t="s"/>
      <c r="I16" s="47" t="s"/>
      <c r="J16" s="41" t="s"/>
      <c r="K16" s="43" t="s"/>
      <c r="L16" s="43" t="s"/>
      <c r="M16" s="41" t="s"/>
      <c r="N16" s="43" t="s"/>
      <c r="O16" s="43" t="s"/>
      <c r="P16" s="41" t="s"/>
      <c r="Q16" s="43" t="s"/>
      <c r="R16" s="43" t="s"/>
      <c r="S16" s="41" t="s"/>
      <c r="T16" s="43" t="s"/>
      <c r="U16" s="41" t="s"/>
      <c r="V16" s="41" t="s"/>
      <c r="W16" s="43" t="s"/>
      <c r="X16" s="43" t="s"/>
      <c r="Y16" s="41" t="s"/>
      <c r="Z16" s="43" t="s"/>
      <c r="AA16" s="41" t="s"/>
      <c r="AB16" s="41" t="s"/>
      <c r="AC16" s="43" t="s"/>
      <c r="AD16" s="43" t="s"/>
      <c r="AE16" s="41" t="s"/>
      <c r="AF16" s="43" t="s"/>
      <c r="AG16" s="41" t="s"/>
      <c r="AH16" s="41" t="s"/>
      <c r="AI16" s="43" t="s"/>
      <c r="AJ16" s="43" t="s"/>
      <c r="AK16" s="41" t="s"/>
      <c r="AL16" s="43" t="s"/>
      <c r="AM16" s="41" t="s"/>
      <c r="AN16" s="41" t="s"/>
      <c r="AO16" s="43" t="s"/>
      <c r="AP16" s="43" t="s"/>
      <c r="AQ16" s="41" t="s"/>
      <c r="AR16" s="43" t="s"/>
      <c r="AS16" s="41" t="s"/>
      <c r="AT16" s="41" t="s"/>
      <c r="AU16" s="43" t="s"/>
      <c r="AV16" s="43" t="s"/>
      <c r="AW16" s="41" t="s"/>
      <c r="AX16" s="43" t="s"/>
      <c r="AY16" s="41" t="s"/>
    </row>
    <row r="17" spans="1:51" ht="15">
      <c r="A17" s="40">
        <v>13</v>
      </c>
      <c r="B17" s="41" t="s"/>
      <c r="C17" s="41" t="s"/>
      <c r="D17" s="41" t="s"/>
      <c r="E17" s="41" t="s">
        <v>173</v>
      </c>
      <c r="F17" s="43">
        <v>40562</v>
      </c>
      <c r="G17" s="43" t="s"/>
      <c r="H17" s="43" t="s"/>
      <c r="I17" s="47" t="s"/>
      <c r="J17" s="41" t="s"/>
      <c r="K17" s="43" t="s"/>
      <c r="L17" s="43" t="s"/>
      <c r="M17" s="41" t="s"/>
      <c r="N17" s="43" t="s"/>
      <c r="O17" s="43" t="s"/>
      <c r="P17" s="41" t="s"/>
      <c r="Q17" s="43" t="s"/>
      <c r="R17" s="43" t="s"/>
      <c r="S17" s="41" t="s"/>
      <c r="T17" s="43" t="s"/>
      <c r="U17" s="41" t="s"/>
      <c r="V17" s="41" t="s"/>
      <c r="W17" s="43" t="s"/>
      <c r="X17" s="43" t="s"/>
      <c r="Y17" s="41" t="s"/>
      <c r="Z17" s="43" t="s"/>
      <c r="AA17" s="41" t="s"/>
      <c r="AB17" s="41" t="s"/>
      <c r="AC17" s="43" t="s"/>
      <c r="AD17" s="43" t="s"/>
      <c r="AE17" s="41" t="s"/>
      <c r="AF17" s="43" t="s"/>
      <c r="AG17" s="41" t="s"/>
      <c r="AH17" s="41" t="s"/>
      <c r="AI17" s="43" t="s"/>
      <c r="AJ17" s="43" t="s"/>
      <c r="AK17" s="41" t="s"/>
      <c r="AL17" s="43" t="s"/>
      <c r="AM17" s="41" t="s"/>
      <c r="AN17" s="41" t="s"/>
      <c r="AO17" s="43" t="s"/>
      <c r="AP17" s="43" t="s"/>
      <c r="AQ17" s="41" t="s"/>
      <c r="AR17" s="43" t="s"/>
      <c r="AS17" s="41" t="s"/>
      <c r="AT17" s="41" t="s"/>
      <c r="AU17" s="43" t="s"/>
      <c r="AV17" s="43" t="s"/>
      <c r="AW17" s="41" t="s"/>
      <c r="AX17" s="43" t="s"/>
      <c r="AY17" s="41" t="s"/>
    </row>
    <row r="18" spans="1:51" ht="15">
      <c r="A18" s="40">
        <v>14</v>
      </c>
      <c r="B18" s="41" t="s"/>
      <c r="C18" s="41" t="s"/>
      <c r="D18" s="41" t="s"/>
      <c r="E18" s="41" t="s">
        <v>173</v>
      </c>
      <c r="F18" s="43">
        <v>40563</v>
      </c>
      <c r="G18" s="43" t="s"/>
      <c r="H18" s="43" t="s"/>
      <c r="I18" s="47" t="s"/>
      <c r="J18" s="41" t="s"/>
      <c r="K18" s="43" t="s"/>
      <c r="L18" s="43" t="s"/>
      <c r="M18" s="41" t="s"/>
      <c r="N18" s="43" t="s"/>
      <c r="O18" s="43" t="s"/>
      <c r="P18" s="41" t="s"/>
      <c r="Q18" s="43" t="s"/>
      <c r="R18" s="43" t="s"/>
      <c r="S18" s="41" t="s"/>
      <c r="T18" s="43" t="s"/>
      <c r="U18" s="41" t="s"/>
      <c r="V18" s="41" t="s"/>
      <c r="W18" s="43" t="s"/>
      <c r="X18" s="43" t="s"/>
      <c r="Y18" s="41" t="s"/>
      <c r="Z18" s="43" t="s"/>
      <c r="AA18" s="41" t="s"/>
      <c r="AB18" s="41" t="s"/>
      <c r="AC18" s="43" t="s"/>
      <c r="AD18" s="43" t="s"/>
      <c r="AE18" s="41" t="s"/>
      <c r="AF18" s="43" t="s"/>
      <c r="AG18" s="41" t="s"/>
      <c r="AH18" s="41" t="s"/>
      <c r="AI18" s="43" t="s"/>
      <c r="AJ18" s="43" t="s"/>
      <c r="AK18" s="41" t="s"/>
      <c r="AL18" s="43" t="s"/>
      <c r="AM18" s="41" t="s"/>
      <c r="AN18" s="41" t="s"/>
      <c r="AO18" s="43" t="s"/>
      <c r="AP18" s="43" t="s"/>
      <c r="AQ18" s="41" t="s"/>
      <c r="AR18" s="43" t="s"/>
      <c r="AS18" s="41" t="s"/>
      <c r="AT18" s="41" t="s"/>
      <c r="AU18" s="43" t="s"/>
      <c r="AV18" s="43" t="s"/>
      <c r="AW18" s="41" t="s"/>
      <c r="AX18" s="43" t="s"/>
      <c r="AY18" s="41" t="s"/>
    </row>
    <row r="19" spans="1:51" ht="15">
      <c r="A19" s="40">
        <v>15</v>
      </c>
      <c r="B19" s="41" t="s"/>
      <c r="C19" s="41" t="s"/>
      <c r="D19" s="41" t="s"/>
      <c r="E19" s="41" t="s">
        <v>173</v>
      </c>
      <c r="F19" s="43">
        <v>40564</v>
      </c>
      <c r="G19" s="43" t="s"/>
      <c r="H19" s="43" t="s"/>
      <c r="I19" s="47" t="s"/>
      <c r="J19" s="41" t="s"/>
      <c r="K19" s="43" t="s"/>
      <c r="L19" s="43" t="s"/>
      <c r="M19" s="41" t="s"/>
      <c r="N19" s="43" t="s"/>
      <c r="O19" s="43" t="s"/>
      <c r="P19" s="41" t="s"/>
      <c r="Q19" s="43" t="s"/>
      <c r="R19" s="43" t="s"/>
      <c r="S19" s="41" t="s"/>
      <c r="T19" s="43" t="s"/>
      <c r="U19" s="41" t="s"/>
      <c r="V19" s="41" t="s"/>
      <c r="W19" s="43" t="s"/>
      <c r="X19" s="43" t="s"/>
      <c r="Y19" s="41" t="s"/>
      <c r="Z19" s="43" t="s"/>
      <c r="AA19" s="41" t="s"/>
      <c r="AB19" s="41" t="s"/>
      <c r="AC19" s="43" t="s"/>
      <c r="AD19" s="43" t="s"/>
      <c r="AE19" s="41" t="s"/>
      <c r="AF19" s="43" t="s"/>
      <c r="AG19" s="41" t="s"/>
      <c r="AH19" s="41" t="s"/>
      <c r="AI19" s="43" t="s"/>
      <c r="AJ19" s="43" t="s"/>
      <c r="AK19" s="41" t="s"/>
      <c r="AL19" s="43" t="s"/>
      <c r="AM19" s="41" t="s"/>
      <c r="AN19" s="41" t="s"/>
      <c r="AO19" s="43" t="s"/>
      <c r="AP19" s="43" t="s"/>
      <c r="AQ19" s="41" t="s"/>
      <c r="AR19" s="43" t="s"/>
      <c r="AS19" s="41" t="s"/>
      <c r="AT19" s="41" t="s"/>
      <c r="AU19" s="43" t="s"/>
      <c r="AV19" s="43" t="s"/>
      <c r="AW19" s="41" t="s"/>
      <c r="AX19" s="43" t="s"/>
      <c r="AY19" s="41" t="s"/>
    </row>
    <row r="20" spans="1:51" ht="15">
      <c r="A20" s="40">
        <v>16</v>
      </c>
      <c r="B20" s="41" t="s"/>
      <c r="C20" s="41" t="s"/>
      <c r="D20" s="41" t="s"/>
      <c r="E20" s="41" t="s">
        <v>173</v>
      </c>
      <c r="F20" s="43">
        <v>40565</v>
      </c>
      <c r="G20" s="43" t="s"/>
      <c r="H20" s="43" t="s"/>
      <c r="I20" s="47" t="s"/>
      <c r="J20" s="41" t="s"/>
      <c r="K20" s="43" t="s"/>
      <c r="L20" s="43" t="s"/>
      <c r="M20" s="41" t="s"/>
      <c r="N20" s="43" t="s"/>
      <c r="O20" s="43" t="s"/>
      <c r="P20" s="41" t="s"/>
      <c r="Q20" s="43" t="s"/>
      <c r="R20" s="43" t="s"/>
      <c r="S20" s="41" t="s"/>
      <c r="T20" s="43" t="s"/>
      <c r="U20" s="41" t="s"/>
      <c r="V20" s="41" t="s"/>
      <c r="W20" s="43" t="s"/>
      <c r="X20" s="43" t="s"/>
      <c r="Y20" s="41" t="s"/>
      <c r="Z20" s="43" t="s"/>
      <c r="AA20" s="41" t="s"/>
      <c r="AB20" s="41" t="s"/>
      <c r="AC20" s="43" t="s"/>
      <c r="AD20" s="43" t="s"/>
      <c r="AE20" s="41" t="s"/>
      <c r="AF20" s="43" t="s"/>
      <c r="AG20" s="41" t="s"/>
      <c r="AH20" s="41" t="s"/>
      <c r="AI20" s="43" t="s"/>
      <c r="AJ20" s="43" t="s"/>
      <c r="AK20" s="41" t="s"/>
      <c r="AL20" s="43" t="s"/>
      <c r="AM20" s="41" t="s"/>
      <c r="AN20" s="41" t="s"/>
      <c r="AO20" s="43" t="s"/>
      <c r="AP20" s="43" t="s"/>
      <c r="AQ20" s="41" t="s"/>
      <c r="AR20" s="43" t="s"/>
      <c r="AS20" s="41" t="s"/>
      <c r="AT20" s="41" t="s"/>
      <c r="AU20" s="43" t="s"/>
      <c r="AV20" s="43" t="s"/>
      <c r="AW20" s="41" t="s"/>
      <c r="AX20" s="43" t="s"/>
      <c r="AY20" s="41" t="s"/>
    </row>
    <row r="21" spans="1:51" ht="15">
      <c r="A21" s="40">
        <v>17</v>
      </c>
      <c r="B21" s="41" t="s"/>
      <c r="C21" s="41" t="s"/>
      <c r="D21" s="41" t="s"/>
      <c r="E21" s="41" t="s">
        <v>173</v>
      </c>
      <c r="F21" s="43">
        <v>40566</v>
      </c>
      <c r="G21" s="43" t="s"/>
      <c r="H21" s="43" t="s"/>
      <c r="I21" s="47" t="s"/>
      <c r="J21" s="41" t="s"/>
      <c r="K21" s="43" t="s"/>
      <c r="L21" s="43" t="s"/>
      <c r="M21" s="41" t="s"/>
      <c r="N21" s="43" t="s"/>
      <c r="O21" s="43" t="s"/>
      <c r="P21" s="41" t="s"/>
      <c r="Q21" s="43" t="s"/>
      <c r="R21" s="43" t="s"/>
      <c r="S21" s="41" t="s"/>
      <c r="T21" s="43" t="s"/>
      <c r="U21" s="41" t="s"/>
      <c r="V21" s="41" t="s"/>
      <c r="W21" s="43" t="s"/>
      <c r="X21" s="43" t="s"/>
      <c r="Y21" s="41" t="s"/>
      <c r="Z21" s="43" t="s"/>
      <c r="AA21" s="41" t="s"/>
      <c r="AB21" s="41" t="s"/>
      <c r="AC21" s="43" t="s"/>
      <c r="AD21" s="43" t="s"/>
      <c r="AE21" s="41" t="s"/>
      <c r="AF21" s="43" t="s"/>
      <c r="AG21" s="41" t="s"/>
      <c r="AH21" s="41" t="s"/>
      <c r="AI21" s="43" t="s"/>
      <c r="AJ21" s="43" t="s"/>
      <c r="AK21" s="41" t="s"/>
      <c r="AL21" s="43" t="s"/>
      <c r="AM21" s="41" t="s"/>
      <c r="AN21" s="41" t="s"/>
      <c r="AO21" s="43" t="s"/>
      <c r="AP21" s="43" t="s"/>
      <c r="AQ21" s="41" t="s"/>
      <c r="AR21" s="43" t="s"/>
      <c r="AS21" s="41" t="s"/>
      <c r="AT21" s="41" t="s"/>
      <c r="AU21" s="43" t="s"/>
      <c r="AV21" s="43" t="s"/>
      <c r="AW21" s="41" t="s"/>
      <c r="AX21" s="43" t="s"/>
      <c r="AY21" s="41" t="s"/>
    </row>
    <row r="22" spans="1:51" ht="15">
      <c r="A22" s="40">
        <v>18</v>
      </c>
      <c r="B22" s="41" t="s"/>
      <c r="C22" s="41" t="s"/>
      <c r="D22" s="41" t="s"/>
      <c r="E22" s="41" t="s">
        <v>173</v>
      </c>
      <c r="F22" s="43">
        <v>40567</v>
      </c>
      <c r="G22" s="43" t="s"/>
      <c r="H22" s="43" t="s"/>
      <c r="I22" s="47" t="s"/>
      <c r="J22" s="41" t="s"/>
      <c r="K22" s="43" t="s"/>
      <c r="L22" s="43" t="s"/>
      <c r="M22" s="41" t="s"/>
      <c r="N22" s="43" t="s"/>
      <c r="O22" s="43" t="s"/>
      <c r="P22" s="41" t="s"/>
      <c r="Q22" s="43" t="s"/>
      <c r="R22" s="43" t="s"/>
      <c r="S22" s="41" t="s"/>
      <c r="T22" s="43" t="s"/>
      <c r="U22" s="41" t="s"/>
      <c r="V22" s="41" t="s"/>
      <c r="W22" s="43" t="s"/>
      <c r="X22" s="43" t="s"/>
      <c r="Y22" s="41" t="s"/>
      <c r="Z22" s="43" t="s"/>
      <c r="AA22" s="41" t="s"/>
      <c r="AB22" s="41" t="s"/>
      <c r="AC22" s="43" t="s"/>
      <c r="AD22" s="43" t="s"/>
      <c r="AE22" s="41" t="s"/>
      <c r="AF22" s="43" t="s"/>
      <c r="AG22" s="41" t="s"/>
      <c r="AH22" s="41" t="s"/>
      <c r="AI22" s="43" t="s"/>
      <c r="AJ22" s="43" t="s"/>
      <c r="AK22" s="41" t="s"/>
      <c r="AL22" s="43" t="s"/>
      <c r="AM22" s="41" t="s"/>
      <c r="AN22" s="41" t="s"/>
      <c r="AO22" s="43" t="s"/>
      <c r="AP22" s="43" t="s"/>
      <c r="AQ22" s="41" t="s"/>
      <c r="AR22" s="43" t="s"/>
      <c r="AS22" s="41" t="s"/>
      <c r="AT22" s="41" t="s"/>
      <c r="AU22" s="43" t="s"/>
      <c r="AV22" s="43" t="s"/>
      <c r="AW22" s="41" t="s"/>
      <c r="AX22" s="43" t="s"/>
      <c r="AY22" s="41" t="s"/>
    </row>
    <row r="23" spans="1:51" ht="15">
      <c r="A23" s="40">
        <v>19</v>
      </c>
      <c r="B23" s="41" t="s"/>
      <c r="C23" s="41" t="s"/>
      <c r="D23" s="41" t="s"/>
      <c r="E23" s="41" t="s">
        <v>173</v>
      </c>
      <c r="F23" s="43">
        <v>40568</v>
      </c>
      <c r="G23" s="43" t="s"/>
      <c r="H23" s="43" t="s"/>
      <c r="I23" s="47" t="s"/>
      <c r="J23" s="41" t="s"/>
      <c r="K23" s="43" t="s"/>
      <c r="L23" s="43" t="s"/>
      <c r="M23" s="41" t="s"/>
      <c r="N23" s="43" t="s"/>
      <c r="O23" s="43" t="s"/>
      <c r="P23" s="41" t="s"/>
      <c r="Q23" s="43" t="s"/>
      <c r="R23" s="43" t="s"/>
      <c r="S23" s="41" t="s"/>
      <c r="T23" s="43" t="s"/>
      <c r="U23" s="41" t="s"/>
      <c r="V23" s="41" t="s"/>
      <c r="W23" s="43" t="s"/>
      <c r="X23" s="43" t="s"/>
      <c r="Y23" s="41" t="s"/>
      <c r="Z23" s="43" t="s"/>
      <c r="AA23" s="41" t="s"/>
      <c r="AB23" s="41" t="s"/>
      <c r="AC23" s="43" t="s"/>
      <c r="AD23" s="43" t="s"/>
      <c r="AE23" s="41" t="s"/>
      <c r="AF23" s="43" t="s"/>
      <c r="AG23" s="41" t="s"/>
      <c r="AH23" s="41" t="s"/>
      <c r="AI23" s="43" t="s"/>
      <c r="AJ23" s="43" t="s"/>
      <c r="AK23" s="41" t="s"/>
      <c r="AL23" s="43" t="s"/>
      <c r="AM23" s="41" t="s"/>
      <c r="AN23" s="41" t="s"/>
      <c r="AO23" s="43" t="s"/>
      <c r="AP23" s="43" t="s"/>
      <c r="AQ23" s="41" t="s"/>
      <c r="AR23" s="43" t="s"/>
      <c r="AS23" s="41" t="s"/>
      <c r="AT23" s="41" t="s"/>
      <c r="AU23" s="43" t="s"/>
      <c r="AV23" s="43" t="s"/>
      <c r="AW23" s="41" t="s"/>
      <c r="AX23" s="43" t="s"/>
      <c r="AY23" s="41" t="s"/>
    </row>
    <row r="24" spans="1:51" ht="15">
      <c r="A24" s="40">
        <v>20</v>
      </c>
      <c r="B24" s="41" t="s"/>
      <c r="C24" s="41" t="s"/>
      <c r="D24" s="41" t="s"/>
      <c r="E24" s="41" t="s">
        <v>173</v>
      </c>
      <c r="F24" s="43">
        <v>40569</v>
      </c>
      <c r="G24" s="43" t="s"/>
      <c r="H24" s="43" t="s"/>
      <c r="I24" s="47" t="s"/>
      <c r="J24" s="41" t="s"/>
      <c r="K24" s="43" t="s"/>
      <c r="L24" s="43" t="s"/>
      <c r="M24" s="41" t="s"/>
      <c r="N24" s="43" t="s"/>
      <c r="O24" s="43" t="s"/>
      <c r="P24" s="41" t="s"/>
      <c r="Q24" s="43" t="s"/>
      <c r="R24" s="43" t="s"/>
      <c r="S24" s="41" t="s"/>
      <c r="T24" s="43" t="s"/>
      <c r="U24" s="41" t="s"/>
      <c r="V24" s="41" t="s"/>
      <c r="W24" s="43" t="s"/>
      <c r="X24" s="43" t="s"/>
      <c r="Y24" s="41" t="s"/>
      <c r="Z24" s="43" t="s"/>
      <c r="AA24" s="41" t="s"/>
      <c r="AB24" s="41" t="s"/>
      <c r="AC24" s="43" t="s"/>
      <c r="AD24" s="43" t="s"/>
      <c r="AE24" s="41" t="s"/>
      <c r="AF24" s="43" t="s"/>
      <c r="AG24" s="41" t="s"/>
      <c r="AH24" s="41" t="s"/>
      <c r="AI24" s="43" t="s"/>
      <c r="AJ24" s="43" t="s"/>
      <c r="AK24" s="41" t="s"/>
      <c r="AL24" s="43" t="s"/>
      <c r="AM24" s="41" t="s"/>
      <c r="AN24" s="41" t="s"/>
      <c r="AO24" s="43" t="s"/>
      <c r="AP24" s="43" t="s"/>
      <c r="AQ24" s="41" t="s"/>
      <c r="AR24" s="43" t="s"/>
      <c r="AS24" s="41" t="s"/>
      <c r="AT24" s="41" t="s"/>
      <c r="AU24" s="43" t="s"/>
      <c r="AV24" s="43" t="s"/>
      <c r="AW24" s="41" t="s"/>
      <c r="AX24" s="43" t="s"/>
      <c r="AY24" s="41" t="s"/>
    </row>
    <row r="25" spans="1:51" ht="15">
      <c r="A25" s="40">
        <v>21</v>
      </c>
      <c r="B25" s="41" t="s"/>
      <c r="C25" s="41" t="s"/>
      <c r="D25" s="41" t="s"/>
      <c r="E25" s="41" t="s">
        <v>173</v>
      </c>
      <c r="F25" s="43">
        <v>40570</v>
      </c>
      <c r="G25" s="43" t="s"/>
      <c r="H25" s="43" t="s"/>
      <c r="I25" s="47" t="s"/>
      <c r="J25" s="41" t="s"/>
      <c r="K25" s="43" t="s"/>
      <c r="L25" s="43" t="s"/>
      <c r="M25" s="41" t="s"/>
      <c r="N25" s="43" t="s"/>
      <c r="O25" s="43" t="s"/>
      <c r="P25" s="41" t="s"/>
      <c r="Q25" s="43" t="s"/>
      <c r="R25" s="43" t="s"/>
      <c r="S25" s="41" t="s"/>
      <c r="T25" s="43" t="s"/>
      <c r="U25" s="41" t="s"/>
      <c r="V25" s="41" t="s"/>
      <c r="W25" s="43" t="s"/>
      <c r="X25" s="43" t="s"/>
      <c r="Y25" s="41" t="s"/>
      <c r="Z25" s="43" t="s"/>
      <c r="AA25" s="41" t="s"/>
      <c r="AB25" s="41" t="s"/>
      <c r="AC25" s="43" t="s"/>
      <c r="AD25" s="43" t="s"/>
      <c r="AE25" s="41" t="s"/>
      <c r="AF25" s="43" t="s"/>
      <c r="AG25" s="41" t="s"/>
      <c r="AH25" s="41" t="s"/>
      <c r="AI25" s="43" t="s"/>
      <c r="AJ25" s="43" t="s"/>
      <c r="AK25" s="41" t="s"/>
      <c r="AL25" s="43" t="s"/>
      <c r="AM25" s="41" t="s"/>
      <c r="AN25" s="41" t="s"/>
      <c r="AO25" s="43" t="s"/>
      <c r="AP25" s="43" t="s"/>
      <c r="AQ25" s="41" t="s"/>
      <c r="AR25" s="43" t="s"/>
      <c r="AS25" s="41" t="s"/>
      <c r="AT25" s="41" t="s"/>
      <c r="AU25" s="43" t="s"/>
      <c r="AV25" s="43" t="s"/>
      <c r="AW25" s="41" t="s"/>
      <c r="AX25" s="43" t="s"/>
      <c r="AY25" s="41" t="s"/>
    </row>
    <row r="26" spans="1:51" ht="15">
      <c r="A26" s="40">
        <v>22</v>
      </c>
      <c r="B26" s="41" t="s"/>
      <c r="C26" s="41" t="s"/>
      <c r="D26" s="41" t="s"/>
      <c r="E26" s="41" t="s">
        <v>173</v>
      </c>
      <c r="F26" s="43">
        <v>40571</v>
      </c>
      <c r="G26" s="43" t="s"/>
      <c r="H26" s="43" t="s"/>
      <c r="I26" s="47" t="s"/>
      <c r="J26" s="41" t="s"/>
      <c r="K26" s="43" t="s"/>
      <c r="L26" s="43" t="s"/>
      <c r="M26" s="41" t="s"/>
      <c r="N26" s="43" t="s"/>
      <c r="O26" s="43" t="s"/>
      <c r="P26" s="41" t="s"/>
      <c r="Q26" s="43" t="s"/>
      <c r="R26" s="43" t="s"/>
      <c r="S26" s="41" t="s"/>
      <c r="T26" s="43" t="s"/>
      <c r="U26" s="41" t="s"/>
      <c r="V26" s="41" t="s"/>
      <c r="W26" s="43" t="s"/>
      <c r="X26" s="43" t="s"/>
      <c r="Y26" s="41" t="s"/>
      <c r="Z26" s="43" t="s"/>
      <c r="AA26" s="41" t="s"/>
      <c r="AB26" s="41" t="s"/>
      <c r="AC26" s="43" t="s"/>
      <c r="AD26" s="43" t="s"/>
      <c r="AE26" s="41" t="s"/>
      <c r="AF26" s="43" t="s"/>
      <c r="AG26" s="41" t="s"/>
      <c r="AH26" s="41" t="s"/>
      <c r="AI26" s="43" t="s"/>
      <c r="AJ26" s="43" t="s"/>
      <c r="AK26" s="41" t="s"/>
      <c r="AL26" s="43" t="s"/>
      <c r="AM26" s="41" t="s"/>
      <c r="AN26" s="41" t="s"/>
      <c r="AO26" s="43" t="s"/>
      <c r="AP26" s="43" t="s"/>
      <c r="AQ26" s="41" t="s"/>
      <c r="AR26" s="43" t="s"/>
      <c r="AS26" s="41" t="s"/>
      <c r="AT26" s="41" t="s"/>
      <c r="AU26" s="43" t="s"/>
      <c r="AV26" s="43" t="s"/>
      <c r="AW26" s="41" t="s"/>
      <c r="AX26" s="43" t="s"/>
      <c r="AY26" s="41" t="s"/>
    </row>
    <row r="27" spans="1:51" ht="15">
      <c r="A27" s="40">
        <v>23</v>
      </c>
      <c r="B27" s="41" t="s"/>
      <c r="C27" s="41" t="s"/>
      <c r="D27" s="41" t="s"/>
      <c r="E27" s="41" t="s">
        <v>173</v>
      </c>
      <c r="F27" s="43">
        <v>40572</v>
      </c>
      <c r="G27" s="43" t="s"/>
      <c r="H27" s="43" t="s"/>
      <c r="I27" s="47" t="s"/>
      <c r="J27" s="41" t="s"/>
      <c r="K27" s="43" t="s"/>
      <c r="L27" s="43" t="s"/>
      <c r="M27" s="41" t="s"/>
      <c r="N27" s="43" t="s"/>
      <c r="O27" s="43" t="s"/>
      <c r="P27" s="41" t="s"/>
      <c r="Q27" s="43" t="s"/>
      <c r="R27" s="43" t="s"/>
      <c r="S27" s="41" t="s"/>
      <c r="T27" s="43" t="s"/>
      <c r="U27" s="41" t="s"/>
      <c r="V27" s="41" t="s"/>
      <c r="W27" s="43" t="s"/>
      <c r="X27" s="43" t="s"/>
      <c r="Y27" s="41" t="s"/>
      <c r="Z27" s="43" t="s"/>
      <c r="AA27" s="41" t="s"/>
      <c r="AB27" s="41" t="s"/>
      <c r="AC27" s="43" t="s"/>
      <c r="AD27" s="43" t="s"/>
      <c r="AE27" s="41" t="s"/>
      <c r="AF27" s="43" t="s"/>
      <c r="AG27" s="41" t="s"/>
      <c r="AH27" s="41" t="s"/>
      <c r="AI27" s="43" t="s"/>
      <c r="AJ27" s="43" t="s"/>
      <c r="AK27" s="41" t="s"/>
      <c r="AL27" s="43" t="s"/>
      <c r="AM27" s="41" t="s"/>
      <c r="AN27" s="41" t="s"/>
      <c r="AO27" s="43" t="s"/>
      <c r="AP27" s="43" t="s"/>
      <c r="AQ27" s="41" t="s"/>
      <c r="AR27" s="43" t="s"/>
      <c r="AS27" s="41" t="s"/>
      <c r="AT27" s="41" t="s"/>
      <c r="AU27" s="43" t="s"/>
      <c r="AV27" s="43" t="s"/>
      <c r="AW27" s="41" t="s"/>
      <c r="AX27" s="43" t="s"/>
      <c r="AY27" s="41" t="s"/>
    </row>
    <row r="28" spans="1:51" ht="15">
      <c r="A28" s="40">
        <v>24</v>
      </c>
      <c r="B28" s="41" t="s"/>
      <c r="C28" s="41" t="s"/>
      <c r="D28" s="41" t="s"/>
      <c r="E28" s="41" t="s">
        <v>173</v>
      </c>
      <c r="F28" s="43">
        <v>40573</v>
      </c>
      <c r="G28" s="43" t="s"/>
      <c r="H28" s="43" t="s"/>
      <c r="I28" s="47" t="s"/>
      <c r="J28" s="41" t="s"/>
      <c r="K28" s="43" t="s"/>
      <c r="L28" s="43" t="s"/>
      <c r="M28" s="41" t="s"/>
      <c r="N28" s="43" t="s"/>
      <c r="O28" s="43" t="s"/>
      <c r="P28" s="41" t="s"/>
      <c r="Q28" s="43" t="s"/>
      <c r="R28" s="43" t="s"/>
      <c r="S28" s="41" t="s"/>
      <c r="T28" s="43" t="s"/>
      <c r="U28" s="41" t="s"/>
      <c r="V28" s="41" t="s"/>
      <c r="W28" s="43" t="s"/>
      <c r="X28" s="43" t="s"/>
      <c r="Y28" s="41" t="s"/>
      <c r="Z28" s="43" t="s"/>
      <c r="AA28" s="41" t="s"/>
      <c r="AB28" s="41" t="s"/>
      <c r="AC28" s="43" t="s"/>
      <c r="AD28" s="43" t="s"/>
      <c r="AE28" s="41" t="s"/>
      <c r="AF28" s="43" t="s"/>
      <c r="AG28" s="41" t="s"/>
      <c r="AH28" s="41" t="s"/>
      <c r="AI28" s="43" t="s"/>
      <c r="AJ28" s="43" t="s"/>
      <c r="AK28" s="41" t="s"/>
      <c r="AL28" s="43" t="s"/>
      <c r="AM28" s="41" t="s"/>
      <c r="AN28" s="41" t="s"/>
      <c r="AO28" s="43" t="s"/>
      <c r="AP28" s="43" t="s"/>
      <c r="AQ28" s="41" t="s"/>
      <c r="AR28" s="43" t="s"/>
      <c r="AS28" s="41" t="s"/>
      <c r="AT28" s="41" t="s"/>
      <c r="AU28" s="43" t="s"/>
      <c r="AV28" s="43" t="s"/>
      <c r="AW28" s="41" t="s"/>
      <c r="AX28" s="43" t="s"/>
      <c r="AY28" s="41" t="s"/>
    </row>
    <row r="29" spans="1:51" ht="15">
      <c r="A29" s="40">
        <v>25</v>
      </c>
      <c r="B29" s="41" t="s"/>
      <c r="C29" s="41" t="s"/>
      <c r="D29" s="41" t="s"/>
      <c r="E29" s="41" t="s">
        <v>173</v>
      </c>
      <c r="F29" s="43">
        <v>40574</v>
      </c>
      <c r="G29" s="43" t="s"/>
      <c r="H29" s="43" t="s"/>
      <c r="I29" s="47" t="s"/>
      <c r="J29" s="41" t="s"/>
      <c r="K29" s="43" t="s"/>
      <c r="L29" s="43" t="s"/>
      <c r="M29" s="41" t="s"/>
      <c r="N29" s="43" t="s"/>
      <c r="O29" s="43" t="s"/>
      <c r="P29" s="41" t="s"/>
      <c r="Q29" s="43" t="s"/>
      <c r="R29" s="43" t="s"/>
      <c r="S29" s="41" t="s"/>
      <c r="T29" s="43" t="s"/>
      <c r="U29" s="41" t="s"/>
      <c r="V29" s="41" t="s"/>
      <c r="W29" s="43" t="s"/>
      <c r="X29" s="43" t="s"/>
      <c r="Y29" s="41" t="s"/>
      <c r="Z29" s="43" t="s"/>
      <c r="AA29" s="41" t="s"/>
      <c r="AB29" s="41" t="s"/>
      <c r="AC29" s="43" t="s"/>
      <c r="AD29" s="43" t="s"/>
      <c r="AE29" s="41" t="s"/>
      <c r="AF29" s="43" t="s"/>
      <c r="AG29" s="41" t="s"/>
      <c r="AH29" s="41" t="s"/>
      <c r="AI29" s="43" t="s"/>
      <c r="AJ29" s="43" t="s"/>
      <c r="AK29" s="41" t="s"/>
      <c r="AL29" s="43" t="s"/>
      <c r="AM29" s="41" t="s"/>
      <c r="AN29" s="41" t="s"/>
      <c r="AO29" s="43" t="s"/>
      <c r="AP29" s="43" t="s"/>
      <c r="AQ29" s="41" t="s"/>
      <c r="AR29" s="43" t="s"/>
      <c r="AS29" s="41" t="s"/>
      <c r="AT29" s="41" t="s"/>
      <c r="AU29" s="43" t="s"/>
      <c r="AV29" s="43" t="s"/>
      <c r="AW29" s="41" t="s"/>
      <c r="AX29" s="43" t="s"/>
      <c r="AY29" s="41" t="s"/>
    </row>
    <row r="30" spans="1:51" ht="15">
      <c r="A30" s="40">
        <v>26</v>
      </c>
      <c r="B30" s="41" t="s"/>
      <c r="C30" s="41" t="s"/>
      <c r="D30" s="41" t="s"/>
      <c r="E30" s="41" t="s">
        <v>173</v>
      </c>
      <c r="F30" s="43">
        <v>40575</v>
      </c>
      <c r="G30" s="43" t="s"/>
      <c r="H30" s="43" t="s"/>
      <c r="I30" s="47" t="s"/>
      <c r="J30" s="41" t="s"/>
      <c r="K30" s="43" t="s"/>
      <c r="L30" s="43" t="s"/>
      <c r="M30" s="41" t="s"/>
      <c r="N30" s="43" t="s"/>
      <c r="O30" s="43" t="s"/>
      <c r="P30" s="41" t="s"/>
      <c r="Q30" s="43" t="s"/>
      <c r="R30" s="43" t="s"/>
      <c r="S30" s="41" t="s"/>
      <c r="T30" s="43" t="s"/>
      <c r="U30" s="41" t="s"/>
      <c r="V30" s="41" t="s"/>
      <c r="W30" s="43" t="s"/>
      <c r="X30" s="43" t="s"/>
      <c r="Y30" s="41" t="s"/>
      <c r="Z30" s="43" t="s"/>
      <c r="AA30" s="41" t="s"/>
      <c r="AB30" s="41" t="s"/>
      <c r="AC30" s="43" t="s"/>
      <c r="AD30" s="43" t="s"/>
      <c r="AE30" s="41" t="s"/>
      <c r="AF30" s="43" t="s"/>
      <c r="AG30" s="41" t="s"/>
      <c r="AH30" s="41" t="s"/>
      <c r="AI30" s="43" t="s"/>
      <c r="AJ30" s="43" t="s"/>
      <c r="AK30" s="41" t="s"/>
      <c r="AL30" s="43" t="s"/>
      <c r="AM30" s="41" t="s"/>
      <c r="AN30" s="41" t="s"/>
      <c r="AO30" s="43" t="s"/>
      <c r="AP30" s="43" t="s"/>
      <c r="AQ30" s="41" t="s"/>
      <c r="AR30" s="43" t="s"/>
      <c r="AS30" s="41" t="s"/>
      <c r="AT30" s="41" t="s"/>
      <c r="AU30" s="43" t="s"/>
      <c r="AV30" s="43" t="s"/>
      <c r="AW30" s="41" t="s"/>
      <c r="AX30" s="43" t="s"/>
      <c r="AY30" s="41" t="s"/>
    </row>
    <row r="31" spans="1:51" ht="15">
      <c r="A31" s="40">
        <v>27</v>
      </c>
      <c r="B31" s="41" t="s"/>
      <c r="C31" s="41" t="s"/>
      <c r="D31" s="41" t="s"/>
      <c r="E31" s="41" t="s">
        <v>173</v>
      </c>
      <c r="F31" s="43">
        <v>40576</v>
      </c>
      <c r="G31" s="43" t="s"/>
      <c r="H31" s="43" t="s"/>
      <c r="I31" s="47" t="s"/>
      <c r="J31" s="41" t="s"/>
      <c r="K31" s="43" t="s"/>
      <c r="L31" s="43" t="s"/>
      <c r="M31" s="41" t="s"/>
      <c r="N31" s="43" t="s"/>
      <c r="O31" s="43" t="s"/>
      <c r="P31" s="41" t="s"/>
      <c r="Q31" s="43" t="s"/>
      <c r="R31" s="43" t="s"/>
      <c r="S31" s="41" t="s"/>
      <c r="T31" s="43" t="s"/>
      <c r="U31" s="41" t="s"/>
      <c r="V31" s="41" t="s"/>
      <c r="W31" s="43" t="s"/>
      <c r="X31" s="43" t="s"/>
      <c r="Y31" s="41" t="s"/>
      <c r="Z31" s="43" t="s"/>
      <c r="AA31" s="41" t="s"/>
      <c r="AB31" s="41" t="s"/>
      <c r="AC31" s="43" t="s"/>
      <c r="AD31" s="43" t="s"/>
      <c r="AE31" s="41" t="s"/>
      <c r="AF31" s="43" t="s"/>
      <c r="AG31" s="41" t="s"/>
      <c r="AH31" s="41" t="s"/>
      <c r="AI31" s="43" t="s"/>
      <c r="AJ31" s="43" t="s"/>
      <c r="AK31" s="41" t="s"/>
      <c r="AL31" s="43" t="s"/>
      <c r="AM31" s="41" t="s"/>
      <c r="AN31" s="41" t="s"/>
      <c r="AO31" s="43" t="s"/>
      <c r="AP31" s="43" t="s"/>
      <c r="AQ31" s="41" t="s"/>
      <c r="AR31" s="43" t="s"/>
      <c r="AS31" s="41" t="s"/>
      <c r="AT31" s="41" t="s"/>
      <c r="AU31" s="43" t="s"/>
      <c r="AV31" s="43" t="s"/>
      <c r="AW31" s="41" t="s"/>
      <c r="AX31" s="43" t="s"/>
      <c r="AY31" s="41" t="s"/>
    </row>
    <row r="32" spans="1:51" ht="15">
      <c r="A32" s="40">
        <v>28</v>
      </c>
      <c r="B32" s="41" t="s"/>
      <c r="C32" s="41" t="s"/>
      <c r="D32" s="41" t="s"/>
      <c r="E32" s="41" t="s">
        <v>173</v>
      </c>
      <c r="F32" s="43">
        <v>40577</v>
      </c>
      <c r="G32" s="43" t="s"/>
      <c r="H32" s="43" t="s"/>
      <c r="I32" s="47" t="s"/>
      <c r="J32" s="41" t="s"/>
      <c r="K32" s="43" t="s"/>
      <c r="L32" s="43" t="s"/>
      <c r="M32" s="41" t="s"/>
      <c r="N32" s="43" t="s"/>
      <c r="O32" s="43" t="s"/>
      <c r="P32" s="41" t="s"/>
      <c r="Q32" s="43" t="s"/>
      <c r="R32" s="43" t="s"/>
      <c r="S32" s="41" t="s"/>
      <c r="T32" s="43" t="s"/>
      <c r="U32" s="41" t="s"/>
      <c r="V32" s="41" t="s"/>
      <c r="W32" s="43" t="s"/>
      <c r="X32" s="43" t="s"/>
      <c r="Y32" s="41" t="s"/>
      <c r="Z32" s="43" t="s"/>
      <c r="AA32" s="41" t="s"/>
      <c r="AB32" s="41" t="s"/>
      <c r="AC32" s="43" t="s"/>
      <c r="AD32" s="43" t="s"/>
      <c r="AE32" s="41" t="s"/>
      <c r="AF32" s="43" t="s"/>
      <c r="AG32" s="41" t="s"/>
      <c r="AH32" s="41" t="s"/>
      <c r="AI32" s="43" t="s"/>
      <c r="AJ32" s="43" t="s"/>
      <c r="AK32" s="41" t="s"/>
      <c r="AL32" s="43" t="s"/>
      <c r="AM32" s="41" t="s"/>
      <c r="AN32" s="41" t="s"/>
      <c r="AO32" s="43" t="s"/>
      <c r="AP32" s="43" t="s"/>
      <c r="AQ32" s="41" t="s"/>
      <c r="AR32" s="43" t="s"/>
      <c r="AS32" s="41" t="s"/>
      <c r="AT32" s="41" t="s"/>
      <c r="AU32" s="43" t="s"/>
      <c r="AV32" s="43" t="s"/>
      <c r="AW32" s="41" t="s"/>
      <c r="AX32" s="43" t="s"/>
      <c r="AY32" s="41" t="s"/>
    </row>
  </sheetData>
  <sheetProtection/>
  <mergeCells count="2">
    <mergeCell ref="A1:H1"/>
    <mergeCell ref="A2:H3"/>
  </mergeCells>
  <conditionalFormatting sqref="E5:E32 G5:G32">
    <cfRule type="cellIs" dxfId="0" priority="1" stopIfTrue="true" operator="equal">
      <formula>"开放"</formula>
      <formula>"开放"</formula>
    </cfRule>
  </conditionalFormatting>
  <conditionalFormatting sqref="E5:E32 G5:G32">
    <cfRule type="cellIs" dxfId="1" priority="2" stopIfTrue="true" operator="equal">
      <formula>"开放"</formula>
      <formula>"开放"</formula>
    </cfRule>
  </conditionalFormatting>
  <conditionalFormatting sqref="E5:E32 G5:G32">
    <cfRule type="cellIs" dxfId="0" priority="3" stopIfTrue="true" operator="equal">
      <formula>"开放"</formula>
      <formula>"开放"</formula>
    </cfRule>
  </conditionalFormatting>
  <dataValidations>
    <dataValidation type="list" operator="between" allowBlank="true" showInputMessage="true" showErrorMessage="true" sqref="C5:C32">
      <formula1>"1,2,3,4,5,6,7,8,9"</formula1>
    </dataValidation>
    <dataValidation type="list" operator="between" allowBlank="true" showInputMessage="true" showErrorMessage="true" sqref="E5:E32">
      <formula1>"打开,己解决,己规避"</formula1>
    </dataValidation>
    <dataValidation type="list" operator="between" allowBlank="true" showInputMessage="true" showErrorMessage="true" sqref="H5:H32">
      <formula1>"问题已审核,问题己关闭,问题己规避,不认同是问题"</formula1>
    </dataValidation>
    <dataValidation type="list" operator="between" allowBlank="true" showInputMessage="true" showErrorMessage="true" sqref="K5:K32">
      <formula1>"问题已审核,问题己关闭,问题己规避,不认同是问题"</formula1>
    </dataValidation>
    <dataValidation type="list" operator="between" allowBlank="true" showInputMessage="true" showErrorMessage="true" sqref="N5:N32">
      <formula1>"问题已审核,问题己关闭,问题己规避,不认同是问题"</formula1>
    </dataValidation>
    <dataValidation type="list" operator="between" allowBlank="true" showInputMessage="true" showErrorMessage="true" sqref="Q5:Q32">
      <formula1>"问题已审核,问题己关闭,问题己规避,不认同是问题"</formula1>
    </dataValidation>
    <dataValidation type="list" operator="between" allowBlank="true" showInputMessage="true" showErrorMessage="true" sqref="T5:T32">
      <formula1>"问题已审核,问题己关闭,问题己规避,不认同是问题"</formula1>
    </dataValidation>
    <dataValidation type="list" operator="between" allowBlank="true" showInputMessage="true" showErrorMessage="true" sqref="W5:W32">
      <formula1>"问题已审核,问题己关闭,问题己规避,不认同是问题"</formula1>
    </dataValidation>
    <dataValidation type="list" operator="between" allowBlank="true" showInputMessage="true" showErrorMessage="true" sqref="Z5:Z32">
      <formula1>"问题已审核,问题己关闭,问题己规避,不认同是问题"</formula1>
    </dataValidation>
    <dataValidation type="list" operator="between" allowBlank="true" showInputMessage="true" showErrorMessage="true" sqref="AC5:AC32">
      <formula1>"问题已审核,问题己关闭,问题己规避,不认同是问题"</formula1>
    </dataValidation>
    <dataValidation type="list" operator="between" allowBlank="true" showInputMessage="true" showErrorMessage="true" sqref="AF5:AF32">
      <formula1>"问题已审核,问题己关闭,问题己规避,不认同是问题"</formula1>
    </dataValidation>
    <dataValidation type="list" operator="between" allowBlank="true" showInputMessage="true" showErrorMessage="true" sqref="AI5:AI32">
      <formula1>"问题已审核,问题己关闭,问题己规避,不认同是问题"</formula1>
    </dataValidation>
    <dataValidation type="list" operator="between" allowBlank="true" showInputMessage="true" showErrorMessage="true" sqref="AL5:AL32">
      <formula1>"问题已审核,问题己关闭,问题己规避,不认同是问题"</formula1>
    </dataValidation>
    <dataValidation type="list" operator="between" allowBlank="true" showInputMessage="true" showErrorMessage="true" sqref="AO5:AO32">
      <formula1>"问题已审核,问题己关闭,问题己规避,不认同是问题"</formula1>
    </dataValidation>
    <dataValidation type="list" operator="between" allowBlank="true" showInputMessage="true" showErrorMessage="true" sqref="AR5:AR32">
      <formula1>"问题已审核,问题己关闭,问题己规避,不认同是问题"</formula1>
    </dataValidation>
    <dataValidation type="list" operator="between" allowBlank="true" showInputMessage="true" showErrorMessage="true" sqref="AU5:AU32">
      <formula1>"问题已审核,问题己关闭,问题己规避,不认同是问题"</formula1>
    </dataValidation>
    <dataValidation type="list" operator="between" allowBlank="true" showInputMessage="true" showErrorMessage="true" sqref="AX5:AX32">
      <formula1>"问题已审核,问题己关闭,问题己规避,不认同是问题"</formula1>
    </dataValidation>
  </dataValidations>
  <pageMargins left="0.7" right="0.7" top="0.75" bottom="0.75" header="0.3" footer="0.3"/>
  <pageSetup orientation="portrait"/>
  <headerFooter scaleWithDoc="false" alignWithMargins="false"/>
</worksheet>
</file>

<file path=xl/worksheets/sheet4.xml><?xml version="1.0" encoding="utf-8"?>
<worksheet xmlns="http://schemas.openxmlformats.org/spreadsheetml/2006/main">
  <sheetPr>
    <tabColor indexed="13"/>
  </sheetPr>
  <dimension ref="D107"/>
  <sheetViews>
    <sheetView showGridLines="true" tabSelected="false" topLeftCell="A1" zoomScale="120" zoomScaleNormal="120" workbookViewId="0"/>
  </sheetViews>
  <sheetFormatPr defaultColWidth="9" defaultRowHeight="16.5"/>
  <cols>
    <col min="1" max="1" width="15.625"/>
    <col min="2" max="4" width="40.625"/>
  </cols>
  <sheetData>
    <row r="1" spans="1:4" ht="16.5">
      <c r="A1" s="120" t="s">
        <v>178</v>
      </c>
      <c r="B1" s="121" t="s"/>
      <c r="C1" s="121" t="s"/>
      <c r="D1" s="121" t="s"/>
    </row>
    <row r="2" spans="1:4" ht="16.5">
      <c r="A2" s="122" t="s">
        <v>179</v>
      </c>
      <c r="B2" s="122" t="s">
        <v>180</v>
      </c>
      <c r="C2" s="122" t="s">
        <v>181</v>
      </c>
      <c r="D2" s="122" t="s">
        <v>182</v>
      </c>
    </row>
    <row r="3" spans="1:4" ht="16.5">
      <c r="A3" s="123" t="s">
        <v>183</v>
      </c>
      <c r="B3" s="124" t="s">
        <v>184</v>
      </c>
      <c r="C3" s="125" t="s">
        <v>185</v>
      </c>
      <c r="D3" s="124" t="s">
        <v>186</v>
      </c>
    </row>
    <row r="4" spans="1:4" ht="16.5">
      <c r="A4" s="126" t="s"/>
      <c r="B4" s="124" t="s">
        <v>187</v>
      </c>
      <c r="C4" s="125" t="s">
        <v>185</v>
      </c>
      <c r="D4" s="124" t="s">
        <v>188</v>
      </c>
    </row>
    <row r="5" spans="1:4" ht="24">
      <c r="A5" s="126" t="s"/>
      <c r="B5" s="124" t="s">
        <v>189</v>
      </c>
      <c r="C5" s="125" t="s">
        <v>185</v>
      </c>
      <c r="D5" s="124" t="s">
        <v>190</v>
      </c>
    </row>
    <row r="6" spans="1:4" ht="36">
      <c r="A6" s="126" t="s"/>
      <c r="B6" s="124" t="s">
        <v>191</v>
      </c>
      <c r="C6" s="124" t="s">
        <v>192</v>
      </c>
      <c r="D6" s="124" t="s">
        <v>193</v>
      </c>
    </row>
    <row r="7" spans="1:4" ht="48">
      <c r="A7" s="126" t="s"/>
      <c r="B7" s="124" t="s">
        <v>194</v>
      </c>
      <c r="C7" s="124" t="s">
        <v>195</v>
      </c>
      <c r="D7" s="124" t="s">
        <v>196</v>
      </c>
    </row>
    <row r="8" spans="1:4" ht="36">
      <c r="A8" s="126" t="s"/>
      <c r="B8" s="124" t="s">
        <v>197</v>
      </c>
      <c r="C8" s="124" t="s">
        <v>198</v>
      </c>
      <c r="D8" s="124" t="s">
        <v>199</v>
      </c>
    </row>
    <row r="9" spans="1:4" ht="16.5">
      <c r="A9" s="126" t="s"/>
      <c r="B9" s="124" t="s">
        <v>200</v>
      </c>
      <c r="C9" s="125" t="s">
        <v>185</v>
      </c>
      <c r="D9" s="124" t="s">
        <v>188</v>
      </c>
    </row>
    <row r="10" spans="1:4" ht="24">
      <c r="A10" s="126" t="s"/>
      <c r="B10" s="124" t="s">
        <v>201</v>
      </c>
      <c r="C10" s="125" t="s">
        <v>185</v>
      </c>
      <c r="D10" s="124" t="s">
        <v>202</v>
      </c>
    </row>
    <row r="11" spans="1:4" ht="36">
      <c r="A11" s="126" t="s"/>
      <c r="B11" s="124" t="s">
        <v>203</v>
      </c>
      <c r="C11" s="124" t="s">
        <v>204</v>
      </c>
      <c r="D11" s="124" t="s">
        <v>205</v>
      </c>
    </row>
    <row r="12" spans="1:4" ht="72">
      <c r="A12" s="126" t="s"/>
      <c r="B12" s="127" t="s">
        <v>206</v>
      </c>
      <c r="C12" s="127" t="s">
        <v>207</v>
      </c>
      <c r="D12" s="127" t="s">
        <v>208</v>
      </c>
    </row>
    <row r="13" spans="1:4" ht="24">
      <c r="A13" s="126" t="s"/>
      <c r="B13" s="124" t="s">
        <v>209</v>
      </c>
      <c r="C13" s="124" t="s">
        <v>210</v>
      </c>
      <c r="D13" s="124" t="s">
        <v>211</v>
      </c>
    </row>
    <row r="14" spans="1:4" ht="48">
      <c r="A14" s="126" t="s"/>
      <c r="B14" s="124" t="s">
        <v>212</v>
      </c>
      <c r="C14" s="124" t="s">
        <v>213</v>
      </c>
      <c r="D14" s="124" t="s">
        <v>214</v>
      </c>
    </row>
    <row r="15" spans="1:4" ht="16.5">
      <c r="A15" s="126" t="s"/>
      <c r="B15" s="124" t="s">
        <v>215</v>
      </c>
      <c r="C15" s="124" t="s">
        <v>216</v>
      </c>
      <c r="D15" s="124" t="s">
        <v>217</v>
      </c>
    </row>
    <row r="16" spans="1:4" ht="48">
      <c r="A16" s="126" t="s"/>
      <c r="B16" s="124" t="s">
        <v>218</v>
      </c>
      <c r="C16" s="124" t="s">
        <v>219</v>
      </c>
      <c r="D16" s="124" t="s">
        <v>220</v>
      </c>
    </row>
    <row r="17" spans="1:4" ht="24">
      <c r="A17" s="126" t="s"/>
      <c r="B17" s="124" t="s">
        <v>221</v>
      </c>
      <c r="C17" s="124" t="s">
        <v>222</v>
      </c>
      <c r="D17" s="124" t="s">
        <v>223</v>
      </c>
    </row>
    <row r="18" spans="1:4" ht="108">
      <c r="A18" s="128" t="s"/>
      <c r="B18" s="124" t="s">
        <v>224</v>
      </c>
      <c r="C18" s="124" t="s">
        <v>225</v>
      </c>
      <c r="D18" s="124" t="s">
        <v>226</v>
      </c>
    </row>
    <row r="19" spans="1:4" ht="48" customHeight="true">
      <c r="A19" s="128" t="s"/>
      <c r="B19" s="127" t="s">
        <v>227</v>
      </c>
      <c r="C19" s="127" t="s">
        <v>228</v>
      </c>
      <c r="D19" s="127" t="s">
        <v>229</v>
      </c>
    </row>
    <row r="20" spans="1:4" ht="96">
      <c r="A20" s="128" t="s"/>
      <c r="B20" s="124" t="s">
        <v>230</v>
      </c>
      <c r="C20" s="124" t="s">
        <v>231</v>
      </c>
      <c r="D20" s="124" t="s">
        <v>232</v>
      </c>
    </row>
    <row r="21" spans="1:4" ht="24">
      <c r="A21" s="123" t="s">
        <v>36</v>
      </c>
      <c r="B21" s="124" t="s">
        <v>233</v>
      </c>
      <c r="C21" s="124" t="s">
        <v>234</v>
      </c>
      <c r="D21" s="124" t="s">
        <v>235</v>
      </c>
    </row>
    <row r="22" spans="1:4" ht="24">
      <c r="A22" s="128" t="s"/>
      <c r="B22" s="124" t="s">
        <v>236</v>
      </c>
      <c r="C22" s="124" t="s">
        <v>185</v>
      </c>
      <c r="D22" s="124" t="s">
        <v>237</v>
      </c>
    </row>
    <row r="23" spans="1:4" ht="24">
      <c r="A23" s="128" t="s"/>
      <c r="B23" s="124" t="s">
        <v>238</v>
      </c>
      <c r="C23" s="124" t="s">
        <v>239</v>
      </c>
      <c r="D23" s="124" t="s">
        <v>240</v>
      </c>
    </row>
    <row r="24" spans="1:4" ht="24">
      <c r="A24" s="128" t="s"/>
      <c r="B24" s="124" t="s">
        <v>241</v>
      </c>
      <c r="C24" s="124" t="s">
        <v>242</v>
      </c>
      <c r="D24" s="124" t="s">
        <v>243</v>
      </c>
    </row>
    <row r="25" spans="1:4" ht="16.5">
      <c r="A25" s="128" t="s"/>
      <c r="B25" s="124" t="s">
        <v>244</v>
      </c>
      <c r="C25" s="124" t="s">
        <v>185</v>
      </c>
      <c r="D25" s="124" t="s">
        <v>245</v>
      </c>
    </row>
    <row r="26" spans="1:4" ht="36">
      <c r="A26" s="129" t="s"/>
      <c r="B26" s="124" t="s">
        <v>246</v>
      </c>
      <c r="C26" s="124" t="s">
        <v>247</v>
      </c>
      <c r="D26" s="124" t="s">
        <v>510</v>
      </c>
    </row>
    <row r="27" spans="1:4" ht="36">
      <c r="A27" s="123" t="s">
        <v>248</v>
      </c>
      <c r="B27" s="124" t="s">
        <v>249</v>
      </c>
      <c r="C27" s="124" t="s">
        <v>250</v>
      </c>
      <c r="D27" s="124" t="s">
        <v>251</v>
      </c>
    </row>
    <row r="28" spans="1:4" ht="84">
      <c r="A28" s="128" t="s"/>
      <c r="B28" s="124" t="s">
        <v>252</v>
      </c>
      <c r="C28" s="124" t="s">
        <v>253</v>
      </c>
      <c r="D28" s="124" t="s">
        <v>254</v>
      </c>
    </row>
    <row r="29" spans="1:4" ht="24">
      <c r="A29" s="128" t="s"/>
      <c r="B29" s="124" t="s">
        <v>255</v>
      </c>
      <c r="C29" s="124" t="s">
        <v>256</v>
      </c>
      <c r="D29" s="124" t="s">
        <v>257</v>
      </c>
    </row>
    <row r="30" spans="1:5" ht="36">
      <c r="A30" s="128" t="s"/>
      <c r="B30" s="124" t="s">
        <v>258</v>
      </c>
      <c r="C30" s="124" t="s">
        <v>259</v>
      </c>
      <c r="D30" s="124" t="s">
        <v>260</v>
      </c>
      <c r="E30" s="130" t="s"/>
    </row>
    <row r="31" spans="1:4" ht="16.5">
      <c r="A31" s="128" t="s"/>
      <c r="B31" s="131" t="s">
        <v>261</v>
      </c>
      <c r="C31" s="131" t="s">
        <v>262</v>
      </c>
      <c r="D31" s="131" t="s">
        <v>263</v>
      </c>
    </row>
    <row r="32" spans="1:4" ht="36">
      <c r="A32" s="129" t="s"/>
      <c r="B32" s="132" t="s">
        <v>264</v>
      </c>
      <c r="C32" s="131" t="s">
        <v>265</v>
      </c>
      <c r="D32" s="132" t="s">
        <v>266</v>
      </c>
    </row>
    <row r="33" spans="1:4" ht="24">
      <c r="A33" s="126" t="s">
        <v>267</v>
      </c>
      <c r="B33" s="124" t="s">
        <v>268</v>
      </c>
      <c r="C33" s="125" t="s">
        <v>185</v>
      </c>
      <c r="D33" s="124" t="s">
        <v>269</v>
      </c>
    </row>
    <row r="34" spans="1:4" ht="86.25">
      <c r="A34" s="126" t="s"/>
      <c r="B34" s="124" t="s">
        <v>270</v>
      </c>
      <c r="C34" s="125" t="s">
        <v>511</v>
      </c>
      <c r="D34" s="124" t="s">
        <v>271</v>
      </c>
    </row>
    <row r="35" spans="1:4" ht="36">
      <c r="A35" s="126" t="s"/>
      <c r="B35" s="124" t="s">
        <v>272</v>
      </c>
      <c r="C35" s="124" t="s">
        <v>273</v>
      </c>
      <c r="D35" s="124" t="s">
        <v>274</v>
      </c>
    </row>
    <row r="36" spans="1:4" ht="37.5">
      <c r="A36" s="126" t="s"/>
      <c r="B36" s="124" t="s">
        <v>275</v>
      </c>
      <c r="C36" s="125" t="s">
        <v>512</v>
      </c>
      <c r="D36" s="124" t="s">
        <v>276</v>
      </c>
    </row>
    <row r="37" spans="1:4" ht="36">
      <c r="A37" s="126" t="s"/>
      <c r="B37" s="124" t="s">
        <v>277</v>
      </c>
      <c r="C37" s="124" t="s">
        <v>278</v>
      </c>
      <c r="D37" s="124" t="s">
        <v>279</v>
      </c>
    </row>
    <row r="38" spans="1:4" ht="16.5">
      <c r="A38" s="126" t="s"/>
      <c r="B38" s="124" t="s">
        <v>280</v>
      </c>
      <c r="C38" s="125" t="s">
        <v>185</v>
      </c>
      <c r="D38" s="124" t="s">
        <v>281</v>
      </c>
    </row>
    <row r="39" spans="1:4" ht="24">
      <c r="A39" s="126" t="s"/>
      <c r="B39" s="124" t="s">
        <v>282</v>
      </c>
      <c r="C39" s="125" t="s">
        <v>185</v>
      </c>
      <c r="D39" s="124" t="s">
        <v>283</v>
      </c>
    </row>
    <row r="40" spans="1:4" ht="16.5">
      <c r="A40" s="126" t="s">
        <v>40</v>
      </c>
      <c r="B40" s="124" t="s">
        <v>284</v>
      </c>
      <c r="C40" s="124" t="s">
        <v>285</v>
      </c>
      <c r="D40" s="133" t="s"/>
    </row>
    <row r="41" spans="1:4" ht="37.5">
      <c r="A41" s="126" t="s"/>
      <c r="B41" s="124" t="s">
        <v>286</v>
      </c>
      <c r="C41" s="124" t="s">
        <v>287</v>
      </c>
      <c r="D41" s="124" t="s">
        <v>513</v>
      </c>
    </row>
    <row r="42" spans="1:4" ht="36">
      <c r="A42" s="126" t="s"/>
      <c r="B42" s="124" t="s">
        <v>288</v>
      </c>
      <c r="C42" s="124" t="s">
        <v>289</v>
      </c>
      <c r="D42" s="124" t="s">
        <v>290</v>
      </c>
    </row>
    <row r="43" spans="1:4" ht="36">
      <c r="A43" s="126" t="s"/>
      <c r="B43" s="124" t="s">
        <v>291</v>
      </c>
      <c r="C43" s="124" t="s">
        <v>292</v>
      </c>
      <c r="D43" s="124" t="s">
        <v>293</v>
      </c>
    </row>
    <row r="44" spans="1:4" ht="24">
      <c r="A44" s="126" t="s"/>
      <c r="B44" s="124" t="s">
        <v>294</v>
      </c>
      <c r="C44" s="124" t="s">
        <v>295</v>
      </c>
      <c r="D44" s="124" t="s">
        <v>296</v>
      </c>
    </row>
    <row r="45" spans="1:4" ht="24">
      <c r="A45" s="126" t="s"/>
      <c r="B45" s="124" t="s">
        <v>297</v>
      </c>
      <c r="C45" s="124" t="s">
        <v>298</v>
      </c>
      <c r="D45" s="124" t="s">
        <v>299</v>
      </c>
    </row>
    <row r="46" spans="1:4" ht="24">
      <c r="A46" s="126" t="s"/>
      <c r="B46" s="124" t="s">
        <v>300</v>
      </c>
      <c r="C46" s="124" t="s">
        <v>185</v>
      </c>
      <c r="D46" s="124" t="s">
        <v>301</v>
      </c>
    </row>
    <row r="47" spans="1:4" ht="16.5">
      <c r="A47" s="126" t="s"/>
      <c r="B47" s="124" t="s">
        <v>302</v>
      </c>
      <c r="C47" s="124" t="s">
        <v>185</v>
      </c>
      <c r="D47" s="124" t="s">
        <v>303</v>
      </c>
    </row>
    <row r="48" spans="1:4" ht="16.5">
      <c r="A48" s="126" t="s"/>
      <c r="B48" s="124" t="s">
        <v>304</v>
      </c>
      <c r="C48" s="124" t="s">
        <v>305</v>
      </c>
      <c r="D48" s="124" t="s">
        <v>306</v>
      </c>
    </row>
    <row r="49" spans="1:4" ht="60">
      <c r="A49" s="126" t="s"/>
      <c r="B49" s="124" t="s">
        <v>307</v>
      </c>
      <c r="C49" s="124" t="s">
        <v>305</v>
      </c>
      <c r="D49" s="124" t="s">
        <v>308</v>
      </c>
    </row>
    <row r="50" spans="1:4" ht="16.5">
      <c r="A50" s="126" t="s"/>
      <c r="B50" s="124" t="s">
        <v>309</v>
      </c>
      <c r="C50" s="124" t="s">
        <v>310</v>
      </c>
      <c r="D50" s="124" t="s">
        <v>311</v>
      </c>
    </row>
    <row r="51" spans="1:4" ht="84">
      <c r="A51" s="126" t="s"/>
      <c r="B51" s="124" t="s">
        <v>312</v>
      </c>
      <c r="C51" s="124" t="s">
        <v>312</v>
      </c>
      <c r="D51" s="124" t="s">
        <v>313</v>
      </c>
    </row>
    <row r="52" spans="1:4" ht="16.5">
      <c r="A52" s="126" t="s">
        <v>314</v>
      </c>
      <c r="B52" s="124" t="s">
        <v>315</v>
      </c>
      <c r="C52" s="124" t="s">
        <v>185</v>
      </c>
      <c r="D52" s="124" t="s">
        <v>316</v>
      </c>
    </row>
    <row r="53" spans="1:4" ht="48">
      <c r="A53" s="126" t="s"/>
      <c r="B53" s="124" t="s">
        <v>317</v>
      </c>
      <c r="C53" s="124" t="s">
        <v>318</v>
      </c>
      <c r="D53" s="124" t="s">
        <v>319</v>
      </c>
    </row>
    <row r="54" spans="1:4" ht="24">
      <c r="A54" s="126" t="s"/>
      <c r="B54" s="124" t="s">
        <v>320</v>
      </c>
      <c r="C54" s="124" t="s">
        <v>321</v>
      </c>
      <c r="D54" s="124" t="s">
        <v>322</v>
      </c>
    </row>
    <row r="55" spans="1:4" ht="84">
      <c r="A55" s="126" t="s"/>
      <c r="B55" s="127" t="s">
        <v>323</v>
      </c>
      <c r="C55" s="127" t="s">
        <v>324</v>
      </c>
      <c r="D55" s="127" t="s">
        <v>325</v>
      </c>
    </row>
    <row r="56" spans="1:4" ht="36">
      <c r="A56" s="126" t="s"/>
      <c r="B56" s="124" t="s">
        <v>326</v>
      </c>
      <c r="C56" s="124" t="s">
        <v>327</v>
      </c>
      <c r="D56" s="124" t="s">
        <v>328</v>
      </c>
    </row>
    <row r="57" spans="1:4" ht="36">
      <c r="A57" s="126" t="s">
        <v>329</v>
      </c>
      <c r="B57" s="124" t="s">
        <v>330</v>
      </c>
      <c r="C57" s="124" t="s">
        <v>331</v>
      </c>
      <c r="D57" s="124" t="s">
        <v>332</v>
      </c>
    </row>
    <row r="58" spans="1:4" ht="24">
      <c r="A58" s="126" t="s"/>
      <c r="B58" s="124" t="s">
        <v>333</v>
      </c>
      <c r="C58" s="124" t="s">
        <v>334</v>
      </c>
      <c r="D58" s="124" t="s">
        <v>335</v>
      </c>
    </row>
    <row r="59" spans="1:4" ht="36">
      <c r="A59" s="123" t="s">
        <v>336</v>
      </c>
      <c r="B59" s="124" t="s">
        <v>337</v>
      </c>
      <c r="C59" s="124" t="s">
        <v>338</v>
      </c>
      <c r="D59" s="124" t="s">
        <v>339</v>
      </c>
    </row>
    <row r="60" spans="1:4" ht="36">
      <c r="A60" s="128" t="s"/>
      <c r="B60" s="124" t="s">
        <v>340</v>
      </c>
      <c r="C60" s="124" t="s">
        <v>341</v>
      </c>
      <c r="D60" s="124" t="s">
        <v>342</v>
      </c>
    </row>
    <row r="61" spans="1:4" ht="48">
      <c r="A61" s="128" t="s"/>
      <c r="B61" s="124" t="s">
        <v>343</v>
      </c>
      <c r="C61" s="124" t="s">
        <v>344</v>
      </c>
      <c r="D61" s="124" t="s">
        <v>345</v>
      </c>
    </row>
    <row r="62" spans="1:4" ht="72">
      <c r="A62" s="128" t="s"/>
      <c r="B62" s="124" t="s">
        <v>346</v>
      </c>
      <c r="C62" s="124" t="s">
        <v>185</v>
      </c>
      <c r="D62" s="124" t="s">
        <v>347</v>
      </c>
    </row>
    <row r="63" spans="1:4" ht="24">
      <c r="A63" s="134" t="s"/>
      <c r="B63" s="124" t="s">
        <v>348</v>
      </c>
      <c r="C63" s="124" t="s">
        <v>349</v>
      </c>
      <c r="D63" s="124" t="s">
        <v>350</v>
      </c>
    </row>
    <row r="64" spans="1:4" ht="16.5">
      <c r="A64" s="126" t="s">
        <v>351</v>
      </c>
      <c r="B64" s="135" t="s">
        <v>352</v>
      </c>
      <c r="C64" s="124" t="s">
        <v>353</v>
      </c>
      <c r="D64" s="124" t="s">
        <v>354</v>
      </c>
    </row>
    <row r="65" spans="1:4" ht="24">
      <c r="A65" s="126" t="s"/>
      <c r="B65" s="135" t="s">
        <v>355</v>
      </c>
      <c r="C65" s="124" t="s">
        <v>356</v>
      </c>
      <c r="D65" s="124" t="s">
        <v>357</v>
      </c>
    </row>
    <row r="66" spans="1:4" ht="16.5">
      <c r="A66" s="126" t="s"/>
      <c r="B66" s="135" t="s">
        <v>358</v>
      </c>
      <c r="C66" s="124" t="s">
        <v>359</v>
      </c>
      <c r="D66" s="124" t="s"/>
    </row>
    <row r="67" spans="1:4" ht="36">
      <c r="A67" s="126" t="s"/>
      <c r="B67" s="135" t="s">
        <v>360</v>
      </c>
      <c r="C67" s="124" t="s">
        <v>185</v>
      </c>
      <c r="D67" s="124" t="s">
        <v>361</v>
      </c>
    </row>
    <row r="68" spans="1:4" ht="48">
      <c r="A68" s="126" t="s"/>
      <c r="B68" s="135" t="s">
        <v>362</v>
      </c>
      <c r="C68" s="124" t="s">
        <v>363</v>
      </c>
      <c r="D68" s="124" t="s">
        <v>364</v>
      </c>
    </row>
    <row r="69" spans="1:4" ht="24">
      <c r="A69" s="126" t="s"/>
      <c r="B69" s="135" t="s">
        <v>365</v>
      </c>
      <c r="C69" s="124" t="s">
        <v>366</v>
      </c>
      <c r="D69" s="124" t="s">
        <v>367</v>
      </c>
    </row>
    <row r="70" spans="1:4" ht="16.5">
      <c r="A70" s="136" t="s">
        <v>368</v>
      </c>
      <c r="B70" s="124" t="s">
        <v>369</v>
      </c>
      <c r="C70" s="124" t="s">
        <v>185</v>
      </c>
      <c r="D70" s="124" t="s">
        <v>370</v>
      </c>
    </row>
    <row r="71" spans="1:4" ht="96">
      <c r="A71" s="126" t="s"/>
      <c r="B71" s="124" t="s">
        <v>371</v>
      </c>
      <c r="C71" s="124" t="s">
        <v>372</v>
      </c>
      <c r="D71" s="124" t="s">
        <v>373</v>
      </c>
    </row>
    <row r="72" spans="1:4" ht="24">
      <c r="A72" s="126" t="s"/>
      <c r="B72" s="124" t="s">
        <v>374</v>
      </c>
      <c r="C72" s="124" t="s">
        <v>185</v>
      </c>
      <c r="D72" s="124" t="s">
        <v>375</v>
      </c>
    </row>
    <row r="73" spans="1:4" ht="48">
      <c r="A73" s="126" t="s"/>
      <c r="B73" s="124" t="s">
        <v>376</v>
      </c>
      <c r="C73" s="124" t="s">
        <v>185</v>
      </c>
      <c r="D73" s="124" t="s">
        <v>377</v>
      </c>
    </row>
    <row r="74" spans="1:4" ht="16.5">
      <c r="A74" s="126" t="s"/>
      <c r="B74" s="124" t="s">
        <v>378</v>
      </c>
      <c r="C74" s="124" t="s">
        <v>185</v>
      </c>
      <c r="D74" s="124" t="s">
        <v>379</v>
      </c>
    </row>
    <row r="75" spans="1:4" ht="24">
      <c r="A75" s="126" t="s">
        <v>380</v>
      </c>
      <c r="B75" s="124" t="s">
        <v>381</v>
      </c>
      <c r="C75" s="124" t="s">
        <v>185</v>
      </c>
      <c r="D75" s="124" t="s">
        <v>382</v>
      </c>
    </row>
    <row r="76" spans="1:4" ht="36">
      <c r="A76" s="126" t="s"/>
      <c r="B76" s="124" t="s">
        <v>383</v>
      </c>
      <c r="C76" s="124" t="s">
        <v>384</v>
      </c>
      <c r="D76" s="124" t="s">
        <v>385</v>
      </c>
    </row>
    <row r="77" spans="1:4" ht="16.5">
      <c r="A77" s="126" t="s"/>
      <c r="B77" s="124" t="s">
        <v>386</v>
      </c>
      <c r="C77" s="124" t="s">
        <v>185</v>
      </c>
      <c r="D77" s="124" t="s">
        <v>382</v>
      </c>
    </row>
    <row r="78" spans="1:4" ht="16.5">
      <c r="A78" s="126" t="s"/>
      <c r="B78" s="124" t="s">
        <v>387</v>
      </c>
      <c r="C78" s="124" t="s">
        <v>185</v>
      </c>
      <c r="D78" s="124" t="s">
        <v>388</v>
      </c>
    </row>
    <row r="79" spans="1:4" ht="16.5">
      <c r="A79" s="126" t="s"/>
      <c r="B79" s="124" t="s">
        <v>389</v>
      </c>
      <c r="C79" s="124" t="s">
        <v>185</v>
      </c>
      <c r="D79" s="124" t="s">
        <v>390</v>
      </c>
    </row>
    <row r="80" spans="1:4" ht="38.25" customHeight="true">
      <c r="A80" s="126" t="s">
        <v>391</v>
      </c>
      <c r="B80" s="124" t="s">
        <v>392</v>
      </c>
      <c r="C80" s="137" t="s">
        <v>393</v>
      </c>
      <c r="D80" s="124" t="s">
        <v>394</v>
      </c>
    </row>
    <row r="81" spans="1:4" ht="16.5">
      <c r="A81" s="138" t="s"/>
      <c r="B81" s="124" t="s"/>
      <c r="C81" s="139" t="s"/>
      <c r="D81" s="124" t="s">
        <v>395</v>
      </c>
    </row>
    <row r="82" spans="1:4" ht="16.5">
      <c r="A82" s="138" t="s"/>
      <c r="B82" s="124" t="s"/>
      <c r="C82" s="139" t="s"/>
      <c r="D82" s="124" t="s">
        <v>396</v>
      </c>
    </row>
    <row r="83" spans="1:4" ht="24">
      <c r="A83" s="138" t="s"/>
      <c r="B83" s="124" t="s"/>
      <c r="C83" s="140" t="s"/>
      <c r="D83" s="124" t="s">
        <v>397</v>
      </c>
    </row>
    <row r="84" spans="1:4" ht="16.5">
      <c r="A84" s="138" t="s"/>
      <c r="B84" s="124" t="s">
        <v>398</v>
      </c>
      <c r="C84" s="137" t="s">
        <v>399</v>
      </c>
      <c r="D84" s="124" t="s">
        <v>400</v>
      </c>
    </row>
    <row r="85" spans="1:4" ht="24">
      <c r="A85" s="138" t="s"/>
      <c r="B85" s="124" t="s"/>
      <c r="C85" s="139" t="s"/>
      <c r="D85" s="124" t="s">
        <v>401</v>
      </c>
    </row>
    <row r="86" spans="1:4" ht="16.5">
      <c r="A86" s="138" t="s"/>
      <c r="B86" s="124" t="s"/>
      <c r="C86" s="140" t="s"/>
      <c r="D86" s="124" t="s">
        <v>402</v>
      </c>
    </row>
    <row r="87" spans="1:4" ht="24">
      <c r="A87" s="138" t="s"/>
      <c r="B87" s="124" t="s">
        <v>403</v>
      </c>
      <c r="C87" s="124" t="s">
        <v>404</v>
      </c>
      <c r="D87" s="124" t="s">
        <v>405</v>
      </c>
    </row>
    <row r="88" spans="1:4" ht="24">
      <c r="A88" s="138" t="s"/>
      <c r="B88" s="124" t="s">
        <v>406</v>
      </c>
      <c r="C88" s="137" t="s">
        <v>407</v>
      </c>
      <c r="D88" s="124" t="s">
        <v>408</v>
      </c>
    </row>
    <row r="89" spans="1:4" ht="24">
      <c r="A89" s="138" t="s"/>
      <c r="B89" s="124" t="s"/>
      <c r="C89" s="140" t="s"/>
      <c r="D89" s="124" t="s">
        <v>409</v>
      </c>
    </row>
    <row r="90" spans="1:4" ht="38.25" customHeight="true">
      <c r="A90" s="138" t="s"/>
      <c r="B90" s="124" t="s">
        <v>410</v>
      </c>
      <c r="C90" s="137" t="s">
        <v>411</v>
      </c>
      <c r="D90" s="124" t="s">
        <v>412</v>
      </c>
    </row>
    <row r="91" spans="1:4" ht="16.5">
      <c r="A91" s="138" t="s"/>
      <c r="B91" s="124" t="s"/>
      <c r="C91" s="139" t="s"/>
      <c r="D91" s="124" t="s">
        <v>413</v>
      </c>
    </row>
    <row r="92" spans="1:4" ht="24">
      <c r="A92" s="138" t="s"/>
      <c r="B92" s="124" t="s"/>
      <c r="C92" s="139" t="s"/>
      <c r="D92" s="124" t="s">
        <v>414</v>
      </c>
    </row>
    <row r="93" spans="1:4" ht="16.5">
      <c r="A93" s="138" t="s"/>
      <c r="B93" s="124" t="s"/>
      <c r="C93" s="140" t="s"/>
      <c r="D93" s="124" t="s">
        <v>415</v>
      </c>
    </row>
    <row r="94" spans="1:4" ht="16.5">
      <c r="A94" s="138" t="s"/>
      <c r="B94" s="124" t="s">
        <v>416</v>
      </c>
      <c r="C94" s="137" t="s">
        <v>417</v>
      </c>
      <c r="D94" s="124" t="s">
        <v>418</v>
      </c>
    </row>
    <row r="95" spans="1:4" ht="16.5">
      <c r="A95" s="138" t="s"/>
      <c r="B95" s="124" t="s"/>
      <c r="C95" s="139" t="s"/>
      <c r="D95" s="124" t="s">
        <v>419</v>
      </c>
    </row>
    <row r="96" spans="1:4" ht="16.5">
      <c r="A96" s="138" t="s"/>
      <c r="B96" s="124" t="s"/>
      <c r="C96" s="139" t="s"/>
      <c r="D96" s="124" t="s">
        <v>420</v>
      </c>
    </row>
    <row r="97" spans="1:4" ht="16.5">
      <c r="A97" s="138" t="s"/>
      <c r="B97" s="124" t="s"/>
      <c r="C97" s="140" t="s"/>
      <c r="D97" s="124" t="s">
        <v>421</v>
      </c>
    </row>
    <row r="98" spans="1:4" ht="16.5">
      <c r="A98" s="138" t="s"/>
      <c r="B98" s="124" t="s">
        <v>422</v>
      </c>
      <c r="C98" s="141" t="s">
        <v>185</v>
      </c>
      <c r="D98" s="124" t="s">
        <v>423</v>
      </c>
    </row>
    <row r="99" spans="1:4" ht="24">
      <c r="A99" s="138" t="s"/>
      <c r="B99" s="124" t="s"/>
      <c r="C99" s="142" t="s"/>
      <c r="D99" s="124" t="s">
        <v>424</v>
      </c>
    </row>
    <row r="100" spans="1:4" ht="16.5">
      <c r="A100" s="138" t="s"/>
      <c r="B100" s="124" t="s"/>
      <c r="C100" s="143" t="s"/>
      <c r="D100" s="124" t="s">
        <v>425</v>
      </c>
    </row>
    <row r="101" spans="1:4" ht="60">
      <c r="A101" s="138" t="s"/>
      <c r="B101" s="144" t="s">
        <v>426</v>
      </c>
      <c r="C101" s="124" t="s">
        <v>185</v>
      </c>
      <c r="D101" s="135" t="s">
        <v>427</v>
      </c>
    </row>
    <row r="102" spans="1:4" ht="24">
      <c r="A102" s="138" t="s"/>
      <c r="B102" s="144" t="s">
        <v>428</v>
      </c>
      <c r="C102" s="124" t="s">
        <v>185</v>
      </c>
      <c r="D102" s="135" t="s">
        <v>429</v>
      </c>
    </row>
    <row r="103" spans="1:4" ht="81" customHeight="true">
      <c r="A103" s="138" t="s"/>
      <c r="B103" s="145" t="s">
        <v>430</v>
      </c>
      <c r="C103" s="127" t="s">
        <v>431</v>
      </c>
      <c r="D103" s="146" t="s">
        <v>432</v>
      </c>
    </row>
    <row r="104" spans="1:4" ht="24">
      <c r="A104" s="138" t="s"/>
      <c r="B104" s="144" t="s">
        <v>433</v>
      </c>
      <c r="C104" s="124" t="s">
        <v>185</v>
      </c>
      <c r="D104" s="135" t="s">
        <v>434</v>
      </c>
    </row>
    <row r="105" spans="1:1" ht="16.5">
      <c r="A105" s="147" t="s"/>
    </row>
    <row r="107" spans="2:4" ht="16.5">
      <c r="B107" s="148" t="s"/>
      <c r="C107" s="148" t="s"/>
      <c r="D107" s="148" t="s"/>
    </row>
  </sheetData>
  <sheetProtection/>
  <mergeCells count="25">
    <mergeCell ref="A1:D1"/>
    <mergeCell ref="A3:A20"/>
    <mergeCell ref="A21:A26"/>
    <mergeCell ref="A27:A32"/>
    <mergeCell ref="A33:A39"/>
    <mergeCell ref="A40:A51"/>
    <mergeCell ref="A52:A56"/>
    <mergeCell ref="A57:A58"/>
    <mergeCell ref="A59:A63"/>
    <mergeCell ref="A64:A69"/>
    <mergeCell ref="A70:A74"/>
    <mergeCell ref="A75:A79"/>
    <mergeCell ref="A80:A104"/>
    <mergeCell ref="B80:B83"/>
    <mergeCell ref="B84:B86"/>
    <mergeCell ref="B88:B89"/>
    <mergeCell ref="B90:B93"/>
    <mergeCell ref="B94:B97"/>
    <mergeCell ref="B98:B100"/>
    <mergeCell ref="C80:C83"/>
    <mergeCell ref="C84:C86"/>
    <mergeCell ref="C88:C89"/>
    <mergeCell ref="C90:C93"/>
    <mergeCell ref="C94:C97"/>
    <mergeCell ref="C98:C100"/>
  </mergeCells>
  <pageMargins left="0.7" right="0.7" top="0.75" bottom="0.75" header="0.3" footer="0.3"/>
  <pageSetup paperSize="9" orientation="portrait" horizontalDpi="300" verticalDpi="300"/>
  <headerFooter scaleWithDoc="false" alignWithMargins="false"/>
</worksheet>
</file>

<file path=xl/worksheets/sheet5.xml><?xml version="1.0" encoding="utf-8"?>
<worksheet xmlns="http://schemas.openxmlformats.org/spreadsheetml/2006/main">
  <sheetPr codeName="风险跟踪示例">
    <tabColor indexed="10"/>
  </sheetPr>
  <dimension ref="DE16"/>
  <sheetViews>
    <sheetView showGridLines="true" topLeftCell="A1" workbookViewId="0"/>
  </sheetViews>
  <sheetFormatPr defaultColWidth="9" defaultRowHeight="16.5"/>
  <cols>
    <col min="3" max="3" width="17.875"/>
    <col min="4" max="6" width="2.125"/>
    <col min="7" max="7" width="22.625"/>
    <col min="14" max="16" width="2.125"/>
    <col min="17" max="17" width="20.75"/>
    <col min="20" max="22" width="2.125"/>
    <col min="23" max="23" width="22"/>
    <col min="26" max="28" width="2.125"/>
    <col min="32" max="34" width="2.125"/>
  </cols>
  <sheetData>
    <row r="1" spans="1:13" s="204" customFormat="true" ht="14.25" customHeight="true">
      <c r="A1" s="4" t="s">
        <v>489</v>
      </c>
      <c r="B1" s="5" t="s"/>
      <c r="C1" s="5" t="s"/>
      <c r="D1" s="5" t="s"/>
      <c r="E1" s="5" t="s"/>
      <c r="F1" s="5" t="s"/>
      <c r="G1" s="5" t="s"/>
      <c r="H1" s="5" t="s"/>
      <c r="I1" s="5" t="s"/>
      <c r="J1" s="5" t="s"/>
      <c r="K1" s="5" t="s"/>
      <c r="L1" s="5" t="s"/>
      <c r="M1" s="6" t="s"/>
    </row>
    <row r="2" spans="1:13" s="204" customFormat="true" ht="25.5" customHeight="true">
      <c r="A2" s="7" t="s"/>
      <c r="B2" s="7" t="s"/>
      <c r="C2" s="7" t="s"/>
      <c r="D2" s="7" t="s"/>
      <c r="E2" s="7" t="s"/>
      <c r="F2" s="7" t="s"/>
      <c r="G2" s="7" t="s"/>
      <c r="H2" s="7" t="s"/>
      <c r="I2" s="7" t="s"/>
      <c r="J2" s="7" t="s"/>
      <c r="K2" s="7" t="s"/>
      <c r="L2" s="7" t="s"/>
      <c r="M2" s="8" t="s"/>
    </row>
    <row r="3" spans="1:19" s="205" customFormat="true" ht="13.5" customHeight="true">
      <c r="A3" s="9" t="s">
        <v>490</v>
      </c>
      <c r="B3" s="10" t="s"/>
      <c r="C3" s="10" t="s"/>
      <c r="D3" s="10" t="s"/>
      <c r="E3" s="10" t="s"/>
      <c r="F3" s="10" t="s"/>
      <c r="G3" s="10" t="s"/>
      <c r="H3" s="10" t="s"/>
      <c r="I3" s="10" t="s"/>
      <c r="J3" s="10" t="s"/>
      <c r="K3" s="10" t="s"/>
      <c r="L3" s="10" t="s"/>
      <c r="M3" s="11" t="s"/>
      <c r="N3" s="12" t="s"/>
      <c r="O3" s="12" t="s"/>
      <c r="P3" s="12" t="s"/>
      <c r="Q3" s="12" t="s"/>
      <c r="R3" s="12" t="s"/>
      <c r="S3" s="12" t="s"/>
    </row>
    <row r="4" spans="1:19" s="205" customFormat="true" ht="13.5" customHeight="true">
      <c r="A4" s="13" t="s"/>
      <c r="B4" s="14" t="s"/>
      <c r="C4" s="14" t="s"/>
      <c r="D4" s="14" t="s"/>
      <c r="E4" s="14" t="s"/>
      <c r="F4" s="14" t="s"/>
      <c r="G4" s="14" t="s"/>
      <c r="H4" s="14" t="s"/>
      <c r="I4" s="14" t="s"/>
      <c r="J4" s="14" t="s"/>
      <c r="K4" s="14" t="s"/>
      <c r="L4" s="14" t="s"/>
      <c r="M4" s="15" t="s"/>
      <c r="N4" s="16" t="s"/>
      <c r="O4" s="16" t="s"/>
      <c r="P4" s="16" t="s"/>
      <c r="Q4" s="16" t="s"/>
      <c r="R4" s="16" t="s"/>
      <c r="S4" s="16" t="s"/>
    </row>
    <row r="5" spans="1:19" s="206" customFormat="true" ht="22.5" customHeight="true">
      <c r="A5" s="17" t="s">
        <v>1</v>
      </c>
      <c r="B5" s="18" t="s"/>
      <c r="C5" s="19" t="s"/>
      <c r="D5" s="20" t="s">
        <v>2</v>
      </c>
      <c r="E5" s="21" t="s"/>
      <c r="F5" s="21" t="s"/>
      <c r="G5" s="22" t="s"/>
      <c r="H5" s="23" t="s">
        <v>3</v>
      </c>
      <c r="I5" s="24" t="s"/>
      <c r="J5" s="25" t="s"/>
      <c r="K5" s="25" t="s"/>
      <c r="L5" s="25" t="s"/>
      <c r="M5" s="26" t="s"/>
      <c r="N5" s="27" t="s">
        <v>4</v>
      </c>
      <c r="O5" s="28" t="s"/>
      <c r="P5" s="28" t="s"/>
      <c r="Q5" s="28" t="s"/>
      <c r="R5" s="28" t="s"/>
      <c r="S5" s="28" t="s"/>
    </row>
    <row r="6" spans="1:109" s="206" customFormat="true" ht="17.25">
      <c r="A6" s="29" t="s">
        <v>5</v>
      </c>
      <c r="B6" s="30" t="s"/>
      <c r="C6" s="30" t="s"/>
      <c r="D6" s="30" t="s"/>
      <c r="E6" s="30" t="s"/>
      <c r="F6" s="30" t="s"/>
      <c r="G6" s="30" t="s"/>
      <c r="H6" s="30" t="s"/>
      <c r="I6" s="30" t="s"/>
      <c r="J6" s="30" t="s"/>
      <c r="K6" s="30" t="s"/>
      <c r="L6" s="30" t="s"/>
      <c r="M6" s="31" t="s"/>
      <c r="N6" s="21" t="s">
        <v>6</v>
      </c>
      <c r="O6" s="21" t="s"/>
      <c r="P6" s="21" t="s"/>
      <c r="Q6" s="21" t="s"/>
      <c r="R6" s="21" t="s"/>
      <c r="S6" s="32" t="s"/>
      <c r="T6" s="21" t="s">
        <v>7</v>
      </c>
      <c r="U6" s="21" t="s"/>
      <c r="V6" s="21" t="s"/>
      <c r="W6" s="21" t="s"/>
      <c r="X6" s="21" t="s"/>
      <c r="Y6" s="32" t="s"/>
      <c r="Z6" s="21" t="s">
        <v>8</v>
      </c>
      <c r="AA6" s="21" t="s"/>
      <c r="AB6" s="21" t="s"/>
      <c r="AC6" s="21" t="s"/>
      <c r="AD6" s="21" t="s"/>
      <c r="AE6" s="32" t="s"/>
      <c r="AF6" s="21" t="s">
        <v>9</v>
      </c>
      <c r="AG6" s="21" t="s"/>
      <c r="AH6" s="21" t="s"/>
      <c r="AI6" s="21" t="s"/>
      <c r="AJ6" s="21" t="s"/>
      <c r="AK6" s="32" t="s"/>
      <c r="AL6" s="21" t="s">
        <v>10</v>
      </c>
      <c r="AM6" s="21" t="s"/>
      <c r="AN6" s="21" t="s"/>
      <c r="AO6" s="21" t="s"/>
      <c r="AP6" s="21" t="s"/>
      <c r="AQ6" s="32" t="s"/>
      <c r="AR6" s="21" t="s">
        <v>11</v>
      </c>
      <c r="AS6" s="21" t="s"/>
      <c r="AT6" s="21" t="s"/>
      <c r="AU6" s="21" t="s"/>
      <c r="AV6" s="21" t="s"/>
      <c r="AW6" s="32" t="s"/>
      <c r="AX6" s="21" t="s">
        <v>12</v>
      </c>
      <c r="AY6" s="21" t="s"/>
      <c r="AZ6" s="21" t="s"/>
      <c r="BA6" s="21" t="s"/>
      <c r="BB6" s="21" t="s"/>
      <c r="BC6" s="32" t="s"/>
      <c r="BD6" s="21" t="s">
        <v>13</v>
      </c>
      <c r="BE6" s="21" t="s"/>
      <c r="BF6" s="21" t="s"/>
      <c r="BG6" s="21" t="s"/>
      <c r="BH6" s="21" t="s"/>
      <c r="BI6" s="32" t="s"/>
      <c r="BJ6" s="21" t="s">
        <v>14</v>
      </c>
      <c r="BK6" s="21" t="s"/>
      <c r="BL6" s="21" t="s"/>
      <c r="BM6" s="21" t="s"/>
      <c r="BN6" s="21" t="s"/>
      <c r="BO6" s="32" t="s"/>
      <c r="BP6" s="21" t="s">
        <v>15</v>
      </c>
      <c r="BQ6" s="21" t="s"/>
      <c r="BR6" s="21" t="s"/>
      <c r="BS6" s="21" t="s"/>
      <c r="BT6" s="21" t="s"/>
      <c r="BU6" s="32" t="s"/>
      <c r="BV6" s="21" t="s">
        <v>16</v>
      </c>
      <c r="BW6" s="21" t="s"/>
      <c r="BX6" s="21" t="s"/>
      <c r="BY6" s="21" t="s"/>
      <c r="BZ6" s="21" t="s"/>
      <c r="CA6" s="32" t="s"/>
      <c r="CB6" s="21" t="s">
        <v>17</v>
      </c>
      <c r="CC6" s="21" t="s"/>
      <c r="CD6" s="21" t="s"/>
      <c r="CE6" s="21" t="s"/>
      <c r="CF6" s="21" t="s"/>
      <c r="CG6" s="32" t="s"/>
      <c r="CH6" s="21" t="s">
        <v>18</v>
      </c>
      <c r="CI6" s="21" t="s"/>
      <c r="CJ6" s="21" t="s"/>
      <c r="CK6" s="21" t="s"/>
      <c r="CL6" s="21" t="s"/>
      <c r="CM6" s="32" t="s"/>
      <c r="CN6" s="21" t="s">
        <v>19</v>
      </c>
      <c r="CO6" s="21" t="s"/>
      <c r="CP6" s="21" t="s"/>
      <c r="CQ6" s="21" t="s"/>
      <c r="CR6" s="21" t="s"/>
      <c r="CS6" s="32" t="s"/>
      <c r="CT6" s="21" t="s">
        <v>20</v>
      </c>
      <c r="CU6" s="21" t="s"/>
      <c r="CV6" s="21" t="s"/>
      <c r="CW6" s="21" t="s"/>
      <c r="CX6" s="21" t="s"/>
      <c r="CY6" s="32" t="s"/>
      <c r="CZ6" s="21" t="s">
        <v>21</v>
      </c>
      <c r="DA6" s="21" t="s"/>
      <c r="DB6" s="21" t="s"/>
      <c r="DC6" s="21" t="s"/>
      <c r="DD6" s="21" t="s"/>
      <c r="DE6" s="32" t="s"/>
    </row>
    <row r="7" spans="1:109" s="205" customFormat="true" ht="48">
      <c r="A7" s="33" t="s">
        <v>22</v>
      </c>
      <c r="B7" s="34" t="s">
        <v>23</v>
      </c>
      <c r="C7" s="34" t="s">
        <v>491</v>
      </c>
      <c r="D7" s="35" t="s">
        <v>24</v>
      </c>
      <c r="E7" s="36" t="s">
        <v>25</v>
      </c>
      <c r="F7" s="36" t="s">
        <v>26</v>
      </c>
      <c r="G7" s="36" t="s">
        <v>27</v>
      </c>
      <c r="H7" s="36" t="s">
        <v>28</v>
      </c>
      <c r="I7" s="34" t="s">
        <v>29</v>
      </c>
      <c r="J7" s="36" t="s">
        <v>30</v>
      </c>
      <c r="K7" s="36" t="s">
        <v>31</v>
      </c>
      <c r="L7" s="36" t="s">
        <v>32</v>
      </c>
      <c r="M7" s="37" t="s">
        <v>33</v>
      </c>
      <c r="N7" s="38" t="s">
        <v>24</v>
      </c>
      <c r="O7" s="39" t="s">
        <v>25</v>
      </c>
      <c r="P7" s="39" t="s">
        <v>26</v>
      </c>
      <c r="Q7" s="39" t="s">
        <v>34</v>
      </c>
      <c r="R7" s="39" t="s">
        <v>35</v>
      </c>
      <c r="S7" s="39" t="s">
        <v>32</v>
      </c>
      <c r="T7" s="38" t="s">
        <v>24</v>
      </c>
      <c r="U7" s="39" t="s">
        <v>25</v>
      </c>
      <c r="V7" s="39" t="s">
        <v>26</v>
      </c>
      <c r="W7" s="39" t="s">
        <v>34</v>
      </c>
      <c r="X7" s="39" t="s">
        <v>35</v>
      </c>
      <c r="Y7" s="39" t="s">
        <v>32</v>
      </c>
      <c r="Z7" s="38" t="s">
        <v>24</v>
      </c>
      <c r="AA7" s="39" t="s">
        <v>25</v>
      </c>
      <c r="AB7" s="39" t="s">
        <v>26</v>
      </c>
      <c r="AC7" s="39" t="s">
        <v>34</v>
      </c>
      <c r="AD7" s="39" t="s">
        <v>35</v>
      </c>
      <c r="AE7" s="39" t="s">
        <v>32</v>
      </c>
      <c r="AF7" s="38" t="s">
        <v>24</v>
      </c>
      <c r="AG7" s="39" t="s">
        <v>25</v>
      </c>
      <c r="AH7" s="39" t="s">
        <v>26</v>
      </c>
      <c r="AI7" s="39" t="s">
        <v>34</v>
      </c>
      <c r="AJ7" s="39" t="s">
        <v>35</v>
      </c>
      <c r="AK7" s="39" t="s">
        <v>32</v>
      </c>
      <c r="AL7" s="38" t="s">
        <v>24</v>
      </c>
      <c r="AM7" s="39" t="s">
        <v>25</v>
      </c>
      <c r="AN7" s="39" t="s">
        <v>26</v>
      </c>
      <c r="AO7" s="39" t="s">
        <v>34</v>
      </c>
      <c r="AP7" s="39" t="s">
        <v>35</v>
      </c>
      <c r="AQ7" s="39" t="s">
        <v>32</v>
      </c>
      <c r="AR7" s="38" t="s">
        <v>24</v>
      </c>
      <c r="AS7" s="39" t="s">
        <v>25</v>
      </c>
      <c r="AT7" s="39" t="s">
        <v>26</v>
      </c>
      <c r="AU7" s="39" t="s">
        <v>34</v>
      </c>
      <c r="AV7" s="39" t="s">
        <v>35</v>
      </c>
      <c r="AW7" s="39" t="s">
        <v>32</v>
      </c>
      <c r="AX7" s="38" t="s">
        <v>24</v>
      </c>
      <c r="AY7" s="39" t="s">
        <v>25</v>
      </c>
      <c r="AZ7" s="39" t="s">
        <v>26</v>
      </c>
      <c r="BA7" s="39" t="s">
        <v>34</v>
      </c>
      <c r="BB7" s="39" t="s">
        <v>35</v>
      </c>
      <c r="BC7" s="39" t="s">
        <v>32</v>
      </c>
      <c r="BD7" s="38" t="s">
        <v>24</v>
      </c>
      <c r="BE7" s="39" t="s">
        <v>25</v>
      </c>
      <c r="BF7" s="39" t="s">
        <v>26</v>
      </c>
      <c r="BG7" s="39" t="s">
        <v>34</v>
      </c>
      <c r="BH7" s="39" t="s">
        <v>35</v>
      </c>
      <c r="BI7" s="39" t="s">
        <v>32</v>
      </c>
      <c r="BJ7" s="38" t="s">
        <v>24</v>
      </c>
      <c r="BK7" s="39" t="s">
        <v>25</v>
      </c>
      <c r="BL7" s="39" t="s">
        <v>26</v>
      </c>
      <c r="BM7" s="39" t="s">
        <v>34</v>
      </c>
      <c r="BN7" s="39" t="s">
        <v>35</v>
      </c>
      <c r="BO7" s="39" t="s">
        <v>32</v>
      </c>
      <c r="BP7" s="38" t="s">
        <v>24</v>
      </c>
      <c r="BQ7" s="39" t="s">
        <v>25</v>
      </c>
      <c r="BR7" s="39" t="s">
        <v>26</v>
      </c>
      <c r="BS7" s="39" t="s">
        <v>34</v>
      </c>
      <c r="BT7" s="39" t="s">
        <v>35</v>
      </c>
      <c r="BU7" s="39" t="s">
        <v>32</v>
      </c>
      <c r="BV7" s="38" t="s">
        <v>24</v>
      </c>
      <c r="BW7" s="39" t="s">
        <v>25</v>
      </c>
      <c r="BX7" s="39" t="s">
        <v>26</v>
      </c>
      <c r="BY7" s="39" t="s">
        <v>34</v>
      </c>
      <c r="BZ7" s="39" t="s">
        <v>35</v>
      </c>
      <c r="CA7" s="39" t="s">
        <v>32</v>
      </c>
      <c r="CB7" s="38" t="s">
        <v>24</v>
      </c>
      <c r="CC7" s="39" t="s">
        <v>25</v>
      </c>
      <c r="CD7" s="39" t="s">
        <v>26</v>
      </c>
      <c r="CE7" s="39" t="s">
        <v>34</v>
      </c>
      <c r="CF7" s="39" t="s">
        <v>35</v>
      </c>
      <c r="CG7" s="39" t="s">
        <v>32</v>
      </c>
      <c r="CH7" s="38" t="s">
        <v>24</v>
      </c>
      <c r="CI7" s="39" t="s">
        <v>25</v>
      </c>
      <c r="CJ7" s="39" t="s">
        <v>26</v>
      </c>
      <c r="CK7" s="39" t="s">
        <v>34</v>
      </c>
      <c r="CL7" s="39" t="s">
        <v>35</v>
      </c>
      <c r="CM7" s="39" t="s">
        <v>32</v>
      </c>
      <c r="CN7" s="38" t="s">
        <v>24</v>
      </c>
      <c r="CO7" s="39" t="s">
        <v>25</v>
      </c>
      <c r="CP7" s="39" t="s">
        <v>26</v>
      </c>
      <c r="CQ7" s="39" t="s">
        <v>34</v>
      </c>
      <c r="CR7" s="39" t="s">
        <v>35</v>
      </c>
      <c r="CS7" s="39" t="s">
        <v>32</v>
      </c>
      <c r="CT7" s="38" t="s">
        <v>24</v>
      </c>
      <c r="CU7" s="39" t="s">
        <v>25</v>
      </c>
      <c r="CV7" s="39" t="s">
        <v>26</v>
      </c>
      <c r="CW7" s="39" t="s">
        <v>34</v>
      </c>
      <c r="CX7" s="39" t="s">
        <v>35</v>
      </c>
      <c r="CY7" s="39" t="s">
        <v>32</v>
      </c>
      <c r="CZ7" s="38" t="s">
        <v>24</v>
      </c>
      <c r="DA7" s="39" t="s">
        <v>25</v>
      </c>
      <c r="DB7" s="39" t="s">
        <v>26</v>
      </c>
      <c r="DC7" s="39" t="s">
        <v>34</v>
      </c>
      <c r="DD7" s="39" t="s">
        <v>35</v>
      </c>
      <c r="DE7" s="39" t="s">
        <v>32</v>
      </c>
    </row>
    <row r="8" spans="1:109" s="207" customFormat="true" ht="51">
      <c r="A8" s="40">
        <v>1</v>
      </c>
      <c r="B8" s="41" t="s">
        <v>36</v>
      </c>
      <c r="C8" s="41" t="s">
        <v>37</v>
      </c>
      <c r="D8" s="42">
        <v>3</v>
      </c>
      <c r="E8" s="42">
        <v>3</v>
      </c>
      <c r="F8" s="41">
        <f>=IF(D8*E8&lt;&gt;0,D8*E8,"")</f>
        <v>9</v>
      </c>
      <c r="G8" s="41" t="s">
        <v>492</v>
      </c>
      <c r="H8" s="41" t="s"/>
      <c r="I8" s="41" t="s">
        <v>38</v>
      </c>
      <c r="J8" s="43">
        <v>40460</v>
      </c>
      <c r="K8" s="41" t="s"/>
      <c r="L8" s="43" t="s">
        <v>39</v>
      </c>
      <c r="M8" s="43">
        <v>40460</v>
      </c>
      <c r="N8" s="44" t="s"/>
      <c r="O8" s="42" t="s"/>
      <c r="P8" s="45" t="s"/>
      <c r="Q8" s="41" t="s"/>
      <c r="R8" s="41" t="s"/>
      <c r="S8" s="43" t="s"/>
      <c r="T8" s="44" t="s"/>
      <c r="U8" s="42" t="s"/>
      <c r="V8" s="45" t="s"/>
      <c r="W8" s="41" t="s"/>
      <c r="X8" s="41" t="s"/>
      <c r="Y8" s="43" t="s"/>
      <c r="Z8" s="44" t="s"/>
      <c r="AA8" s="42" t="s"/>
      <c r="AB8" s="45" t="s"/>
      <c r="AC8" s="41" t="s"/>
      <c r="AD8" s="41" t="s"/>
      <c r="AE8" s="43" t="s"/>
      <c r="AF8" s="44" t="s"/>
      <c r="AG8" s="42" t="s"/>
      <c r="AH8" s="45" t="s"/>
      <c r="AI8" s="41" t="s"/>
      <c r="AJ8" s="41" t="s"/>
      <c r="AK8" s="43" t="s"/>
      <c r="AL8" s="44" t="s"/>
      <c r="AM8" s="42" t="s"/>
      <c r="AN8" s="45" t="s"/>
      <c r="AO8" s="41" t="s"/>
      <c r="AP8" s="41" t="s"/>
      <c r="AQ8" s="43" t="s"/>
      <c r="AR8" s="44" t="s"/>
      <c r="AS8" s="42" t="s"/>
      <c r="AT8" s="45" t="s">
        <f>=IF(AR8*AS8&lt;&gt;0,AR8*AS8,"")</f>
      </c>
      <c r="AU8" s="41" t="s"/>
      <c r="AV8" s="41" t="s"/>
      <c r="AW8" s="43" t="s"/>
      <c r="AX8" s="44" t="s"/>
      <c r="AY8" s="42" t="s"/>
      <c r="AZ8" s="45" t="s">
        <f>=IF(AX8*AY8&lt;&gt;0,AX8*AY8,"")</f>
      </c>
      <c r="BA8" s="41" t="s"/>
      <c r="BB8" s="41" t="s"/>
      <c r="BC8" s="43" t="s"/>
      <c r="BD8" s="44" t="s"/>
      <c r="BE8" s="42" t="s"/>
      <c r="BF8" s="45" t="s">
        <f>=IF(BD8*BE8&lt;&gt;0,BD8*BE8,"")</f>
      </c>
      <c r="BG8" s="41" t="s"/>
      <c r="BH8" s="41" t="s"/>
      <c r="BI8" s="43" t="s"/>
      <c r="BJ8" s="44" t="s"/>
      <c r="BK8" s="42" t="s"/>
      <c r="BL8" s="45" t="s">
        <f>=IF(BJ8*BK8&lt;&gt;0,BJ8*BK8,"")</f>
      </c>
      <c r="BM8" s="41" t="s"/>
      <c r="BN8" s="41" t="s"/>
      <c r="BO8" s="43" t="s"/>
      <c r="BP8" s="44" t="s"/>
      <c r="BQ8" s="42" t="s"/>
      <c r="BR8" s="45" t="s">
        <f>=IF(BP8*BQ8&lt;&gt;0,BP8*BQ8,"")</f>
      </c>
      <c r="BS8" s="41" t="s"/>
      <c r="BT8" s="41" t="s"/>
      <c r="BU8" s="43" t="s"/>
      <c r="BV8" s="44" t="s"/>
      <c r="BW8" s="42" t="s"/>
      <c r="BX8" s="45" t="s">
        <f>=IF(BV8*BW8&lt;&gt;0,BV8*BW8,"")</f>
      </c>
      <c r="BY8" s="41" t="s"/>
      <c r="BZ8" s="41" t="s"/>
      <c r="CA8" s="43" t="s"/>
      <c r="CB8" s="44" t="s"/>
      <c r="CC8" s="42" t="s"/>
      <c r="CD8" s="45" t="s">
        <f>=IF(CB8*CC8&lt;&gt;0,CB8*CC8,"")</f>
      </c>
      <c r="CE8" s="41" t="s"/>
      <c r="CF8" s="41" t="s"/>
      <c r="CG8" s="43" t="s"/>
      <c r="CH8" s="44" t="s"/>
      <c r="CI8" s="42" t="s"/>
      <c r="CJ8" s="45" t="s">
        <f>=IF(CH8*CI8&lt;&gt;0,CH8*CI8,"")</f>
      </c>
      <c r="CK8" s="41" t="s"/>
      <c r="CL8" s="41" t="s"/>
      <c r="CM8" s="43" t="s"/>
      <c r="CN8" s="44" t="s"/>
      <c r="CO8" s="42" t="s"/>
      <c r="CP8" s="45" t="s">
        <f>=IF(CN8*CO8&lt;&gt;0,CN8*CO8,"")</f>
      </c>
      <c r="CQ8" s="41" t="s"/>
      <c r="CR8" s="41" t="s"/>
      <c r="CS8" s="43" t="s"/>
      <c r="CT8" s="44" t="s"/>
      <c r="CU8" s="42" t="s"/>
      <c r="CV8" s="45" t="s">
        <f>=IF(CT8*CU8&lt;&gt;0,CT8*CU8,"")</f>
      </c>
      <c r="CW8" s="41" t="s"/>
      <c r="CX8" s="41" t="s"/>
      <c r="CY8" s="43" t="s"/>
      <c r="CZ8" s="44" t="s"/>
      <c r="DA8" s="42" t="s"/>
      <c r="DB8" s="45" t="s">
        <f>=IF(CZ8*DA8&lt;&gt;0,CZ8*DA8,"")</f>
      </c>
      <c r="DC8" s="41" t="s"/>
      <c r="DD8" s="41" t="s"/>
      <c r="DE8" s="43" t="s"/>
    </row>
    <row r="9" spans="1:109" s="207" customFormat="true" ht="51">
      <c r="A9" s="40">
        <v>2</v>
      </c>
      <c r="B9" s="41" t="s">
        <v>40</v>
      </c>
      <c r="C9" s="41" t="s">
        <v>41</v>
      </c>
      <c r="D9" s="42">
        <v>3</v>
      </c>
      <c r="E9" s="42">
        <v>3</v>
      </c>
      <c r="F9" s="41">
        <f>=IF(D9*E9&lt;&gt;0,D9*E9,"")</f>
        <v>9</v>
      </c>
      <c r="G9" s="41" t="s">
        <v>42</v>
      </c>
      <c r="H9" s="41" t="s"/>
      <c r="I9" s="41" t="s">
        <v>38</v>
      </c>
      <c r="J9" s="43">
        <v>40525</v>
      </c>
      <c r="K9" s="41" t="s"/>
      <c r="L9" s="43" t="s">
        <v>39</v>
      </c>
      <c r="M9" s="46">
        <v>40526</v>
      </c>
      <c r="N9" s="44" t="s"/>
      <c r="O9" s="42" t="s"/>
      <c r="P9" s="45" t="s"/>
      <c r="Q9" s="41" t="s"/>
      <c r="R9" s="41" t="s"/>
      <c r="S9" s="43" t="s"/>
      <c r="T9" s="44" t="s"/>
      <c r="U9" s="42" t="s"/>
      <c r="V9" s="45" t="s"/>
      <c r="W9" s="41" t="s"/>
      <c r="X9" s="41" t="s"/>
      <c r="Y9" s="43" t="s"/>
      <c r="Z9" s="44" t="s"/>
      <c r="AA9" s="42" t="s"/>
      <c r="AB9" s="45" t="s"/>
      <c r="AC9" s="41" t="s"/>
      <c r="AD9" s="41" t="s"/>
      <c r="AE9" s="43" t="s"/>
      <c r="AF9" s="44" t="s"/>
      <c r="AG9" s="42" t="s"/>
      <c r="AH9" s="45" t="s"/>
      <c r="AI9" s="41" t="s"/>
      <c r="AJ9" s="41" t="s"/>
      <c r="AK9" s="43" t="s"/>
      <c r="AL9" s="44" t="s"/>
      <c r="AM9" s="42" t="s"/>
      <c r="AN9" s="45" t="s"/>
      <c r="AO9" s="41" t="s"/>
      <c r="AP9" s="41" t="s"/>
      <c r="AQ9" s="43" t="s"/>
      <c r="AR9" s="44" t="s"/>
      <c r="AS9" s="42" t="s"/>
      <c r="AT9" s="45" t="s">
        <f>=IF(AR9*AS9&lt;&gt;0,AR9*AS9,"")</f>
      </c>
      <c r="AU9" s="41" t="s"/>
      <c r="AV9" s="41" t="s"/>
      <c r="AW9" s="43" t="s"/>
      <c r="AX9" s="44" t="s"/>
      <c r="AY9" s="42" t="s"/>
      <c r="AZ9" s="45" t="s">
        <f>=IF(AX9*AY9&lt;&gt;0,AX9*AY9,"")</f>
      </c>
      <c r="BA9" s="41" t="s"/>
      <c r="BB9" s="41" t="s"/>
      <c r="BC9" s="43" t="s"/>
      <c r="BD9" s="44" t="s"/>
      <c r="BE9" s="42" t="s"/>
      <c r="BF9" s="45" t="s">
        <f>=IF(BD9*BE9&lt;&gt;0,BD9*BE9,"")</f>
      </c>
      <c r="BG9" s="41" t="s"/>
      <c r="BH9" s="41" t="s"/>
      <c r="BI9" s="43" t="s"/>
      <c r="BJ9" s="44" t="s"/>
      <c r="BK9" s="42" t="s"/>
      <c r="BL9" s="45" t="s">
        <f>=IF(BJ9*BK9&lt;&gt;0,BJ9*BK9,"")</f>
      </c>
      <c r="BM9" s="41" t="s"/>
      <c r="BN9" s="41" t="s"/>
      <c r="BO9" s="43" t="s"/>
      <c r="BP9" s="44" t="s"/>
      <c r="BQ9" s="42" t="s"/>
      <c r="BR9" s="45" t="s">
        <f>=IF(BP9*BQ9&lt;&gt;0,BP9*BQ9,"")</f>
      </c>
      <c r="BS9" s="41" t="s"/>
      <c r="BT9" s="41" t="s"/>
      <c r="BU9" s="43" t="s"/>
      <c r="BV9" s="44" t="s"/>
      <c r="BW9" s="42" t="s"/>
      <c r="BX9" s="45" t="s">
        <f>=IF(BV9*BW9&lt;&gt;0,BV9*BW9,"")</f>
      </c>
      <c r="BY9" s="41" t="s"/>
      <c r="BZ9" s="41" t="s"/>
      <c r="CA9" s="43" t="s"/>
      <c r="CB9" s="44" t="s"/>
      <c r="CC9" s="42" t="s"/>
      <c r="CD9" s="45" t="s">
        <f>=IF(CB9*CC9&lt;&gt;0,CB9*CC9,"")</f>
      </c>
      <c r="CE9" s="41" t="s"/>
      <c r="CF9" s="41" t="s"/>
      <c r="CG9" s="43" t="s"/>
      <c r="CH9" s="44" t="s"/>
      <c r="CI9" s="42" t="s"/>
      <c r="CJ9" s="45" t="s">
        <f>=IF(CH9*CI9&lt;&gt;0,CH9*CI9,"")</f>
      </c>
      <c r="CK9" s="41" t="s"/>
      <c r="CL9" s="41" t="s"/>
      <c r="CM9" s="43" t="s"/>
      <c r="CN9" s="44" t="s"/>
      <c r="CO9" s="42" t="s"/>
      <c r="CP9" s="45" t="s">
        <f>=IF(CN9*CO9&lt;&gt;0,CN9*CO9,"")</f>
      </c>
      <c r="CQ9" s="41" t="s"/>
      <c r="CR9" s="41" t="s"/>
      <c r="CS9" s="43" t="s"/>
      <c r="CT9" s="44" t="s"/>
      <c r="CU9" s="42" t="s"/>
      <c r="CV9" s="45" t="s">
        <f>=IF(CT9*CU9&lt;&gt;0,CT9*CU9,"")</f>
      </c>
      <c r="CW9" s="41" t="s"/>
      <c r="CX9" s="41" t="s"/>
      <c r="CY9" s="43" t="s"/>
      <c r="CZ9" s="44" t="s"/>
      <c r="DA9" s="42" t="s"/>
      <c r="DB9" s="45" t="s">
        <f>=IF(CZ9*DA9&lt;&gt;0,CZ9*DA9,"")</f>
      </c>
      <c r="DC9" s="41" t="s"/>
      <c r="DD9" s="41" t="s"/>
      <c r="DE9" s="43" t="s"/>
    </row>
    <row r="10" spans="1:109" s="207" customFormat="true" ht="12.75">
      <c r="A10" s="40">
        <v>5</v>
      </c>
      <c r="B10" s="41" t="s"/>
      <c r="C10" s="41" t="s"/>
      <c r="D10" s="42" t="s"/>
      <c r="E10" s="42" t="s"/>
      <c r="F10" s="41" t="s">
        <f>=IF(D10*E10&lt;&gt;0,D10*E10,"")</f>
      </c>
      <c r="G10" s="41" t="s"/>
      <c r="H10" s="41" t="s"/>
      <c r="I10" s="41" t="s"/>
      <c r="J10" s="41" t="s"/>
      <c r="K10" s="41" t="s"/>
      <c r="L10" s="43" t="s"/>
      <c r="M10" s="47" t="s"/>
      <c r="N10" s="44" t="s"/>
      <c r="O10" s="42" t="s"/>
      <c r="P10" s="45" t="s">
        <f>=IF(N10*O10&lt;&gt;0,N10*O10,"")</f>
      </c>
      <c r="Q10" s="41" t="s"/>
      <c r="R10" s="41" t="s"/>
      <c r="S10" s="43" t="s"/>
      <c r="T10" s="44" t="s"/>
      <c r="U10" s="42" t="s"/>
      <c r="V10" s="45" t="s">
        <f>=IF(T10*U10&lt;&gt;0,T10*U10,"")</f>
      </c>
      <c r="W10" s="41" t="s"/>
      <c r="X10" s="41" t="s"/>
      <c r="Y10" s="43" t="s"/>
      <c r="Z10" s="44" t="s"/>
      <c r="AA10" s="42" t="s"/>
      <c r="AB10" s="45" t="s">
        <f>=IF(Z10*AA10&lt;&gt;0,Z10*AA10,"")</f>
      </c>
      <c r="AC10" s="41" t="s"/>
      <c r="AD10" s="41" t="s"/>
      <c r="AE10" s="43" t="s"/>
      <c r="AF10" s="44" t="s"/>
      <c r="AG10" s="42" t="s"/>
      <c r="AH10" s="45" t="s">
        <f>=IF(AF10*AG10&lt;&gt;0,AF10*AG10,"")</f>
      </c>
      <c r="AI10" s="41" t="s"/>
      <c r="AJ10" s="41" t="s"/>
      <c r="AK10" s="43" t="s"/>
      <c r="AL10" s="44" t="s"/>
      <c r="AM10" s="42" t="s"/>
      <c r="AN10" s="45" t="s">
        <f>=IF(AL10*AM10&lt;&gt;0,AL10*AM10,"")</f>
      </c>
      <c r="AO10" s="41" t="s"/>
      <c r="AP10" s="41" t="s"/>
      <c r="AQ10" s="43" t="s"/>
      <c r="AR10" s="44" t="s"/>
      <c r="AS10" s="42" t="s"/>
      <c r="AT10" s="45" t="s">
        <f>=IF(AR10*AS10&lt;&gt;0,AR10*AS10,"")</f>
      </c>
      <c r="AU10" s="41" t="s"/>
      <c r="AV10" s="41" t="s"/>
      <c r="AW10" s="43" t="s"/>
      <c r="AX10" s="44" t="s"/>
      <c r="AY10" s="42" t="s"/>
      <c r="AZ10" s="45" t="s">
        <f>=IF(AX10*AY10&lt;&gt;0,AX10*AY10,"")</f>
      </c>
      <c r="BA10" s="41" t="s"/>
      <c r="BB10" s="41" t="s"/>
      <c r="BC10" s="43" t="s"/>
      <c r="BD10" s="44" t="s"/>
      <c r="BE10" s="42" t="s"/>
      <c r="BF10" s="45" t="s">
        <f>=IF(BD10*BE10&lt;&gt;0,BD10*BE10,"")</f>
      </c>
      <c r="BG10" s="41" t="s"/>
      <c r="BH10" s="41" t="s"/>
      <c r="BI10" s="43" t="s"/>
      <c r="BJ10" s="44" t="s"/>
      <c r="BK10" s="42" t="s"/>
      <c r="BL10" s="45" t="s">
        <f>=IF(BJ10*BK10&lt;&gt;0,BJ10*BK10,"")</f>
      </c>
      <c r="BM10" s="41" t="s"/>
      <c r="BN10" s="41" t="s"/>
      <c r="BO10" s="43" t="s"/>
      <c r="BP10" s="44" t="s"/>
      <c r="BQ10" s="42" t="s"/>
      <c r="BR10" s="45" t="s">
        <f>=IF(BP10*BQ10&lt;&gt;0,BP10*BQ10,"")</f>
      </c>
      <c r="BS10" s="41" t="s"/>
      <c r="BT10" s="41" t="s"/>
      <c r="BU10" s="43" t="s"/>
      <c r="BV10" s="44" t="s"/>
      <c r="BW10" s="42" t="s"/>
      <c r="BX10" s="45" t="s">
        <f>=IF(BV10*BW10&lt;&gt;0,BV10*BW10,"")</f>
      </c>
      <c r="BY10" s="41" t="s"/>
      <c r="BZ10" s="41" t="s"/>
      <c r="CA10" s="43" t="s"/>
      <c r="CB10" s="44" t="s"/>
      <c r="CC10" s="42" t="s"/>
      <c r="CD10" s="45" t="s">
        <f>=IF(CB10*CC10&lt;&gt;0,CB10*CC10,"")</f>
      </c>
      <c r="CE10" s="41" t="s"/>
      <c r="CF10" s="41" t="s"/>
      <c r="CG10" s="43" t="s"/>
      <c r="CH10" s="44" t="s"/>
      <c r="CI10" s="42" t="s"/>
      <c r="CJ10" s="45" t="s">
        <f>=IF(CH10*CI10&lt;&gt;0,CH10*CI10,"")</f>
      </c>
      <c r="CK10" s="41" t="s"/>
      <c r="CL10" s="41" t="s"/>
      <c r="CM10" s="43" t="s"/>
      <c r="CN10" s="44" t="s"/>
      <c r="CO10" s="42" t="s"/>
      <c r="CP10" s="45" t="s">
        <f>=IF(CN10*CO10&lt;&gt;0,CN10*CO10,"")</f>
      </c>
      <c r="CQ10" s="41" t="s"/>
      <c r="CR10" s="41" t="s"/>
      <c r="CS10" s="43" t="s"/>
      <c r="CT10" s="44" t="s"/>
      <c r="CU10" s="42" t="s"/>
      <c r="CV10" s="45" t="s">
        <f>=IF(CT10*CU10&lt;&gt;0,CT10*CU10,"")</f>
      </c>
      <c r="CW10" s="41" t="s"/>
      <c r="CX10" s="41" t="s"/>
      <c r="CY10" s="43" t="s"/>
      <c r="CZ10" s="44" t="s"/>
      <c r="DA10" s="42" t="s"/>
      <c r="DB10" s="45" t="s">
        <f>=IF(CZ10*DA10&lt;&gt;0,CZ10*DA10,"")</f>
      </c>
      <c r="DC10" s="41" t="s"/>
      <c r="DD10" s="41" t="s"/>
      <c r="DE10" s="43" t="s"/>
    </row>
    <row r="11" spans="1:109" s="207" customFormat="true" ht="12.75">
      <c r="A11" s="40">
        <v>6</v>
      </c>
      <c r="B11" s="41" t="s"/>
      <c r="C11" s="41" t="s"/>
      <c r="D11" s="42" t="s"/>
      <c r="E11" s="42" t="s"/>
      <c r="F11" s="41" t="s">
        <f>=IF(D11*E11&lt;&gt;0,D11*E11,"")</f>
      </c>
      <c r="G11" s="41" t="s"/>
      <c r="H11" s="41" t="s"/>
      <c r="I11" s="41" t="s"/>
      <c r="J11" s="41" t="s"/>
      <c r="K11" s="41" t="s"/>
      <c r="L11" s="43" t="s"/>
      <c r="M11" s="47" t="s"/>
      <c r="N11" s="44" t="s"/>
      <c r="O11" s="42" t="s"/>
      <c r="P11" s="45" t="s">
        <f>=IF(N11*O11&lt;&gt;0,N11*O11,"")</f>
      </c>
      <c r="Q11" s="41" t="s"/>
      <c r="R11" s="41" t="s"/>
      <c r="S11" s="43" t="s"/>
      <c r="T11" s="44" t="s"/>
      <c r="U11" s="42" t="s"/>
      <c r="V11" s="45" t="s">
        <f>=IF(T11*U11&lt;&gt;0,T11*U11,"")</f>
      </c>
      <c r="W11" s="41" t="s"/>
      <c r="X11" s="41" t="s"/>
      <c r="Y11" s="43" t="s"/>
      <c r="Z11" s="44" t="s"/>
      <c r="AA11" s="42" t="s"/>
      <c r="AB11" s="45" t="s">
        <f>=IF(Z11*AA11&lt;&gt;0,Z11*AA11,"")</f>
      </c>
      <c r="AC11" s="41" t="s"/>
      <c r="AD11" s="41" t="s"/>
      <c r="AE11" s="43" t="s"/>
      <c r="AF11" s="44" t="s"/>
      <c r="AG11" s="42" t="s"/>
      <c r="AH11" s="45" t="s">
        <f>=IF(AF11*AG11&lt;&gt;0,AF11*AG11,"")</f>
      </c>
      <c r="AI11" s="41" t="s"/>
      <c r="AJ11" s="41" t="s"/>
      <c r="AK11" s="43" t="s"/>
      <c r="AL11" s="44" t="s"/>
      <c r="AM11" s="42" t="s"/>
      <c r="AN11" s="45" t="s">
        <f>=IF(AL11*AM11&lt;&gt;0,AL11*AM11,"")</f>
      </c>
      <c r="AO11" s="41" t="s"/>
      <c r="AP11" s="41" t="s"/>
      <c r="AQ11" s="43" t="s"/>
      <c r="AR11" s="44" t="s"/>
      <c r="AS11" s="42" t="s"/>
      <c r="AT11" s="45" t="s">
        <f>=IF(AR11*AS11&lt;&gt;0,AR11*AS11,"")</f>
      </c>
      <c r="AU11" s="41" t="s"/>
      <c r="AV11" s="41" t="s"/>
      <c r="AW11" s="43" t="s"/>
      <c r="AX11" s="44" t="s"/>
      <c r="AY11" s="42" t="s"/>
      <c r="AZ11" s="45" t="s">
        <f>=IF(AX11*AY11&lt;&gt;0,AX11*AY11,"")</f>
      </c>
      <c r="BA11" s="41" t="s"/>
      <c r="BB11" s="41" t="s"/>
      <c r="BC11" s="43" t="s"/>
      <c r="BD11" s="44" t="s"/>
      <c r="BE11" s="42" t="s"/>
      <c r="BF11" s="45" t="s">
        <f>=IF(BD11*BE11&lt;&gt;0,BD11*BE11,"")</f>
      </c>
      <c r="BG11" s="41" t="s"/>
      <c r="BH11" s="41" t="s"/>
      <c r="BI11" s="43" t="s"/>
      <c r="BJ11" s="44" t="s"/>
      <c r="BK11" s="42" t="s"/>
      <c r="BL11" s="45" t="s">
        <f>=IF(BJ11*BK11&lt;&gt;0,BJ11*BK11,"")</f>
      </c>
      <c r="BM11" s="41" t="s"/>
      <c r="BN11" s="41" t="s"/>
      <c r="BO11" s="43" t="s"/>
      <c r="BP11" s="44" t="s"/>
      <c r="BQ11" s="42" t="s"/>
      <c r="BR11" s="45" t="s">
        <f>=IF(BP11*BQ11&lt;&gt;0,BP11*BQ11,"")</f>
      </c>
      <c r="BS11" s="41" t="s"/>
      <c r="BT11" s="41" t="s"/>
      <c r="BU11" s="43" t="s"/>
      <c r="BV11" s="44" t="s"/>
      <c r="BW11" s="42" t="s"/>
      <c r="BX11" s="45" t="s">
        <f>=IF(BV11*BW11&lt;&gt;0,BV11*BW11,"")</f>
      </c>
      <c r="BY11" s="41" t="s"/>
      <c r="BZ11" s="41" t="s"/>
      <c r="CA11" s="43" t="s"/>
      <c r="CB11" s="44" t="s"/>
      <c r="CC11" s="42" t="s"/>
      <c r="CD11" s="45" t="s">
        <f>=IF(CB11*CC11&lt;&gt;0,CB11*CC11,"")</f>
      </c>
      <c r="CE11" s="41" t="s"/>
      <c r="CF11" s="41" t="s"/>
      <c r="CG11" s="43" t="s"/>
      <c r="CH11" s="44" t="s"/>
      <c r="CI11" s="42" t="s"/>
      <c r="CJ11" s="45" t="s">
        <f>=IF(CH11*CI11&lt;&gt;0,CH11*CI11,"")</f>
      </c>
      <c r="CK11" s="41" t="s"/>
      <c r="CL11" s="41" t="s"/>
      <c r="CM11" s="43" t="s"/>
      <c r="CN11" s="44" t="s"/>
      <c r="CO11" s="42" t="s"/>
      <c r="CP11" s="45" t="s">
        <f>=IF(CN11*CO11&lt;&gt;0,CN11*CO11,"")</f>
      </c>
      <c r="CQ11" s="41" t="s"/>
      <c r="CR11" s="41" t="s"/>
      <c r="CS11" s="43" t="s"/>
      <c r="CT11" s="44" t="s"/>
      <c r="CU11" s="42" t="s"/>
      <c r="CV11" s="45" t="s">
        <f>=IF(CT11*CU11&lt;&gt;0,CT11*CU11,"")</f>
      </c>
      <c r="CW11" s="41" t="s"/>
      <c r="CX11" s="41" t="s"/>
      <c r="CY11" s="43" t="s"/>
      <c r="CZ11" s="44" t="s"/>
      <c r="DA11" s="42" t="s"/>
      <c r="DB11" s="45" t="s">
        <f>=IF(CZ11*DA11&lt;&gt;0,CZ11*DA11,"")</f>
      </c>
      <c r="DC11" s="41" t="s"/>
      <c r="DD11" s="41" t="s"/>
      <c r="DE11" s="43" t="s"/>
    </row>
    <row r="12" spans="1:109" s="207" customFormat="true" ht="12.75">
      <c r="A12" s="40">
        <v>7</v>
      </c>
      <c r="B12" s="41" t="s"/>
      <c r="C12" s="41" t="s"/>
      <c r="D12" s="42" t="s"/>
      <c r="E12" s="42" t="s"/>
      <c r="F12" s="41" t="s">
        <f>=IF(D12*E12&lt;&gt;0,D12*E12,"")</f>
      </c>
      <c r="G12" s="41" t="s"/>
      <c r="H12" s="41" t="s"/>
      <c r="I12" s="41" t="s"/>
      <c r="J12" s="41" t="s"/>
      <c r="K12" s="41" t="s"/>
      <c r="L12" s="43" t="s"/>
      <c r="M12" s="47" t="s"/>
      <c r="N12" s="44" t="s"/>
      <c r="O12" s="42" t="s"/>
      <c r="P12" s="45" t="s">
        <f>=IF(N12*O12&lt;&gt;0,N12*O12,"")</f>
      </c>
      <c r="Q12" s="41" t="s"/>
      <c r="R12" s="41" t="s"/>
      <c r="S12" s="43" t="s"/>
      <c r="T12" s="44" t="s"/>
      <c r="U12" s="42" t="s"/>
      <c r="V12" s="45" t="s">
        <f>=IF(T12*U12&lt;&gt;0,T12*U12,"")</f>
      </c>
      <c r="W12" s="41" t="s"/>
      <c r="X12" s="41" t="s"/>
      <c r="Y12" s="43" t="s"/>
      <c r="Z12" s="44" t="s"/>
      <c r="AA12" s="42" t="s"/>
      <c r="AB12" s="45" t="s">
        <f>=IF(Z12*AA12&lt;&gt;0,Z12*AA12,"")</f>
      </c>
      <c r="AC12" s="41" t="s"/>
      <c r="AD12" s="41" t="s"/>
      <c r="AE12" s="43" t="s"/>
      <c r="AF12" s="44" t="s"/>
      <c r="AG12" s="42" t="s"/>
      <c r="AH12" s="45" t="s">
        <f>=IF(AF12*AG12&lt;&gt;0,AF12*AG12,"")</f>
      </c>
      <c r="AI12" s="41" t="s"/>
      <c r="AJ12" s="41" t="s"/>
      <c r="AK12" s="43" t="s"/>
      <c r="AL12" s="44" t="s"/>
      <c r="AM12" s="42" t="s"/>
      <c r="AN12" s="45" t="s">
        <f>=IF(AL12*AM12&lt;&gt;0,AL12*AM12,"")</f>
      </c>
      <c r="AO12" s="41" t="s"/>
      <c r="AP12" s="41" t="s"/>
      <c r="AQ12" s="43" t="s"/>
      <c r="AR12" s="44" t="s"/>
      <c r="AS12" s="42" t="s"/>
      <c r="AT12" s="45" t="s">
        <f>=IF(AR12*AS12&lt;&gt;0,AR12*AS12,"")</f>
      </c>
      <c r="AU12" s="41" t="s"/>
      <c r="AV12" s="41" t="s"/>
      <c r="AW12" s="43" t="s"/>
      <c r="AX12" s="44" t="s"/>
      <c r="AY12" s="42" t="s"/>
      <c r="AZ12" s="45" t="s">
        <f>=IF(AX12*AY12&lt;&gt;0,AX12*AY12,"")</f>
      </c>
      <c r="BA12" s="41" t="s"/>
      <c r="BB12" s="41" t="s"/>
      <c r="BC12" s="43" t="s"/>
      <c r="BD12" s="44" t="s"/>
      <c r="BE12" s="42" t="s"/>
      <c r="BF12" s="45" t="s">
        <f>=IF(BD12*BE12&lt;&gt;0,BD12*BE12,"")</f>
      </c>
      <c r="BG12" s="41" t="s"/>
      <c r="BH12" s="41" t="s"/>
      <c r="BI12" s="43" t="s"/>
      <c r="BJ12" s="44" t="s"/>
      <c r="BK12" s="42" t="s"/>
      <c r="BL12" s="45" t="s">
        <f>=IF(BJ12*BK12&lt;&gt;0,BJ12*BK12,"")</f>
      </c>
      <c r="BM12" s="41" t="s"/>
      <c r="BN12" s="41" t="s"/>
      <c r="BO12" s="43" t="s"/>
      <c r="BP12" s="44" t="s"/>
      <c r="BQ12" s="42" t="s"/>
      <c r="BR12" s="45" t="s">
        <f>=IF(BP12*BQ12&lt;&gt;0,BP12*BQ12,"")</f>
      </c>
      <c r="BS12" s="41" t="s"/>
      <c r="BT12" s="41" t="s"/>
      <c r="BU12" s="43" t="s"/>
      <c r="BV12" s="44" t="s"/>
      <c r="BW12" s="42" t="s"/>
      <c r="BX12" s="45" t="s">
        <f>=IF(BV12*BW12&lt;&gt;0,BV12*BW12,"")</f>
      </c>
      <c r="BY12" s="41" t="s"/>
      <c r="BZ12" s="41" t="s"/>
      <c r="CA12" s="43" t="s"/>
      <c r="CB12" s="44" t="s"/>
      <c r="CC12" s="42" t="s"/>
      <c r="CD12" s="45" t="s">
        <f>=IF(CB12*CC12&lt;&gt;0,CB12*CC12,"")</f>
      </c>
      <c r="CE12" s="41" t="s"/>
      <c r="CF12" s="41" t="s"/>
      <c r="CG12" s="43" t="s"/>
      <c r="CH12" s="44" t="s"/>
      <c r="CI12" s="42" t="s"/>
      <c r="CJ12" s="45" t="s">
        <f>=IF(CH12*CI12&lt;&gt;0,CH12*CI12,"")</f>
      </c>
      <c r="CK12" s="41" t="s"/>
      <c r="CL12" s="41" t="s"/>
      <c r="CM12" s="43" t="s"/>
      <c r="CN12" s="44" t="s"/>
      <c r="CO12" s="42" t="s"/>
      <c r="CP12" s="45" t="s">
        <f>=IF(CN12*CO12&lt;&gt;0,CN12*CO12,"")</f>
      </c>
      <c r="CQ12" s="41" t="s"/>
      <c r="CR12" s="41" t="s"/>
      <c r="CS12" s="43" t="s"/>
      <c r="CT12" s="44" t="s"/>
      <c r="CU12" s="42" t="s"/>
      <c r="CV12" s="45" t="s">
        <f>=IF(CT12*CU12&lt;&gt;0,CT12*CU12,"")</f>
      </c>
      <c r="CW12" s="41" t="s"/>
      <c r="CX12" s="41" t="s"/>
      <c r="CY12" s="43" t="s"/>
      <c r="CZ12" s="44" t="s"/>
      <c r="DA12" s="42" t="s"/>
      <c r="DB12" s="45" t="s">
        <f>=IF(CZ12*DA12&lt;&gt;0,CZ12*DA12,"")</f>
      </c>
      <c r="DC12" s="41" t="s"/>
      <c r="DD12" s="41" t="s"/>
      <c r="DE12" s="43" t="s"/>
    </row>
    <row r="13" spans="1:109" s="207" customFormat="true" ht="12.75">
      <c r="A13" s="40">
        <v>8</v>
      </c>
      <c r="B13" s="41" t="s"/>
      <c r="C13" s="41" t="s"/>
      <c r="D13" s="42" t="s"/>
      <c r="E13" s="42" t="s"/>
      <c r="F13" s="41" t="s">
        <f>=IF(D13*E13&lt;&gt;0,D13*E13,"")</f>
      </c>
      <c r="G13" s="41" t="s"/>
      <c r="H13" s="41" t="s"/>
      <c r="I13" s="41" t="s"/>
      <c r="J13" s="41" t="s"/>
      <c r="K13" s="41" t="s"/>
      <c r="L13" s="43" t="s"/>
      <c r="M13" s="47" t="s"/>
      <c r="N13" s="44" t="s"/>
      <c r="O13" s="42" t="s"/>
      <c r="P13" s="45" t="s">
        <f>=IF(N13*O13&lt;&gt;0,N13*O13,"")</f>
      </c>
      <c r="Q13" s="41" t="s"/>
      <c r="R13" s="41" t="s"/>
      <c r="S13" s="43" t="s"/>
      <c r="T13" s="44" t="s"/>
      <c r="U13" s="42" t="s"/>
      <c r="V13" s="45" t="s">
        <f>=IF(T13*U13&lt;&gt;0,T13*U13,"")</f>
      </c>
      <c r="W13" s="41" t="s"/>
      <c r="X13" s="41" t="s"/>
      <c r="Y13" s="43" t="s"/>
      <c r="Z13" s="44" t="s"/>
      <c r="AA13" s="42" t="s"/>
      <c r="AB13" s="45" t="s">
        <f>=IF(Z13*AA13&lt;&gt;0,Z13*AA13,"")</f>
      </c>
      <c r="AC13" s="41" t="s"/>
      <c r="AD13" s="41" t="s"/>
      <c r="AE13" s="43" t="s"/>
      <c r="AF13" s="44" t="s"/>
      <c r="AG13" s="42" t="s"/>
      <c r="AH13" s="45" t="s">
        <f>=IF(AF13*AG13&lt;&gt;0,AF13*AG13,"")</f>
      </c>
      <c r="AI13" s="41" t="s"/>
      <c r="AJ13" s="41" t="s"/>
      <c r="AK13" s="43" t="s"/>
      <c r="AL13" s="44" t="s"/>
      <c r="AM13" s="42" t="s"/>
      <c r="AN13" s="45" t="s">
        <f>=IF(AL13*AM13&lt;&gt;0,AL13*AM13,"")</f>
      </c>
      <c r="AO13" s="41" t="s"/>
      <c r="AP13" s="41" t="s"/>
      <c r="AQ13" s="43" t="s"/>
      <c r="AR13" s="44" t="s"/>
      <c r="AS13" s="42" t="s"/>
      <c r="AT13" s="45" t="s">
        <f>=IF(AR13*AS13&lt;&gt;0,AR13*AS13,"")</f>
      </c>
      <c r="AU13" s="41" t="s"/>
      <c r="AV13" s="41" t="s"/>
      <c r="AW13" s="43" t="s"/>
      <c r="AX13" s="44" t="s"/>
      <c r="AY13" s="42" t="s"/>
      <c r="AZ13" s="45" t="s">
        <f>=IF(AX13*AY13&lt;&gt;0,AX13*AY13,"")</f>
      </c>
      <c r="BA13" s="41" t="s"/>
      <c r="BB13" s="41" t="s"/>
      <c r="BC13" s="43" t="s"/>
      <c r="BD13" s="44" t="s"/>
      <c r="BE13" s="42" t="s"/>
      <c r="BF13" s="45" t="s">
        <f>=IF(BD13*BE13&lt;&gt;0,BD13*BE13,"")</f>
      </c>
      <c r="BG13" s="41" t="s"/>
      <c r="BH13" s="41" t="s"/>
      <c r="BI13" s="43" t="s"/>
      <c r="BJ13" s="44" t="s"/>
      <c r="BK13" s="42" t="s"/>
      <c r="BL13" s="45" t="s">
        <f>=IF(BJ13*BK13&lt;&gt;0,BJ13*BK13,"")</f>
      </c>
      <c r="BM13" s="41" t="s"/>
      <c r="BN13" s="41" t="s"/>
      <c r="BO13" s="43" t="s"/>
      <c r="BP13" s="44" t="s"/>
      <c r="BQ13" s="42" t="s"/>
      <c r="BR13" s="45" t="s">
        <f>=IF(BP13*BQ13&lt;&gt;0,BP13*BQ13,"")</f>
      </c>
      <c r="BS13" s="41" t="s"/>
      <c r="BT13" s="41" t="s"/>
      <c r="BU13" s="43" t="s"/>
      <c r="BV13" s="44" t="s"/>
      <c r="BW13" s="42" t="s"/>
      <c r="BX13" s="45" t="s">
        <f>=IF(BV13*BW13&lt;&gt;0,BV13*BW13,"")</f>
      </c>
      <c r="BY13" s="41" t="s"/>
      <c r="BZ13" s="41" t="s"/>
      <c r="CA13" s="43" t="s"/>
      <c r="CB13" s="44" t="s"/>
      <c r="CC13" s="42" t="s"/>
      <c r="CD13" s="45" t="s">
        <f>=IF(CB13*CC13&lt;&gt;0,CB13*CC13,"")</f>
      </c>
      <c r="CE13" s="41" t="s"/>
      <c r="CF13" s="41" t="s"/>
      <c r="CG13" s="43" t="s"/>
      <c r="CH13" s="44" t="s"/>
      <c r="CI13" s="42" t="s"/>
      <c r="CJ13" s="45" t="s">
        <f>=IF(CH13*CI13&lt;&gt;0,CH13*CI13,"")</f>
      </c>
      <c r="CK13" s="41" t="s"/>
      <c r="CL13" s="41" t="s"/>
      <c r="CM13" s="43" t="s"/>
      <c r="CN13" s="44" t="s"/>
      <c r="CO13" s="42" t="s"/>
      <c r="CP13" s="45" t="s">
        <f>=IF(CN13*CO13&lt;&gt;0,CN13*CO13,"")</f>
      </c>
      <c r="CQ13" s="41" t="s"/>
      <c r="CR13" s="41" t="s"/>
      <c r="CS13" s="43" t="s"/>
      <c r="CT13" s="44" t="s"/>
      <c r="CU13" s="42" t="s"/>
      <c r="CV13" s="45" t="s">
        <f>=IF(CT13*CU13&lt;&gt;0,CT13*CU13,"")</f>
      </c>
      <c r="CW13" s="41" t="s"/>
      <c r="CX13" s="41" t="s"/>
      <c r="CY13" s="43" t="s"/>
      <c r="CZ13" s="44" t="s"/>
      <c r="DA13" s="42" t="s"/>
      <c r="DB13" s="45" t="s">
        <f>=IF(CZ13*DA13&lt;&gt;0,CZ13*DA13,"")</f>
      </c>
      <c r="DC13" s="41" t="s"/>
      <c r="DD13" s="41" t="s"/>
      <c r="DE13" s="43" t="s"/>
    </row>
    <row r="14" spans="1:109" s="207" customFormat="true" ht="12.75">
      <c r="A14" s="40">
        <v>9</v>
      </c>
      <c r="B14" s="41" t="s"/>
      <c r="C14" s="41" t="s"/>
      <c r="D14" s="42" t="s"/>
      <c r="E14" s="42" t="s"/>
      <c r="F14" s="41" t="s">
        <f>=IF(D14*E14&lt;&gt;0,D14*E14,"")</f>
      </c>
      <c r="G14" s="41" t="s"/>
      <c r="H14" s="41" t="s"/>
      <c r="I14" s="41" t="s"/>
      <c r="J14" s="41" t="s"/>
      <c r="K14" s="41" t="s"/>
      <c r="L14" s="43" t="s"/>
      <c r="M14" s="47" t="s"/>
      <c r="N14" s="44" t="s"/>
      <c r="O14" s="42" t="s"/>
      <c r="P14" s="45" t="s">
        <f>=IF(N14*O14&lt;&gt;0,N14*O14,"")</f>
      </c>
      <c r="Q14" s="41" t="s"/>
      <c r="R14" s="41" t="s"/>
      <c r="S14" s="43" t="s"/>
      <c r="T14" s="44" t="s"/>
      <c r="U14" s="42" t="s"/>
      <c r="V14" s="45" t="s">
        <f>=IF(T14*U14&lt;&gt;0,T14*U14,"")</f>
      </c>
      <c r="W14" s="41" t="s"/>
      <c r="X14" s="41" t="s"/>
      <c r="Y14" s="43" t="s"/>
      <c r="Z14" s="44" t="s"/>
      <c r="AA14" s="42" t="s"/>
      <c r="AB14" s="45" t="s">
        <f>=IF(Z14*AA14&lt;&gt;0,Z14*AA14,"")</f>
      </c>
      <c r="AC14" s="41" t="s"/>
      <c r="AD14" s="41" t="s"/>
      <c r="AE14" s="43" t="s"/>
      <c r="AF14" s="44" t="s"/>
      <c r="AG14" s="42" t="s"/>
      <c r="AH14" s="45" t="s">
        <f>=IF(AF14*AG14&lt;&gt;0,AF14*AG14,"")</f>
      </c>
      <c r="AI14" s="41" t="s"/>
      <c r="AJ14" s="41" t="s"/>
      <c r="AK14" s="43" t="s"/>
      <c r="AL14" s="44" t="s"/>
      <c r="AM14" s="42" t="s"/>
      <c r="AN14" s="45" t="s">
        <f>=IF(AL14*AM14&lt;&gt;0,AL14*AM14,"")</f>
      </c>
      <c r="AO14" s="41" t="s"/>
      <c r="AP14" s="41" t="s"/>
      <c r="AQ14" s="43" t="s"/>
      <c r="AR14" s="44" t="s"/>
      <c r="AS14" s="42" t="s"/>
      <c r="AT14" s="45" t="s">
        <f>=IF(AR14*AS14&lt;&gt;0,AR14*AS14,"")</f>
      </c>
      <c r="AU14" s="41" t="s"/>
      <c r="AV14" s="41" t="s"/>
      <c r="AW14" s="43" t="s"/>
      <c r="AX14" s="44" t="s"/>
      <c r="AY14" s="42" t="s"/>
      <c r="AZ14" s="45" t="s">
        <f>=IF(AX14*AY14&lt;&gt;0,AX14*AY14,"")</f>
      </c>
      <c r="BA14" s="41" t="s"/>
      <c r="BB14" s="41" t="s"/>
      <c r="BC14" s="43" t="s"/>
      <c r="BD14" s="44" t="s"/>
      <c r="BE14" s="42" t="s"/>
      <c r="BF14" s="45" t="s">
        <f>=IF(BD14*BE14&lt;&gt;0,BD14*BE14,"")</f>
      </c>
      <c r="BG14" s="41" t="s"/>
      <c r="BH14" s="41" t="s"/>
      <c r="BI14" s="43" t="s"/>
      <c r="BJ14" s="44" t="s"/>
      <c r="BK14" s="42" t="s"/>
      <c r="BL14" s="45" t="s">
        <f>=IF(BJ14*BK14&lt;&gt;0,BJ14*BK14,"")</f>
      </c>
      <c r="BM14" s="41" t="s"/>
      <c r="BN14" s="41" t="s"/>
      <c r="BO14" s="43" t="s"/>
      <c r="BP14" s="44" t="s"/>
      <c r="BQ14" s="42" t="s"/>
      <c r="BR14" s="45" t="s">
        <f>=IF(BP14*BQ14&lt;&gt;0,BP14*BQ14,"")</f>
      </c>
      <c r="BS14" s="41" t="s"/>
      <c r="BT14" s="41" t="s"/>
      <c r="BU14" s="43" t="s"/>
      <c r="BV14" s="44" t="s"/>
      <c r="BW14" s="42" t="s"/>
      <c r="BX14" s="45" t="s">
        <f>=IF(BV14*BW14&lt;&gt;0,BV14*BW14,"")</f>
      </c>
      <c r="BY14" s="41" t="s"/>
      <c r="BZ14" s="41" t="s"/>
      <c r="CA14" s="43" t="s"/>
      <c r="CB14" s="44" t="s"/>
      <c r="CC14" s="42" t="s"/>
      <c r="CD14" s="45" t="s">
        <f>=IF(CB14*CC14&lt;&gt;0,CB14*CC14,"")</f>
      </c>
      <c r="CE14" s="41" t="s"/>
      <c r="CF14" s="41" t="s"/>
      <c r="CG14" s="43" t="s"/>
      <c r="CH14" s="44" t="s"/>
      <c r="CI14" s="42" t="s"/>
      <c r="CJ14" s="45" t="s">
        <f>=IF(CH14*CI14&lt;&gt;0,CH14*CI14,"")</f>
      </c>
      <c r="CK14" s="41" t="s"/>
      <c r="CL14" s="41" t="s"/>
      <c r="CM14" s="43" t="s"/>
      <c r="CN14" s="44" t="s"/>
      <c r="CO14" s="42" t="s"/>
      <c r="CP14" s="45" t="s">
        <f>=IF(CN14*CO14&lt;&gt;0,CN14*CO14,"")</f>
      </c>
      <c r="CQ14" s="41" t="s"/>
      <c r="CR14" s="41" t="s"/>
      <c r="CS14" s="43" t="s"/>
      <c r="CT14" s="44" t="s"/>
      <c r="CU14" s="42" t="s"/>
      <c r="CV14" s="45" t="s">
        <f>=IF(CT14*CU14&lt;&gt;0,CT14*CU14,"")</f>
      </c>
      <c r="CW14" s="41" t="s"/>
      <c r="CX14" s="41" t="s"/>
      <c r="CY14" s="43" t="s"/>
      <c r="CZ14" s="44" t="s"/>
      <c r="DA14" s="42" t="s"/>
      <c r="DB14" s="45" t="s">
        <f>=IF(CZ14*DA14&lt;&gt;0,CZ14*DA14,"")</f>
      </c>
      <c r="DC14" s="41" t="s"/>
      <c r="DD14" s="41" t="s"/>
      <c r="DE14" s="43" t="s"/>
    </row>
    <row r="15" spans="1:109" s="207" customFormat="true" ht="12.75">
      <c r="A15" s="40">
        <v>10</v>
      </c>
      <c r="B15" s="41" t="s"/>
      <c r="C15" s="41" t="s"/>
      <c r="D15" s="42" t="s"/>
      <c r="E15" s="42" t="s"/>
      <c r="F15" s="41" t="s">
        <f>=IF(D15*E15&lt;&gt;0,D15*E15,"")</f>
      </c>
      <c r="G15" s="41" t="s"/>
      <c r="H15" s="41" t="s"/>
      <c r="I15" s="41" t="s"/>
      <c r="J15" s="41" t="s"/>
      <c r="K15" s="41" t="s"/>
      <c r="L15" s="43" t="s"/>
      <c r="M15" s="47" t="s"/>
      <c r="N15" s="44" t="s"/>
      <c r="O15" s="42" t="s"/>
      <c r="P15" s="45" t="s">
        <f>=IF(N15*O15&lt;&gt;0,N15*O15,"")</f>
      </c>
      <c r="Q15" s="41" t="s"/>
      <c r="R15" s="41" t="s"/>
      <c r="S15" s="43" t="s"/>
      <c r="T15" s="44" t="s"/>
      <c r="U15" s="42" t="s"/>
      <c r="V15" s="45" t="s">
        <f>=IF(T15*U15&lt;&gt;0,T15*U15,"")</f>
      </c>
      <c r="W15" s="41" t="s"/>
      <c r="X15" s="41" t="s"/>
      <c r="Y15" s="43" t="s"/>
      <c r="Z15" s="44" t="s"/>
      <c r="AA15" s="42" t="s"/>
      <c r="AB15" s="45" t="s">
        <f>=IF(Z15*AA15&lt;&gt;0,Z15*AA15,"")</f>
      </c>
      <c r="AC15" s="41" t="s"/>
      <c r="AD15" s="41" t="s"/>
      <c r="AE15" s="43" t="s"/>
      <c r="AF15" s="44" t="s"/>
      <c r="AG15" s="42" t="s"/>
      <c r="AH15" s="45" t="s">
        <f>=IF(AF15*AG15&lt;&gt;0,AF15*AG15,"")</f>
      </c>
      <c r="AI15" s="41" t="s"/>
      <c r="AJ15" s="41" t="s"/>
      <c r="AK15" s="43" t="s"/>
      <c r="AL15" s="44" t="s"/>
      <c r="AM15" s="42" t="s"/>
      <c r="AN15" s="45" t="s">
        <f>=IF(AL15*AM15&lt;&gt;0,AL15*AM15,"")</f>
      </c>
      <c r="AO15" s="41" t="s"/>
      <c r="AP15" s="41" t="s"/>
      <c r="AQ15" s="43" t="s"/>
      <c r="AR15" s="44" t="s"/>
      <c r="AS15" s="42" t="s"/>
      <c r="AT15" s="45" t="s">
        <f>=IF(AR15*AS15&lt;&gt;0,AR15*AS15,"")</f>
      </c>
      <c r="AU15" s="41" t="s"/>
      <c r="AV15" s="41" t="s"/>
      <c r="AW15" s="43" t="s"/>
      <c r="AX15" s="44" t="s"/>
      <c r="AY15" s="42" t="s"/>
      <c r="AZ15" s="45" t="s">
        <f>=IF(AX15*AY15&lt;&gt;0,AX15*AY15,"")</f>
      </c>
      <c r="BA15" s="41" t="s"/>
      <c r="BB15" s="41" t="s"/>
      <c r="BC15" s="43" t="s"/>
      <c r="BD15" s="44" t="s"/>
      <c r="BE15" s="42" t="s"/>
      <c r="BF15" s="45" t="s">
        <f>=IF(BD15*BE15&lt;&gt;0,BD15*BE15,"")</f>
      </c>
      <c r="BG15" s="41" t="s"/>
      <c r="BH15" s="41" t="s"/>
      <c r="BI15" s="43" t="s"/>
      <c r="BJ15" s="44" t="s"/>
      <c r="BK15" s="42" t="s"/>
      <c r="BL15" s="45" t="s">
        <f>=IF(BJ15*BK15&lt;&gt;0,BJ15*BK15,"")</f>
      </c>
      <c r="BM15" s="41" t="s"/>
      <c r="BN15" s="41" t="s"/>
      <c r="BO15" s="43" t="s"/>
      <c r="BP15" s="44" t="s"/>
      <c r="BQ15" s="42" t="s"/>
      <c r="BR15" s="45" t="s">
        <f>=IF(BP15*BQ15&lt;&gt;0,BP15*BQ15,"")</f>
      </c>
      <c r="BS15" s="41" t="s"/>
      <c r="BT15" s="41" t="s"/>
      <c r="BU15" s="43" t="s"/>
      <c r="BV15" s="44" t="s"/>
      <c r="BW15" s="42" t="s"/>
      <c r="BX15" s="45" t="s">
        <f>=IF(BV15*BW15&lt;&gt;0,BV15*BW15,"")</f>
      </c>
      <c r="BY15" s="41" t="s"/>
      <c r="BZ15" s="41" t="s"/>
      <c r="CA15" s="43" t="s"/>
      <c r="CB15" s="44" t="s"/>
      <c r="CC15" s="42" t="s"/>
      <c r="CD15" s="45" t="s">
        <f>=IF(CB15*CC15&lt;&gt;0,CB15*CC15,"")</f>
      </c>
      <c r="CE15" s="41" t="s"/>
      <c r="CF15" s="41" t="s"/>
      <c r="CG15" s="43" t="s"/>
      <c r="CH15" s="44" t="s"/>
      <c r="CI15" s="42" t="s"/>
      <c r="CJ15" s="45" t="s">
        <f>=IF(CH15*CI15&lt;&gt;0,CH15*CI15,"")</f>
      </c>
      <c r="CK15" s="41" t="s"/>
      <c r="CL15" s="41" t="s"/>
      <c r="CM15" s="43" t="s"/>
      <c r="CN15" s="44" t="s"/>
      <c r="CO15" s="42" t="s"/>
      <c r="CP15" s="45" t="s">
        <f>=IF(CN15*CO15&lt;&gt;0,CN15*CO15,"")</f>
      </c>
      <c r="CQ15" s="41" t="s"/>
      <c r="CR15" s="41" t="s"/>
      <c r="CS15" s="43" t="s"/>
      <c r="CT15" s="44" t="s"/>
      <c r="CU15" s="42" t="s"/>
      <c r="CV15" s="45" t="s">
        <f>=IF(CT15*CU15&lt;&gt;0,CT15*CU15,"")</f>
      </c>
      <c r="CW15" s="41" t="s"/>
      <c r="CX15" s="41" t="s"/>
      <c r="CY15" s="43" t="s"/>
      <c r="CZ15" s="44" t="s"/>
      <c r="DA15" s="42" t="s"/>
      <c r="DB15" s="45" t="s">
        <f>=IF(CZ15*DA15&lt;&gt;0,CZ15*DA15,"")</f>
      </c>
      <c r="DC15" s="41" t="s"/>
      <c r="DD15" s="41" t="s"/>
      <c r="DE15" s="43" t="s"/>
    </row>
    <row r="16" spans="1:109" s="207" customFormat="true" ht="12.75">
      <c r="A16" s="40">
        <v>11</v>
      </c>
      <c r="B16" s="41" t="s"/>
      <c r="C16" s="41" t="s"/>
      <c r="D16" s="42" t="s"/>
      <c r="E16" s="42" t="s"/>
      <c r="F16" s="41" t="s">
        <f>=IF(D16*E16&lt;&gt;0,D16*E16,"")</f>
      </c>
      <c r="G16" s="41" t="s"/>
      <c r="H16" s="41" t="s"/>
      <c r="I16" s="41" t="s"/>
      <c r="J16" s="41" t="s"/>
      <c r="K16" s="41" t="s"/>
      <c r="L16" s="43" t="s"/>
      <c r="M16" s="47" t="s"/>
      <c r="N16" s="44" t="s"/>
      <c r="O16" s="42" t="s"/>
      <c r="P16" s="45" t="s">
        <f>=IF(N16*O16&lt;&gt;0,N16*O16,"")</f>
      </c>
      <c r="Q16" s="41" t="s"/>
      <c r="R16" s="41" t="s"/>
      <c r="S16" s="43" t="s"/>
      <c r="T16" s="44" t="s"/>
      <c r="U16" s="42" t="s"/>
      <c r="V16" s="45" t="s">
        <f>=IF(T16*U16&lt;&gt;0,T16*U16,"")</f>
      </c>
      <c r="W16" s="41" t="s"/>
      <c r="X16" s="41" t="s"/>
      <c r="Y16" s="43" t="s"/>
      <c r="Z16" s="44" t="s"/>
      <c r="AA16" s="42" t="s"/>
      <c r="AB16" s="45" t="s">
        <f>=IF(Z16*AA16&lt;&gt;0,Z16*AA16,"")</f>
      </c>
      <c r="AC16" s="41" t="s"/>
      <c r="AD16" s="41" t="s"/>
      <c r="AE16" s="43" t="s"/>
      <c r="AF16" s="44" t="s"/>
      <c r="AG16" s="42" t="s"/>
      <c r="AH16" s="45" t="s">
        <f>=IF(AF16*AG16&lt;&gt;0,AF16*AG16,"")</f>
      </c>
      <c r="AI16" s="41" t="s"/>
      <c r="AJ16" s="41" t="s"/>
      <c r="AK16" s="43" t="s"/>
      <c r="AL16" s="44" t="s"/>
      <c r="AM16" s="42" t="s"/>
      <c r="AN16" s="45" t="s">
        <f>=IF(AL16*AM16&lt;&gt;0,AL16*AM16,"")</f>
      </c>
      <c r="AO16" s="41" t="s"/>
      <c r="AP16" s="41" t="s"/>
      <c r="AQ16" s="43" t="s"/>
      <c r="AR16" s="44" t="s"/>
      <c r="AS16" s="42" t="s"/>
      <c r="AT16" s="45" t="s">
        <f>=IF(AR16*AS16&lt;&gt;0,AR16*AS16,"")</f>
      </c>
      <c r="AU16" s="41" t="s"/>
      <c r="AV16" s="41" t="s"/>
      <c r="AW16" s="43" t="s"/>
      <c r="AX16" s="44" t="s"/>
      <c r="AY16" s="42" t="s"/>
      <c r="AZ16" s="45" t="s">
        <f>=IF(AX16*AY16&lt;&gt;0,AX16*AY16,"")</f>
      </c>
      <c r="BA16" s="41" t="s"/>
      <c r="BB16" s="41" t="s"/>
      <c r="BC16" s="43" t="s"/>
      <c r="BD16" s="44" t="s"/>
      <c r="BE16" s="42" t="s"/>
      <c r="BF16" s="45" t="s">
        <f>=IF(BD16*BE16&lt;&gt;0,BD16*BE16,"")</f>
      </c>
      <c r="BG16" s="41" t="s"/>
      <c r="BH16" s="41" t="s"/>
      <c r="BI16" s="43" t="s"/>
      <c r="BJ16" s="44" t="s"/>
      <c r="BK16" s="42" t="s"/>
      <c r="BL16" s="45" t="s">
        <f>=IF(BJ16*BK16&lt;&gt;0,BJ16*BK16,"")</f>
      </c>
      <c r="BM16" s="41" t="s"/>
      <c r="BN16" s="41" t="s"/>
      <c r="BO16" s="43" t="s"/>
      <c r="BP16" s="44" t="s"/>
      <c r="BQ16" s="42" t="s"/>
      <c r="BR16" s="45" t="s">
        <f>=IF(BP16*BQ16&lt;&gt;0,BP16*BQ16,"")</f>
      </c>
      <c r="BS16" s="41" t="s"/>
      <c r="BT16" s="41" t="s"/>
      <c r="BU16" s="43" t="s"/>
      <c r="BV16" s="44" t="s"/>
      <c r="BW16" s="42" t="s"/>
      <c r="BX16" s="45" t="s">
        <f>=IF(BV16*BW16&lt;&gt;0,BV16*BW16,"")</f>
      </c>
      <c r="BY16" s="41" t="s"/>
      <c r="BZ16" s="41" t="s"/>
      <c r="CA16" s="43" t="s"/>
      <c r="CB16" s="44" t="s"/>
      <c r="CC16" s="42" t="s"/>
      <c r="CD16" s="45" t="s">
        <f>=IF(CB16*CC16&lt;&gt;0,CB16*CC16,"")</f>
      </c>
      <c r="CE16" s="41" t="s"/>
      <c r="CF16" s="41" t="s"/>
      <c r="CG16" s="43" t="s"/>
      <c r="CH16" s="44" t="s"/>
      <c r="CI16" s="42" t="s"/>
      <c r="CJ16" s="45" t="s">
        <f>=IF(CH16*CI16&lt;&gt;0,CH16*CI16,"")</f>
      </c>
      <c r="CK16" s="41" t="s"/>
      <c r="CL16" s="41" t="s"/>
      <c r="CM16" s="43" t="s"/>
      <c r="CN16" s="44" t="s"/>
      <c r="CO16" s="42" t="s"/>
      <c r="CP16" s="45" t="s">
        <f>=IF(CN16*CO16&lt;&gt;0,CN16*CO16,"")</f>
      </c>
      <c r="CQ16" s="41" t="s"/>
      <c r="CR16" s="41" t="s"/>
      <c r="CS16" s="43" t="s"/>
      <c r="CT16" s="44" t="s"/>
      <c r="CU16" s="42" t="s"/>
      <c r="CV16" s="45" t="s">
        <f>=IF(CT16*CU16&lt;&gt;0,CT16*CU16,"")</f>
      </c>
      <c r="CW16" s="41" t="s"/>
      <c r="CX16" s="41" t="s"/>
      <c r="CY16" s="43" t="s"/>
      <c r="CZ16" s="44" t="s"/>
      <c r="DA16" s="42" t="s"/>
      <c r="DB16" s="45" t="s">
        <f>=IF(CZ16*DA16&lt;&gt;0,CZ16*DA16,"")</f>
      </c>
      <c r="DC16" s="41" t="s"/>
      <c r="DD16" s="41" t="s"/>
      <c r="DE16" s="43" t="s"/>
    </row>
  </sheetData>
  <sheetProtection/>
  <mergeCells count="23">
    <mergeCell ref="A5:B5"/>
    <mergeCell ref="D5:F5"/>
    <mergeCell ref="I5:M5"/>
    <mergeCell ref="N5:S5"/>
    <mergeCell ref="A6:M6"/>
    <mergeCell ref="N6:S6"/>
    <mergeCell ref="T6:Y6"/>
    <mergeCell ref="Z6:AE6"/>
    <mergeCell ref="AF6:AK6"/>
    <mergeCell ref="AL6:AQ6"/>
    <mergeCell ref="AR6:AW6"/>
    <mergeCell ref="AX6:BC6"/>
    <mergeCell ref="BD6:BI6"/>
    <mergeCell ref="BJ6:BO6"/>
    <mergeCell ref="BP6:BU6"/>
    <mergeCell ref="BV6:CA6"/>
    <mergeCell ref="CB6:CG6"/>
    <mergeCell ref="CH6:CM6"/>
    <mergeCell ref="CN6:CS6"/>
    <mergeCell ref="CT6:CY6"/>
    <mergeCell ref="CZ6:DE6"/>
    <mergeCell ref="A1:M2"/>
    <mergeCell ref="A3:M4"/>
  </mergeCells>
  <dataValidations>
    <dataValidation type="list" operator="between" allowBlank="true" showInputMessage="true" showErrorMessage="true" sqref="B8:B16">
      <formula1>"需求风险,计划风险,组织风险,管理风险,人员风险,开发环境风险,客户风险,产品风险,设计风险,编码风险,过程风险,测试风险"</formula1>
    </dataValidation>
    <dataValidation type="list" operator="between" allowBlank="true" showInputMessage="true" showErrorMessage="true" sqref="D8:D16">
      <formula1>"1,2,3"</formula1>
    </dataValidation>
    <dataValidation type="list" operator="between" allowBlank="true" showInputMessage="true" showErrorMessage="true" sqref="E8:E16">
      <formula1>"1,2,3"</formula1>
    </dataValidation>
    <dataValidation type="list" operator="between" allowBlank="true" showInputMessage="true" showErrorMessage="true" sqref="I8:I16">
      <formula1>"已识别,处理中,已发生,已消除,应急处理,已关闭"</formula1>
    </dataValidation>
    <dataValidation type="list" operator="between" allowBlank="true" showInputMessage="true" showErrorMessage="true" sqref="L8:L16">
      <formula1>"风险内容已审核,风险关闭已审核,不认同是风险"</formula1>
    </dataValidation>
    <dataValidation type="list" operator="between" allowBlank="true" showInputMessage="true" showErrorMessage="true" sqref="N8:N16">
      <formula1>"1,2,3"</formula1>
    </dataValidation>
    <dataValidation type="list" operator="between" allowBlank="true" showInputMessage="true" showErrorMessage="true" sqref="O8:O16">
      <formula1>"1,2,3"</formula1>
    </dataValidation>
    <dataValidation type="list" operator="between" allowBlank="true" showInputMessage="true" showErrorMessage="true" sqref="R8:R16">
      <formula1>"已识别,处理中,已发生,已消除,应急处理,已关闭"</formula1>
    </dataValidation>
    <dataValidation type="list" operator="between" allowBlank="true" showInputMessage="true" showErrorMessage="true" sqref="S8:S16">
      <formula1>"风险内容已审核,风险关闭已审核,不认同是风险"</formula1>
    </dataValidation>
    <dataValidation type="list" operator="between" allowBlank="true" showInputMessage="true" showErrorMessage="true" sqref="T8:T16">
      <formula1>"1,2,3"</formula1>
    </dataValidation>
    <dataValidation type="list" operator="between" allowBlank="true" showInputMessage="true" showErrorMessage="true" sqref="U8:U16">
      <formula1>"1,2,3"</formula1>
    </dataValidation>
    <dataValidation type="list" operator="between" allowBlank="true" showInputMessage="true" showErrorMessage="true" sqref="X8:X16">
      <formula1>"已识别,处理中,已发生,已消除,应急处理,已关闭"</formula1>
    </dataValidation>
    <dataValidation type="list" operator="between" allowBlank="true" showInputMessage="true" showErrorMessage="true" sqref="Y8:Y16">
      <formula1>"风险内容已审核,风险关闭已审核,不认同是风险"</formula1>
    </dataValidation>
    <dataValidation type="list" operator="between" allowBlank="true" showInputMessage="true" showErrorMessage="true" sqref="Z8:Z16">
      <formula1>"1,2,3"</formula1>
    </dataValidation>
    <dataValidation type="list" operator="between" allowBlank="true" showInputMessage="true" showErrorMessage="true" sqref="AA8:AA16">
      <formula1>"1,2,3"</formula1>
    </dataValidation>
    <dataValidation type="list" operator="between" allowBlank="true" showInputMessage="true" showErrorMessage="true" sqref="AD8:AD16">
      <formula1>"已识别,处理中,已发生,已消除,应急处理,已关闭"</formula1>
    </dataValidation>
    <dataValidation type="list" operator="between" allowBlank="true" showInputMessage="true" showErrorMessage="true" sqref="AE8:AE16">
      <formula1>"风险内容已审核,风险关闭已审核,不认同是风险"</formula1>
    </dataValidation>
    <dataValidation type="list" operator="between" allowBlank="true" showInputMessage="true" showErrorMessage="true" sqref="AF8:AF16">
      <formula1>"1,2,3"</formula1>
    </dataValidation>
    <dataValidation type="list" operator="between" allowBlank="true" showInputMessage="true" showErrorMessage="true" sqref="AG8:AG16">
      <formula1>"1,2,3"</formula1>
    </dataValidation>
    <dataValidation type="list" operator="between" allowBlank="true" showInputMessage="true" showErrorMessage="true" sqref="AJ8:AJ16">
      <formula1>"已识别,处理中,已发生,已消除,应急处理,已关闭"</formula1>
    </dataValidation>
    <dataValidation type="list" operator="between" allowBlank="true" showInputMessage="true" showErrorMessage="true" sqref="AK8:AK16">
      <formula1>"风险内容已审核,风险关闭已审核,不认同是风险"</formula1>
    </dataValidation>
    <dataValidation type="list" operator="between" allowBlank="true" showInputMessage="true" showErrorMessage="true" sqref="AL8:AL16">
      <formula1>"1,2,3"</formula1>
    </dataValidation>
    <dataValidation type="list" operator="between" allowBlank="true" showInputMessage="true" showErrorMessage="true" sqref="AM8:AM16">
      <formula1>"1,2,3"</formula1>
    </dataValidation>
    <dataValidation type="list" operator="between" allowBlank="true" showInputMessage="true" showErrorMessage="true" sqref="AP8:AP16">
      <formula1>"已识别,处理中,已发生,已消除,应急处理,已关闭"</formula1>
    </dataValidation>
    <dataValidation type="list" operator="between" allowBlank="true" showInputMessage="true" showErrorMessage="true" sqref="AQ8:AQ16">
      <formula1>"风险内容已审核,风险关闭已审核,不认同是风险"</formula1>
    </dataValidation>
    <dataValidation type="list" operator="between" allowBlank="true" showInputMessage="true" showErrorMessage="true" sqref="AR8:AR16">
      <formula1>"1,2,3"</formula1>
    </dataValidation>
    <dataValidation type="list" operator="between" allowBlank="true" showInputMessage="true" showErrorMessage="true" sqref="AS8:AS16">
      <formula1>"1,2,3"</formula1>
    </dataValidation>
    <dataValidation type="list" operator="between" allowBlank="true" showInputMessage="true" showErrorMessage="true" sqref="AV8:AV16">
      <formula1>"已识别,处理中,已发生,已消除,应急处理,已关闭"</formula1>
    </dataValidation>
    <dataValidation type="list" operator="between" allowBlank="true" showInputMessage="true" showErrorMessage="true" sqref="AW8:AW16">
      <formula1>"风险内容已审核,风险关闭已审核,不认同是风险"</formula1>
    </dataValidation>
    <dataValidation type="list" operator="between" allowBlank="true" showInputMessage="true" showErrorMessage="true" sqref="AX8:AX16">
      <formula1>"1,2,3"</formula1>
    </dataValidation>
    <dataValidation type="list" operator="between" allowBlank="true" showInputMessage="true" showErrorMessage="true" sqref="AY8:AY16">
      <formula1>"1,2,3"</formula1>
    </dataValidation>
    <dataValidation type="list" operator="between" allowBlank="true" showInputMessage="true" showErrorMessage="true" sqref="BB8:BB16">
      <formula1>"已识别,处理中,已发生,已消除,应急处理,已关闭"</formula1>
    </dataValidation>
    <dataValidation type="list" operator="between" allowBlank="true" showInputMessage="true" showErrorMessage="true" sqref="BC8:BC16">
      <formula1>"风险内容已审核,风险关闭已审核,不认同是风险"</formula1>
    </dataValidation>
    <dataValidation type="list" operator="between" allowBlank="true" showInputMessage="true" showErrorMessage="true" sqref="BD8:BD16">
      <formula1>"1,2,3"</formula1>
    </dataValidation>
    <dataValidation type="list" operator="between" allowBlank="true" showInputMessage="true" showErrorMessage="true" sqref="BE8:BE16">
      <formula1>"1,2,3"</formula1>
    </dataValidation>
    <dataValidation type="list" operator="between" allowBlank="true" showInputMessage="true" showErrorMessage="true" sqref="BH8:BH16">
      <formula1>"已识别,处理中,已发生,已消除,应急处理,已关闭"</formula1>
    </dataValidation>
    <dataValidation type="list" operator="between" allowBlank="true" showInputMessage="true" showErrorMessage="true" sqref="BI8:BI16">
      <formula1>"风险内容已审核,风险关闭已审核,不认同是风险"</formula1>
    </dataValidation>
    <dataValidation type="list" operator="between" allowBlank="true" showInputMessage="true" showErrorMessage="true" sqref="BJ8:BJ16">
      <formula1>"1,2,3"</formula1>
    </dataValidation>
    <dataValidation type="list" operator="between" allowBlank="true" showInputMessage="true" showErrorMessage="true" sqref="BK8:BK16">
      <formula1>"1,2,3"</formula1>
    </dataValidation>
    <dataValidation type="list" operator="between" allowBlank="true" showInputMessage="true" showErrorMessage="true" sqref="BN8:BN16">
      <formula1>"已识别,处理中,已发生,已消除,应急处理,已关闭"</formula1>
    </dataValidation>
    <dataValidation type="list" operator="between" allowBlank="true" showInputMessage="true" showErrorMessage="true" sqref="BO8:BO16">
      <formula1>"风险内容已审核,风险关闭已审核,不认同是风险"</formula1>
    </dataValidation>
    <dataValidation type="list" operator="between" allowBlank="true" showInputMessage="true" showErrorMessage="true" sqref="BP8:BP16">
      <formula1>"1,2,3"</formula1>
    </dataValidation>
    <dataValidation type="list" operator="between" allowBlank="true" showInputMessage="true" showErrorMessage="true" sqref="BQ8:BQ16">
      <formula1>"1,2,3"</formula1>
    </dataValidation>
    <dataValidation type="list" operator="between" allowBlank="true" showInputMessage="true" showErrorMessage="true" sqref="BT8:BT16">
      <formula1>"已识别,处理中,已发生,已消除,应急处理,已关闭"</formula1>
    </dataValidation>
    <dataValidation type="list" operator="between" allowBlank="true" showInputMessage="true" showErrorMessage="true" sqref="BU8:BU16">
      <formula1>"风险内容已审核,风险关闭已审核,不认同是风险"</formula1>
    </dataValidation>
    <dataValidation type="list" operator="between" allowBlank="true" showInputMessage="true" showErrorMessage="true" sqref="BV8:BV16">
      <formula1>"1,2,3"</formula1>
    </dataValidation>
    <dataValidation type="list" operator="between" allowBlank="true" showInputMessage="true" showErrorMessage="true" sqref="BW8:BW16">
      <formula1>"1,2,3"</formula1>
    </dataValidation>
    <dataValidation type="list" operator="between" allowBlank="true" showInputMessage="true" showErrorMessage="true" sqref="BZ8:BZ16">
      <formula1>"已识别,处理中,已发生,已消除,应急处理,已关闭"</formula1>
    </dataValidation>
    <dataValidation type="list" operator="between" allowBlank="true" showInputMessage="true" showErrorMessage="true" sqref="CA8:CA16">
      <formula1>"风险内容已审核,风险关闭已审核,不认同是风险"</formula1>
    </dataValidation>
    <dataValidation type="list" operator="between" allowBlank="true" showInputMessage="true" showErrorMessage="true" sqref="CB8:CB16">
      <formula1>"1,2,3"</formula1>
    </dataValidation>
    <dataValidation type="list" operator="between" allowBlank="true" showInputMessage="true" showErrorMessage="true" sqref="CC8:CC16">
      <formula1>"1,2,3"</formula1>
    </dataValidation>
    <dataValidation type="list" operator="between" allowBlank="true" showInputMessage="true" showErrorMessage="true" sqref="CF8:CF16">
      <formula1>"已识别,处理中,已发生,已消除,应急处理,已关闭"</formula1>
    </dataValidation>
    <dataValidation type="list" operator="between" allowBlank="true" showInputMessage="true" showErrorMessage="true" sqref="CG8:CG16">
      <formula1>"风险内容已审核,风险关闭已审核,不认同是风险"</formula1>
    </dataValidation>
    <dataValidation type="list" operator="between" allowBlank="true" showInputMessage="true" showErrorMessage="true" sqref="CH8:CH16">
      <formula1>"1,2,3"</formula1>
    </dataValidation>
    <dataValidation type="list" operator="between" allowBlank="true" showInputMessage="true" showErrorMessage="true" sqref="CI8:CI16">
      <formula1>"1,2,3"</formula1>
    </dataValidation>
    <dataValidation type="list" operator="between" allowBlank="true" showInputMessage="true" showErrorMessage="true" sqref="CL8:CL16">
      <formula1>"已识别,处理中,已发生,已消除,应急处理,已关闭"</formula1>
    </dataValidation>
    <dataValidation type="list" operator="between" allowBlank="true" showInputMessage="true" showErrorMessage="true" sqref="CM8:CM16">
      <formula1>"风险内容已审核,风险关闭已审核,不认同是风险"</formula1>
    </dataValidation>
    <dataValidation type="list" operator="between" allowBlank="true" showInputMessage="true" showErrorMessage="true" sqref="CN8:CN16">
      <formula1>"1,2,3"</formula1>
    </dataValidation>
    <dataValidation type="list" operator="between" allowBlank="true" showInputMessage="true" showErrorMessage="true" sqref="CO8:CO16">
      <formula1>"1,2,3"</formula1>
    </dataValidation>
    <dataValidation type="list" operator="between" allowBlank="true" showInputMessage="true" showErrorMessage="true" sqref="CR8:CR16">
      <formula1>"已识别,处理中,已发生,已消除,应急处理,已关闭"</formula1>
    </dataValidation>
    <dataValidation type="list" operator="between" allowBlank="true" showInputMessage="true" showErrorMessage="true" sqref="CS8:CS16">
      <formula1>"风险内容已审核,风险关闭已审核,不认同是风险"</formula1>
    </dataValidation>
    <dataValidation type="list" operator="between" allowBlank="true" showInputMessage="true" showErrorMessage="true" sqref="CT8:CT16">
      <formula1>"1,2,3"</formula1>
    </dataValidation>
    <dataValidation type="list" operator="between" allowBlank="true" showInputMessage="true" showErrorMessage="true" sqref="CU8:CU16">
      <formula1>"1,2,3"</formula1>
    </dataValidation>
    <dataValidation type="list" operator="between" allowBlank="true" showInputMessage="true" showErrorMessage="true" sqref="CX8:CX16">
      <formula1>"已识别,处理中,已发生,已消除,应急处理,已关闭"</formula1>
    </dataValidation>
    <dataValidation type="list" operator="between" allowBlank="true" showInputMessage="true" showErrorMessage="true" sqref="CY8:CY16">
      <formula1>"风险内容已审核,风险关闭已审核,不认同是风险"</formula1>
    </dataValidation>
    <dataValidation type="list" operator="between" allowBlank="true" showInputMessage="true" showErrorMessage="true" sqref="CZ8:CZ16">
      <formula1>"1,2,3"</formula1>
    </dataValidation>
    <dataValidation type="list" operator="between" allowBlank="true" showInputMessage="true" showErrorMessage="true" sqref="DA8:DA16">
      <formula1>"1,2,3"</formula1>
    </dataValidation>
    <dataValidation type="list" operator="between" allowBlank="true" showInputMessage="true" showErrorMessage="true" sqref="DD8:DD16">
      <formula1>"已识别,处理中,已发生,已消除,应急处理,已关闭"</formula1>
    </dataValidation>
    <dataValidation type="list" operator="between" allowBlank="true" showInputMessage="true" showErrorMessage="true" sqref="DE8:DE16">
      <formula1>"风险内容已审核,风险关闭已审核,不认同是风险"</formula1>
    </dataValidation>
  </dataValidations>
  <pageMargins left="0.7" right="0.7" top="0.75" bottom="0.75" header="0.3" footer="0.3"/>
  <pageSetup orientation="portrait"/>
  <headerFooter scaleWithDoc="false" alignWithMargins="false"/>
</worksheet>
</file>

<file path=xl/worksheets/sheet6.xml><?xml version="1.0" encoding="utf-8"?>
<worksheet xmlns="http://schemas.openxmlformats.org/spreadsheetml/2006/main">
  <sheetPr codeName="charter计划表">
    <tabColor/>
  </sheetPr>
  <dimension ref="A1"/>
  <sheetViews>
    <sheetView showGridLines="true" workbookViewId="0"/>
  </sheetViews>
  <sheetFormatPr baseColWidth="13" defaultRowHeight="18" customHeight="true"/>
  <sheetData/>
</worksheet>
</file>

<file path=xl/worksheets/sheet7.xml><?xml version="1.0" encoding="utf-8"?>
<worksheet xmlns="http://schemas.openxmlformats.org/spreadsheetml/2006/main">
  <sheetPr codeName="项目类型">
    <tabColor/>
  </sheetPr>
  <dimension ref="D13"/>
  <sheetViews>
    <sheetView showGridLines="true" workbookViewId="0"/>
  </sheetViews>
  <sheetFormatPr baseColWidth="13" defaultRowHeight="18" customHeight="true"/>
  <cols>
    <col min="1" max="1" width="23.6719" customWidth="true"/>
    <col min="2" max="2" width="34.2227" customWidth="true"/>
  </cols>
  <sheetData>
    <row r="1" spans="1:4" ht="25.5" customHeight="true">
      <c r="A1" t="s">
        <v>435</v>
      </c>
      <c r="B1" t="s">
        <v>436</v>
      </c>
      <c r="C1" s="149" t="s">
        <v>437</v>
      </c>
      <c r="D1" s="149" t="s">
        <v>438</v>
      </c>
    </row>
    <row r="2" spans="4:4" ht="24" customHeight="true">
      <c r="D2" t="s">
        <v>439</v>
      </c>
    </row>
    <row r="3" spans="4:4" ht="24" customHeight="true">
      <c r="D3" t="s">
        <v>440</v>
      </c>
    </row>
    <row r="4" spans="3:4" ht="23.25" customHeight="true">
      <c r="C4" s="149" t="s">
        <v>441</v>
      </c>
      <c r="D4" t="s">
        <v>440</v>
      </c>
    </row>
    <row r="5" spans="3:4" ht="23.25" customHeight="true">
      <c r="C5" s="149" t="s">
        <v>442</v>
      </c>
      <c r="D5" t="s">
        <v>442</v>
      </c>
    </row>
    <row r="6" spans="2:4">
      <c r="B6" s="149" t="s">
        <v>443</v>
      </c>
      <c r="C6" s="149" t="s">
        <v>437</v>
      </c>
      <c r="D6" s="149" t="s">
        <v>438</v>
      </c>
    </row>
    <row r="7" spans="4:4">
      <c r="D7" t="s">
        <v>440</v>
      </c>
    </row>
    <row r="8" spans="2:4" ht="22.5" customHeight="true">
      <c r="B8" s="149" t="s"/>
      <c r="C8" s="149" t="s">
        <v>441</v>
      </c>
      <c r="D8" t="s">
        <v>440</v>
      </c>
    </row>
    <row r="9" spans="3:4" ht="24" customHeight="true">
      <c r="C9" s="149" t="s">
        <v>442</v>
      </c>
      <c r="D9" t="s">
        <v>442</v>
      </c>
    </row>
    <row r="10" spans="1:4" ht="24" customHeight="true">
      <c r="A10" t="s">
        <v>444</v>
      </c>
      <c r="B10" s="149" t="s">
        <v>445</v>
      </c>
      <c r="C10" s="149" t="s">
        <v>441</v>
      </c>
      <c r="D10" t="s">
        <v>440</v>
      </c>
    </row>
    <row r="11" spans="2:4" ht="26.25" customHeight="true">
      <c r="B11" s="149" t="s">
        <v>446</v>
      </c>
      <c r="C11" s="149" t="s">
        <v>441</v>
      </c>
      <c r="D11" t="s">
        <v>440</v>
      </c>
    </row>
    <row r="12" spans="2:4" ht="21" customHeight="true">
      <c r="B12" s="149" t="s">
        <v>447</v>
      </c>
      <c r="C12" s="149" t="s">
        <v>441</v>
      </c>
      <c r="D12" t="s">
        <v>440</v>
      </c>
    </row>
    <row r="13" spans="2:4" ht="24" customHeight="true">
      <c r="B13" s="149" t="s">
        <v>448</v>
      </c>
      <c r="C13" s="149" t="s">
        <v>437</v>
      </c>
      <c r="D13" t="s">
        <v>440</v>
      </c>
    </row>
  </sheetData>
  <mergeCells count="6">
    <mergeCell ref="C1:C3"/>
    <mergeCell ref="C6:C7"/>
    <mergeCell ref="A10:A13"/>
    <mergeCell ref="B1:B5"/>
    <mergeCell ref="B6:B9"/>
    <mergeCell ref="A1:A9"/>
  </mergeCells>
</worksheet>
</file>

<file path=xl/worksheets/sheet8.xml><?xml version="1.0" encoding="utf-8"?>
<worksheet xmlns="http://schemas.openxmlformats.org/spreadsheetml/2006/main">
  <sheetPr/>
  <dimension ref="B4"/>
  <sheetViews>
    <sheetView showGridLines="true" workbookViewId="0"/>
  </sheetViews>
  <sheetFormatPr defaultColWidth="9" defaultRowHeight="13.5" outlineLevelRow="3" outlineLevelCol="1"/>
  <cols>
    <col min="2" max="2" width="102" customWidth="true"/>
  </cols>
  <sheetData>
    <row r="1" spans="1:2">
      <c r="A1" s="119">
        <v>1</v>
      </c>
      <c r="B1" s="119" t="s">
        <v>174</v>
      </c>
    </row>
    <row r="2" spans="1:2">
      <c r="A2" s="119">
        <v>2</v>
      </c>
      <c r="B2" s="119" t="s">
        <v>175</v>
      </c>
    </row>
    <row r="3" spans="1:2">
      <c r="A3" s="119">
        <v>3</v>
      </c>
      <c r="B3" s="119" t="s">
        <v>176</v>
      </c>
    </row>
    <row r="4" spans="1:2">
      <c r="A4" s="119">
        <v>4</v>
      </c>
      <c r="B4" s="119" t="s">
        <v>177</v>
      </c>
    </row>
  </sheetData>
  <pageMargins left="0.75" right="0.75" top="1" bottom="1" header="0.5" footer="0.5"/>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2026-05-07T15:00:26Z</dcterms:created>
  <dcterms:modified xsi:type="dcterms:W3CDTF">2026-05-07T15:00:26Z</dcterms:modified>
</cp:coreProperties>
</file>