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/>
  </bookViews>
  <sheets>
    <sheet name="2026年OKR-v20260320" sheetId="1" state="hidden" r:id="rId4"/>
    <sheet name="2026年OKR-v20260323" sheetId="2" state="hidden" r:id="rId5"/>
    <sheet name="2026年OKR-v20260327" sheetId="3" r:id="rId6"/>
    <sheet name="测试OKR" sheetId="4" r:id="rId7"/>
    <sheet name="26年Roadmap" sheetId="5" r:id="rId8"/>
    <sheet name="无线责任田" sheetId="6" r:id="rId9"/>
    <sheet name="跨部门协作" sheetId="7" r:id="rId10"/>
    <sheet name="整体人力甘特图" sheetId="8" r:id="rId11"/>
    <sheet name="版本人力甘特图" sheetId="9" r:id="rId12"/>
    <sheet name="业务投资地图-v1.0" sheetId="10" r:id="rId13"/>
  </sheets>
  <calcPr/>
</workbook>
</file>

<file path=xl/comments1.xml><?xml version="1.0" encoding="utf-8"?>
<comments xmlns="http://schemas.openxmlformats.org/spreadsheetml/2006/main">
  <authors>
    <author>tc={0C48792E-80A5-4334-A5B9-2BB4D132D9C1}</author>
    <author>tc={607765C2-08C9-48AF-845F-4A97270CF20E}</author>
    <author>tc={528B3FCC-0CC5-4C05-A616-30F6FA55E43D}</author>
  </authors>
  <commentList>
    <comment ref="G6" authorId="0">
      <text>
        <r>
          <t>AI布道师</t>
        </r>
      </text>
    </comment>
    <comment ref="H6" authorId="1">
      <text>
        <r>
          <t>AI布道师</t>
        </r>
      </text>
    </comment>
    <comment ref="L31" authorId="2">
      <text>
        <r>
          <t>-3外包</t>
        </r>
      </text>
    </comment>
  </commentList>
</comments>
</file>

<file path=xl/sharedStrings.xml><?xml version="1.0" encoding="utf-8"?>
<sst xmlns="http://schemas.openxmlformats.org/spreadsheetml/2006/main" count="325" uniqueCount="325">
  <si>
    <t/>
  </si>
  <si>
    <t>项目</t>
  </si>
  <si>
    <t>团队</t>
  </si>
  <si>
    <t>覆盖方向</t>
  </si>
  <si>
    <t>预期发布时间</t>
  </si>
  <si>
    <t>当月人力占比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</si>
  <si>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</si>
  <si>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</si>
  <si>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</si>
  <si>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</si>
  <si>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</si>
  <si>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</si>
  <si>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</si>
  <si>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</si>
  <si>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</si>
  <si>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</si>
  <si>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投资</t>
  </si>
  <si>
    <t>RoF2.0</t>
  </si>
  <si>
    <t>张义军</t>
  </si>
  <si>
    <t>1、创新AP部署模式，将AP部署在弱电井，降低部署难度和运维难度；
2、在设备断电、网络中断、有线链路故障等异常发生时，可确保无线终端运行业务保持连续。
3、智联星1.0方案升级，提高带机，覆盖，吞吐等；</t>
  </si>
  <si>
    <t>AP</t>
  </si>
  <si>
    <t>测试</t>
  </si>
  <si>
    <t>无线体验优化1.0</t>
  </si>
  <si>
    <t>王旭华</t>
  </si>
  <si>
    <t>1、漫游效果优化（KVR协议、Sense漫游）
2、智能带宽（保障关键用户和关键应用）
3、分布式认证，将认证下移到AP上完成；
4、射频间负载均衡；</t>
  </si>
  <si>
    <t>质量攻坚&amp;精品化Q3</t>
  </si>
  <si>
    <t>王桥友</t>
  </si>
  <si>
    <t>1、处理历史遗留的影响使用问题；
2、提高客户现场排障效率和便捷性，日志信息收集、远程抓包；
3、AP高可用，异常快速恢复能力，FW Recover快速恢复；</t>
  </si>
  <si>
    <t>2026年Q3</t>
  </si>
  <si>
    <t>开发</t>
  </si>
  <si>
    <t>质量攻坚&amp;精品化Q4</t>
  </si>
  <si>
    <t>1、处理历史遗留的影响使用问题；
2、提高客户现场排障效率和便捷性；
3、AP高可用；
4、精品化需求：国家码更新、软件功能支持6G;</t>
  </si>
  <si>
    <t>2026年Q4</t>
  </si>
  <si>
    <t>Wi-Fi室外和旗舰</t>
  </si>
  <si>
    <t>王玉其</t>
  </si>
  <si>
    <t>1、Wi-Fi7外置天线室外
2、Wi-Fi7室外三射频
3、Wi-Fi7旗舰
4、供应问题处理（备料适配）</t>
  </si>
  <si>
    <t>国产化Wi-Fi7</t>
  </si>
  <si>
    <t>国产化信创Wi-Fi7 AP</t>
  </si>
  <si>
    <t>无线体验优化2.0</t>
  </si>
  <si>
    <t>1、自适应网优和场景化网优；
2、关键应用流量保障和背景流量压制；
3、Wi-Fi感知能力；</t>
  </si>
  <si>
    <t>测试平台</t>
  </si>
  <si>
    <t>陈伟建</t>
  </si>
  <si>
    <t>1、CI/CD
2、完善自动化
3、工具开发（WTP优化、终端模拟、网卡模拟、行为模拟）</t>
  </si>
  <si>
    <t>持续投入</t>
  </si>
  <si>
    <t>预研</t>
  </si>
  <si>
    <t>赖国强</t>
  </si>
  <si>
    <t>1、无线产品持续技术洞察，确保产品技术领先性
1、将AI算法引入网优或者漫游，提升功能使用体验；
2、提高排障问题查明率和排障效率、提高AP在出现异常后的自动恢复能力；
3、RoF效果优化，确保产品效果持续领先；</t>
  </si>
  <si>
    <t>技术支持</t>
  </si>
  <si>
    <t>1、网上问题处理；
2、客户定制开发；</t>
  </si>
  <si>
    <t>智能化（AI Native）</t>
  </si>
  <si>
    <t>控制器智能化项目</t>
  </si>
  <si>
    <t>UED（PHP和JS）</t>
  </si>
  <si>
    <t>所属项目PHP和JS资源</t>
  </si>
  <si>
    <t>NMC</t>
  </si>
  <si>
    <t>规划</t>
  </si>
  <si>
    <t>管理</t>
  </si>
  <si>
    <t>产品管理和项目管理</t>
  </si>
  <si>
    <t>总投入</t>
  </si>
  <si>
    <t>总人数（需求）</t>
  </si>
  <si>
    <t>总人数（编制）</t>
  </si>
  <si>
    <t>缺口</t>
  </si>
  <si>
    <t>整体人力甘特图</t>
  </si>
  <si>
    <t>姓名</t>
  </si>
  <si>
    <t>职级</t>
  </si>
  <si>
    <t>岗位</t>
  </si>
  <si>
    <t>备注</t>
  </si>
  <si>
    <t>宋永来41632</t>
  </si>
  <si>
    <t>T5</t>
  </si>
  <si>
    <t>技术架构组</t>
  </si>
  <si>
    <t>Wi-Fi感知CSI</t>
  </si>
  <si>
    <t>体验优化2.0</t>
  </si>
  <si>
    <t>技术预研CSI</t>
  </si>
  <si>
    <t>梁文锦24947</t>
  </si>
  <si>
    <t>T9</t>
  </si>
  <si>
    <t>专家</t>
  </si>
  <si>
    <t>质量&amp;精品化Q3</t>
  </si>
  <si>
    <t>质量&amp;精品化Q4</t>
  </si>
  <si>
    <t>质量方向上，主要攻坚疑难问题，提高排障效率和AP异常后的快速恢复</t>
  </si>
  <si>
    <t>李兰20791</t>
  </si>
  <si>
    <t>T6</t>
  </si>
  <si>
    <t>质量团队</t>
  </si>
  <si>
    <t>质量方向上，主要攻坚疑难问题</t>
  </si>
  <si>
    <t>蔡忠忠75865</t>
  </si>
  <si>
    <t>M5</t>
  </si>
  <si>
    <t>稳定性建设</t>
  </si>
  <si>
    <t>赖国强57987</t>
  </si>
  <si>
    <t>T8</t>
  </si>
  <si>
    <t>架构师</t>
  </si>
  <si>
    <t>技术洞察，从Wi-Fi协议侧分析优化漫游、网优和摸索Sense的能力</t>
  </si>
  <si>
    <t>王旭华96288</t>
  </si>
  <si>
    <t>体验优化1.0</t>
  </si>
  <si>
    <t>攻坚漫游和网优方向，通过AI算法提高漫游和网优效果；</t>
  </si>
  <si>
    <t>任海斌28062</t>
  </si>
  <si>
    <t>主管</t>
  </si>
  <si>
    <t>李定波35515</t>
  </si>
  <si>
    <t>T4</t>
  </si>
  <si>
    <t>体验优化团队</t>
  </si>
  <si>
    <t>漫游和网优优化</t>
  </si>
  <si>
    <t>杨红旗56642</t>
  </si>
  <si>
    <t>自动化&amp;工具开发</t>
  </si>
  <si>
    <t>自动化</t>
  </si>
  <si>
    <t>谭帅10144</t>
  </si>
  <si>
    <t>徐鹏10899</t>
  </si>
  <si>
    <t>刘莘15105</t>
  </si>
  <si>
    <t>硬件团队</t>
  </si>
  <si>
    <t>祝显伟12655</t>
  </si>
  <si>
    <t>M6</t>
  </si>
  <si>
    <t>项目主管</t>
  </si>
  <si>
    <t>张义军17385</t>
  </si>
  <si>
    <t>TL</t>
  </si>
  <si>
    <t>无线体验优化团队TL，负责项目落地和团队建设；</t>
  </si>
  <si>
    <t>王玉其34541</t>
  </si>
  <si>
    <t>李军15277</t>
  </si>
  <si>
    <t>Wi-Fi7 室外</t>
  </si>
  <si>
    <t>王健47808</t>
  </si>
  <si>
    <t>P5</t>
  </si>
  <si>
    <t>规划主管</t>
  </si>
  <si>
    <t>周谷57587</t>
  </si>
  <si>
    <t>钟粤15534</t>
  </si>
  <si>
    <t>陈伟建51126</t>
  </si>
  <si>
    <t>测试经理</t>
  </si>
  <si>
    <t>工具平台开发</t>
  </si>
  <si>
    <t>丘志豪59147</t>
  </si>
  <si>
    <t>黄绍祥25128</t>
  </si>
  <si>
    <t>王仕聪42842</t>
  </si>
  <si>
    <t>王桥友83098</t>
  </si>
  <si>
    <t>AI布道师</t>
  </si>
  <si>
    <t>许佩文50530</t>
  </si>
  <si>
    <t>T3</t>
  </si>
  <si>
    <t>王朋亮41581</t>
  </si>
  <si>
    <t>M4</t>
  </si>
  <si>
    <t>刘泽79933</t>
  </si>
  <si>
    <t>刘海17168</t>
  </si>
  <si>
    <t>敬元成w61412</t>
  </si>
  <si>
    <t>/</t>
  </si>
  <si>
    <t>粟泽敏97501</t>
  </si>
  <si>
    <t>T2</t>
  </si>
  <si>
    <t>硬件备料适配</t>
  </si>
  <si>
    <t>彭广60805</t>
  </si>
  <si>
    <t>刘发强57412</t>
  </si>
  <si>
    <t>郑思敏90160</t>
  </si>
  <si>
    <t>李游79866</t>
  </si>
  <si>
    <t>智能化</t>
  </si>
  <si>
    <t>张文刚w64282</t>
  </si>
  <si>
    <t>王文博59504</t>
  </si>
  <si>
    <t>开发实习</t>
  </si>
  <si>
    <t>马志劲w24183</t>
  </si>
  <si>
    <t>物料替换</t>
  </si>
  <si>
    <t>谢栒w24494</t>
  </si>
  <si>
    <t>张凯w33565</t>
  </si>
  <si>
    <t>左宏基w73633</t>
  </si>
  <si>
    <t>林少斌w57606</t>
  </si>
  <si>
    <t>徐洋89446</t>
  </si>
  <si>
    <t>蔡佳润</t>
  </si>
  <si>
    <t>测试实习</t>
  </si>
  <si>
    <t xml:space="preserve">
</t>
  </si>
  <si>
    <t>版本</t>
  </si>
  <si>
    <t>研发人数</t>
  </si>
  <si>
    <t>占比</t>
  </si>
  <si>
    <t>26年Q1</t>
  </si>
  <si>
    <t>26年Q2</t>
  </si>
  <si>
    <t>26年Q3</t>
  </si>
  <si>
    <t>26年Q4</t>
  </si>
  <si>
    <t>无线体验优化</t>
  </si>
  <si>
    <t>RoF2.0智恒星</t>
  </si>
  <si>
    <t>无线体验优化2.0：
    1、自适应网优和场景化网优；
    2、流量保障和压制（保障关键应用流量和压制背景和非关键业务流量）
    3、Wi-Fi感知CSI
RoF2.0：
    效果优化</t>
  </si>
  <si>
    <t>质量&amp;精品化</t>
  </si>
  <si>
    <t>AP稳定性问题</t>
  </si>
  <si>
    <t>AP稳定性问题
排障提效：
    便捷收集日志；
    远程抓取空口包；
AP高可用：
    FW Recover快速恢复</t>
  </si>
  <si>
    <t>AP稳定性问题
精品化需求
    配置6G频段
    国家码更新</t>
  </si>
  <si>
    <t>新硬件</t>
  </si>
  <si>
    <t>Wi-Fi7 室外外置天线
Wi-Fi7 室外三射频
Wi-Fi7 旗舰版</t>
  </si>
  <si>
    <t>低成本Sensor模块？</t>
  </si>
  <si>
    <t>国产化 Wi-Fi7</t>
  </si>
  <si>
    <t>技术攻坚</t>
  </si>
  <si>
    <t>通过Wi-Fi新特性，优化无线体验
AI网优算法
Wi-Fi感知（通过Sensor模块感知）</t>
  </si>
  <si>
    <t>RoF零中断效果增强
漫游效果优化
AP高可用预研
AP排障提效</t>
  </si>
  <si>
    <t>控制器智能化</t>
  </si>
  <si>
    <t>责任田</t>
  </si>
  <si>
    <t>维度</t>
  </si>
  <si>
    <t>核心目标</t>
  </si>
  <si>
    <t>维度细分</t>
  </si>
  <si>
    <t>当前现状</t>
  </si>
  <si>
    <t>无线体验团队
张义军</t>
  </si>
  <si>
    <t>客户体验指标的直接 Owner，负责无线体验从 “能用” 到 “好用” 的核心突破</t>
  </si>
  <si>
    <t>客户满意度
（价值 + 质量）</t>
  </si>
  <si>
    <t>解决客户 “卡、慢、断、漫游差” 的核心痛点，体验指标达到行业标杆水平</t>
  </si>
  <si>
    <t>漫游效果：
1、当前漫游不支持KVR协议，漫游效果较差，存在漫游粘滞、漫游丢包/漫游时机/切换速度、负载均衡(射频间/AP间、人数/流量/空口负载)、远端接入、乒乓漫游、漫游画像/漫游兼容性；
自适应网优：
1、自适应网优效果不达预期，外面不敢使用；
2、部分网优场景调整不合理，太保守；</t>
  </si>
  <si>
    <t>1、无线体验版本会优化漫游粘滞问题；
2、一定程度优化负载问题；
自适应网优算法优化
管理帧深度优化
数据帧深度优化
无感网优
智能带宽
1、自适应1.0已有一套网优算法，但效果待定；
隐藏节点改善</t>
  </si>
  <si>
    <t>效率</t>
  </si>
  <si>
    <t>提升体验优化的交付效率与问题闭环效率</t>
  </si>
  <si>
    <t>打造懂客户场景、能解决复杂体验问题的专业团队</t>
  </si>
  <si>
    <t>1、培养团队关键岗位的备份：TL备份和核心骨干备份；
2、团队内每月 1 次体验优化技术复盘，输出可复用的优化思路</t>
  </si>
  <si>
    <t>质量团队
王桥友</t>
  </si>
  <si>
    <t>产品质量与稳定性的底线守护者，负责解决历史问题、推动产品精品化</t>
  </si>
  <si>
    <t>解决历史遗留质量问题，实现产品精品化，提升客户对产品稳定性的信任度</t>
  </si>
  <si>
    <t>提升质量问题的发现、处理与闭环效率</t>
  </si>
  <si>
    <t>1. 工具提效：完善日志收集、远程抓包工具，问题定位时长缩短≥40%
2. 流程提效：建立TOP问题排查SOP，赋能技服，提高问题处理效率，降低超期率；</t>
  </si>
  <si>
    <t>打造专业的质量管控团队，沉淀可复用的质量保障能力</t>
  </si>
  <si>
    <t>1、能力沉淀：输出 AP 可靠性问题处理手册、故障恢复 SOP、精品化交付规范≥3 份
2、人才培养：TL的备份，培养 2-3 名核心质量骨干，具备独立处理复杂可靠性问题的能力</t>
  </si>
  <si>
    <t>硬件
王玉其</t>
  </si>
  <si>
    <t>Wi-Fi7 硬件能力的补齐者，负责硬件产品落地与国产化适配</t>
  </si>
  <si>
    <t>补齐 Wi-Fi7 硬件产品线和国产化信创，支撑客户下一代 Wi-Fi 网络建设需求</t>
  </si>
  <si>
    <t>提升硬件产品的适配、验证与交付效率</t>
  </si>
  <si>
    <t>1. AI赋能硬件适配，提高流程化的适配效率，降低适配的工作量；</t>
  </si>
  <si>
    <t>人才培养：培养 1-2 名国产化 Wi-Fi7 方案的核心负责人，具备独立推进适配项目的能力</t>
  </si>
  <si>
    <t>技术架构
赖国强</t>
  </si>
  <si>
    <t>架构/技术攻坚</t>
  </si>
  <si>
    <t>无线体验相关攻坚</t>
  </si>
  <si>
    <t>测试平台
陈伟剑</t>
  </si>
  <si>
    <t>测试基础平台</t>
  </si>
  <si>
    <t>CI/CD</t>
  </si>
  <si>
    <t>长期稳定性</t>
  </si>
  <si>
    <t>目标维度</t>
  </si>
  <si>
    <t>(O)目标定义</t>
  </si>
  <si>
    <t>（KR）关键成果</t>
  </si>
  <si>
    <t>关键里程碑</t>
  </si>
  <si>
    <t>竞争力维度
（无线体验优化）</t>
  </si>
  <si>
    <t>O1：围绕Sense芯片的产品形态优势，打造漫游无感知、环境自适应的差异化无线体验</t>
  </si>
  <si>
    <t>Action1：Q2完成当前KVR/LM/TPC版本的发布，补齐漫游短板； -- 无线体验团队
Action2：Q2制定漫游效果的评价标准，并且评价自身和友商当前的效果；数据来源（第三方机构漫游测试用例、客户POC测试用例、友商设备对比测试等） -- 测试负责人&amp;架构师
Aciont3：Q2找到当前未被满足的漫游痛点问题，结合Sense芯片能力，确定2~3个重点方向差异化场景方向调研； -- 架构师
Action4：Q3在技术方向上，围绕快速识别漫游时机，预测终端运动轨迹，品牌终端定制化优化，对KV协议支持不好的终端的漫游优化；
Action5：Q4完成竞品对比测试报告，形成可复用的技术优势方案；</t>
  </si>
  <si>
    <t>KR2：自适应网优达到专家调优质量，利用AI算法进行参数调优，质量达到专家手动调优的 ≥ 85%以上（网优评价系统）；环境变化后网络自动收敛时间 ≤ 15 分钟（无需人工干预）；</t>
  </si>
  <si>
    <t>Action1：Q2做竞品分析，研究主要竞品的网优效果和算法；
Action2：Q3架构师主导设计网优评价系统，通过网优评价系统，评价当前网络调整后的效果，保证POC测试和交付使用过程中的一致性；
Action3：Q4在技术方向上，优化调优算法，使用AI学习专家经验，提升自动网优效果；</t>
  </si>
  <si>
    <t>KR3：在企业办公场景下，与深信服产品应用、会议主机联动，形成无线与产品协同的优势，至少在1个产品上完成方案的融合集成，在对应场景下完成验证，形成可复制的解决方案；（关键应用保障和背景流量抑制）</t>
  </si>
  <si>
    <t>Action1：全面研究深信服全系售卖产品，产出与无线关联度分析的报告，维度包含但不限于：市场份额、客户群体、与无线关联程度、可结合的初步想法（痛点或亮点）
Action2：针对选择协同的目标深信服产品，深度调研其业务痛点，产出与无线融合的解决方案，打造突出的协同优势
Action3：完成融合解决方案的价值验证，推动内部版本立项，完成从需求到落地交付的全流程跟进；</t>
  </si>
  <si>
    <t>质量维度</t>
  </si>
  <si>
    <t>O2：消除无线影响满意度的关键问题，显著提升产品满意度</t>
  </si>
  <si>
    <t>KR1：预防：围绕客户使用场景，持续构建稳定性测试，实现问题"主动暴露"，减少缺陷流出率≥ 30%（客户侧首发现的缺陷占总缺陷比例）</t>
  </si>
  <si>
    <t>Action1：搭建多维度的稳定性测试环境，涵盖各型号AP及高并发、复杂用户行为、异常格式/协议的报文、强干扰等维度
Action2：分析已查明的网上问题或版本内的历史遗留问题，每月至少更新4个测试场景
Action3：分析网上问题中未查明的SDK相关和宕机的问题，复现及查明率大于50%</t>
  </si>
  <si>
    <t>KR2：容错：设备故障快速自愈，用户业务无感知，宕机类故障自动恢复成功率（无需人工干预，平均恢复时长 ≤ 10秒）达到 ≥ 70%</t>
  </si>
  <si>
    <t>KR3：响应：提高问题排查与信息收集效率，无线问题平均定位周期（从工单上报到根因确认）时间缩减30%</t>
  </si>
  <si>
    <t>KR4：赋能：与技术支持团队一起，覆盖TOP 5高频问题提供标准排障的SOP，赋能专家、400、技服，相关工单平均处理时长缩短 ≥ 30%</t>
  </si>
  <si>
    <t>Action1：Q2识别TOP5的高频问题，启动SOP的编写，完成3个SOP，开始试点；
Action2：Q3完成5个SOP的编写，并且全年推广；
Action3：Q4工单处理时长缩短30%，持续优化SOP；</t>
  </si>
  <si>
    <t>AI-Native转型</t>
  </si>
  <si>
    <t>O3：AI Coding提高整体团队的全流程的开发效能，整体提效50%，项目周期缩短25%</t>
  </si>
  <si>
    <t>KR1：需求开发方向：AI工具深度覆盖开发全流程，产出可复用最佳实践，管理类需求AI Coding 全流程覆盖率 ≥ 80%（全流程 AI 参与）；转发类需求全流程AI覆盖率≥ 50%；年度产出需求开发 AI 最佳实践 ≥ 3 份</t>
  </si>
  <si>
    <t>Action1：Q2管理类需求覆盖率 60%，转发类需求覆盖率 30%，产出 1 份最佳实践
Action2：Q3管理类需求覆盖率 70%，转发类需求覆盖率 40%，产出第 2 份最佳实践
Action3：Q4管理类需求覆盖率 ≥ 80%，转发类需求覆盖率 ≥ 50%，产出第 3 份最佳实践</t>
  </si>
  <si>
    <t>KR2：项目流程管理方向：AI 工具渗透项目全生命周期，产出可复制流程模板，AI 辅助任务估算准确率提升 ≥ 30%（实际工时与估算偏差缩小）；项目风险 AI 提前识别率 ≥ 60%（影响交付前被识别），年度产出项目流程管理 AI 最佳实践 ≥ 2 套；</t>
  </si>
  <si>
    <t>Action1：Q2估算准确率提升 15%，风险识别率 40%，产出 1 套最佳实践
Action2：Q3估算准确率提升 25%，风险识别率 50%
Action3：Q4估算准确率提升 ≥ 30%，风险识别率 ≥ 60%，产出第 2 套最佳实践</t>
  </si>
  <si>
    <t>KR3：疑难排查方向：AI 辅助定位根因，提升疑难问题发现与解决效率，疑难问题（P0/P1级缺陷/宕机）平均根因确认时间缩短 ≥ 40%；AI 辅助根因分析人工采纳率 ≥ 60%；产出疑难排查 AI 最佳实践 ≥ 1个</t>
  </si>
  <si>
    <t>Action1：Q2根因确认时间缩短 20%，采纳率 40%
Action2：Q3根因确认时间缩短 30%，采纳率 50%
Action3：Q4根因确认时间缩短 ≥ 40%，采纳率 ≥ 60%，产出最佳实践</t>
  </si>
  <si>
    <t>组织建设</t>
  </si>
  <si>
    <t>O4：打造一支既懂客户又能攻坚克难的团队</t>
  </si>
  <si>
    <t>KR1：产线/规划人员，深度理解客户，将用户洞察转化为产品改进，每季度深度走访/访谈客户 ≥ 3 次，每次形成结构化洞察报告；年度累计转化为产品需求或改进输入 ≥ 4 项</t>
  </si>
  <si>
    <t>KR2：架构师/TL，深入项目一线，在关键场景建立技术认可，每季度参与关键客户PoC或技术交流 ≥ 2次，支撑的PoC项目结果有明显的技术优势，输出可供一线引用的竞争场景技术优势材料 ≥ 2 份</t>
  </si>
  <si>
    <t>KR3：4月30日前架构师完成产品竞争力技术攻坚任务清单（含优先级、负责人、可验证标准），每季度在团队内部开展技术攻关或前沿技术研究 ≥ 1 次（团队高 T 负责承接），输出技术方案或原型验证，推动团队技术能力提升；年度内至少完成 1 项可落地的创新技术方案，并在产品或项目中应用验证</t>
  </si>
  <si>
    <t>KR4：Q3 前关键岗位 100% 完成 1:2 后备培养（含 ≥ 1 名年轻后备），核心需求开发中年轻人员参与比例从当前 20% 提升至 40%</t>
  </si>
  <si>
    <t>当前做的事情，是否在我们的目标市场，目标客户上具备竞争力。</t>
  </si>
  <si>
    <t>KR1：推进内部实验室建设，推进无线工具的一体化建设，通过原子化业务来实现宕机的无线业务测试保障</t>
  </si>
  <si>
    <t>KR2：以新WTP为抓手构建「协议异常流量注入」，初步建立「终端行为仿真」</t>
  </si>
  <si>
    <t>O2：无线产品全场景可靠性测试能力建设，新交付产品主场景零质量问题，年度 POC 测试通过率≥90%（无线体验功能的测试能力建设，建立无线体验质量保障举措）</t>
  </si>
  <si>
    <t>KR1：提升客户环境需求匹配度，建设客户资料，包含客户信息、测试需求、poc测试问题等，通过客户资料补齐日常测试验证保障</t>
  </si>
  <si>
    <t>KR2：客户化环境模拟，推进A1的无线环境纳入客户化环境建设中，稳步建设体验类的测试能力</t>
  </si>
  <si>
    <t>KR3：完成TOP10长尾问题的“故障模式知识图谱”，支撑预测性测试</t>
  </si>
  <si>
    <t>O3：DFX无线产品落地本地化适配应用，构建无线DFX能力</t>
  </si>
  <si>
    <t>KR1：结合AI for DFX，本地化无线产品，了解核心思路，承接dfx的测试思维，推进无线的dfx建设</t>
  </si>
  <si>
    <t>O1：组织活力建设，保障组织能力正向循环</t>
  </si>
  <si>
    <t>KR1：部门测试活动的分层化建设，保障测试能力和测试活动相匹配</t>
  </si>
  <si>
    <t>KR2：小团队化能力渗透，通过单点的优秀者带领团队优秀</t>
  </si>
  <si>
    <t>O2：适应AI要求的组织能力转型，推进AI的全员使用</t>
  </si>
  <si>
    <t>KR1：AI 驱动测试改进参与度 100%，每人年度参与不少于 1 个 AI 创新课题，提升AI在过程绩效的评判占比</t>
  </si>
  <si>
    <t>KR2：培养 1-2 名 AI 布道师，年度输出不少于 2 个可复用的 AI 测试成果</t>
  </si>
  <si>
    <t>KR3：突破不少于 3 个部门级 AI 测试技术难题，100% 完成落地验收</t>
  </si>
  <si>
    <t>O1：通过AI的引入提高整体团队的测试全流程效能，整体提效50%</t>
  </si>
  <si>
    <t>KR1：组织建设责任化，通过小团队内的能力进行AI效能孵化，年度整体的节点的效能产出不低于10个</t>
  </si>
  <si>
    <t>KR2：核心测试活动的AI运用落地探索：
AI辅助测试用例生成 
AI进行自动化生成执行 
AI进行执行分析</t>
  </si>
  <si>
    <t>KR3：部门基础数据建设，建设有效性数据实现部门流程的AI推进，同事通过数据化管理精准识别效能问题，推进问题解决</t>
  </si>
  <si>
    <t>开发（人月）</t>
  </si>
  <si>
    <t>测试（人月）</t>
  </si>
  <si>
    <t>1、处理历史遗留的影响使用问题；
2、提高客户现场排障效率和便捷性，日志信息收集、远程抓包；
3、AP高可用，异常快速恢复能力，FW Recover快速恢复；
4、精品化需求：国家码更新、软件功能支持6G;</t>
  </si>
  <si>
    <t>持续投入，Q3和Q4
发布两个质量版本</t>
  </si>
  <si>
    <t>Wi-Fi室外和旗舰
1、Wi-Fi7外置天线室外
2、Wi-Fi7室外三射频
3、Wi-Fi7旗舰
4、供应问题处理（备料适配）</t>
  </si>
  <si>
    <t>2026年Q2</t>
  </si>
  <si>
    <t>2027年Q1</t>
  </si>
  <si>
    <t>探索，创新</t>
  </si>
  <si>
    <t>计划人力（人月）</t>
  </si>
  <si>
    <t>计划人力</t>
  </si>
  <si>
    <t>实际人力</t>
  </si>
  <si>
    <t>偏差</t>
  </si>
  <si>
    <t>研发投资地图</t>
  </si>
  <si>
    <t>战场</t>
  </si>
  <si>
    <t>人力</t>
  </si>
  <si>
    <t>补齐后人力</t>
  </si>
  <si>
    <t>补齐后占比</t>
  </si>
  <si>
    <t>核心价值</t>
  </si>
  <si>
    <t>RoF</t>
  </si>
  <si>
    <t>质量满意度</t>
  </si>
  <si>
    <t>探索&amp;创新</t>
  </si>
  <si>
    <t>总人数</t>
  </si>
  <si>
    <t>主导部门</t>
  </si>
  <si>
    <t>协作部门</t>
  </si>
  <si>
    <t>协作项</t>
  </si>
  <si>
    <t>协作项完成时间</t>
  </si>
  <si>
    <t>合入版本的发布时间</t>
  </si>
  <si>
    <t>主导部门合入版本</t>
  </si>
  <si>
    <t>是否达成一致</t>
  </si>
  <si>
    <t>是否完成</t>
  </si>
  <si>
    <t>协作接口人</t>
  </si>
  <si>
    <t>责任人
（产线主管）</t>
  </si>
  <si>
    <t>状态</t>
  </si>
  <si>
    <t>无线</t>
  </si>
  <si>
    <t>硬件开发</t>
  </si>
  <si>
    <t>【硬件导入】RoF智恒星产品</t>
  </si>
  <si>
    <t>是</t>
  </si>
  <si>
    <t>供应链</t>
  </si>
  <si>
    <t>【硬件导入】RoF智恒星产品生产小批量、批量</t>
  </si>
  <si>
    <t>【硬件导入】NAP-8227(SR)-EA外置天线版本</t>
  </si>
  <si>
    <t>3.16.1</t>
  </si>
  <si>
    <t>已完成</t>
  </si>
  <si>
    <t>【硬件导入】NAP-8537(SR)室外三射频</t>
  </si>
  <si>
    <t>【硬件导入】NAP-5937(SR) 旗舰</t>
  </si>
  <si>
    <t>【硬件导入】国产化Wi-Fi7</t>
  </si>
  <si>
    <t>【供应保障】物料替换</t>
  </si>
  <si>
    <t>【版本开发】PHP和JS资源投入</t>
  </si>
  <si>
    <t>控制器</t>
  </si>
  <si>
    <t>【智能化】控制器AI Native项目</t>
  </si>
  <si>
    <t>NA</t>
  </si>
  <si>
    <t>否</t>
  </si>
  <si>
    <r>
      <rPr>
        <b val="false"/>
        <i val="false"/>
        <strike val="false"/>
        <color rgb="FF000000"/>
        <sz val="10"/>
        <u val="none"/>
      </rPr>
      <t>无线体验优化1.0：</t>
    </r>
    <r>
      <rPr>
        <b val="true"/>
        <i val="false"/>
        <strike val="false"/>
        <color rgb="FFFF0000"/>
        <sz val="10"/>
        <u val="none"/>
      </rPr>
      <t>（是否可以达到业内第一梯队）</t>
    </r>
    <r>
      <rPr>
        <b val="false"/>
        <i val="false"/>
        <strike val="false"/>
        <color rgb="FF000000"/>
        <sz val="10"/>
        <u val="none"/>
      </rPr>
      <t xml:space="preserve">
    漫游优化（KVR/LM/TPC)
    智能带宽
    分布式认证
    负载均衡
RoF2.0：
    效果优化</t>
    </r>
  </si>
  <si>
    <r>
      <rPr>
        <b val="true"/>
        <i val="false"/>
        <strike val="false"/>
        <color rgb="FF000000"/>
        <sz val="10"/>
        <u val="none"/>
      </rPr>
      <t>价值满意度：</t>
    </r>
    <r>
      <rPr>
        <b val="false"/>
        <i val="false"/>
        <strike val="false"/>
        <color rgb="FF000000"/>
        <sz val="10"/>
        <u val="none"/>
      </rPr>
      <t xml:space="preserve">
1、交付无线体验1.0（7 月）：漫游优化、智能带宽保障、分布式认证、负载均衡上线，效果与主流厂商持平；
2、交付无线体验2.0（12 月前）：自适应网优、场景化网优、流量保障 / 压制、Wi-Fi 感知能力落地，做到与主流友商体验持平，部分场景有差异化优势；
</t>
    </r>
    <r>
      <rPr>
        <b val="true"/>
        <i val="false"/>
        <strike val="false"/>
        <color rgb="FF000000"/>
        <sz val="10"/>
        <u val="none"/>
      </rPr>
      <t>质量满意度：</t>
    </r>
    <r>
      <rPr>
        <b val="false"/>
        <i val="false"/>
        <strike val="false"/>
        <color rgb="FF000000"/>
        <sz val="10"/>
        <u val="none"/>
      </rPr>
      <t xml:space="preserve">
体验优化功能上线后，不引入新的稳定性问题（新功能引发的故障数 = 0）</t>
    </r>
  </si>
  <si>
    <r>
      <rPr>
        <b val="true"/>
        <i val="false"/>
        <strike val="false"/>
        <color rgb="FF000000"/>
        <sz val="10"/>
        <u val="none"/>
      </rPr>
      <t>价值满意度：</t>
    </r>
    <r>
      <rPr>
        <b val="false"/>
        <i val="false"/>
        <strike val="false"/>
        <color rgb="FF000000"/>
        <sz val="10"/>
        <u val="none"/>
      </rPr>
      <t xml:space="preserve">
1、26 年 Q3/Q4 完成 AP 历史遗留可靠性问题处理，因历史问题导致的客户投诉下降≥40%
2、完成 6G 频段配置、射频参数可配置、国家码更新等精品化能力交付，满足客户复杂组网需求
</t>
    </r>
    <r>
      <rPr>
        <b val="true"/>
        <i val="false"/>
        <strike val="false"/>
        <color rgb="FF000000"/>
        <sz val="10"/>
        <u val="none"/>
      </rPr>
      <t>质量满意度：</t>
    </r>
    <r>
      <rPr>
        <b val="false"/>
        <i val="false"/>
        <strike val="false"/>
        <color rgb="FF000000"/>
        <sz val="10"/>
        <u val="none"/>
      </rPr>
      <t xml:space="preserve">
1、建立完善的信息收集与恢复机制（日志收集、远程抓包、FW Recover 快速恢复），宕机类故障自动恢复成功率（无需人工干预，平均恢复时长 ≤ 10秒）达到 ≥ 70%
2、全年重大质量事故数，提高问题排查的效率，降低超时问题数；</t>
    </r>
  </si>
  <si>
    <r>
      <rPr>
        <b val="true"/>
        <i val="false"/>
        <strike val="false"/>
        <color rgb="FF000000"/>
        <sz val="10"/>
        <u val="none"/>
      </rPr>
      <t>价值满意度：</t>
    </r>
    <r>
      <rPr>
        <b val="false"/>
        <i val="false"/>
        <strike val="false"/>
        <color rgb="FF000000"/>
        <sz val="10"/>
        <u val="none"/>
      </rPr>
      <t xml:space="preserve">
1、完成 Wi-Fi7 室外 AP、旗舰 AP 产品落地，满足客户不同场景的 Wi-Fi7 组网需求
2、推进国产化 Wi-Fi7 方案适配，满足客户国产化替代的业务需求
</t>
    </r>
    <r>
      <rPr>
        <b val="true"/>
        <i val="false"/>
        <strike val="false"/>
        <color rgb="FF000000"/>
        <sz val="10"/>
        <u val="none"/>
      </rPr>
      <t>质量满意度：</t>
    </r>
    <r>
      <rPr>
        <b val="false"/>
        <i val="false"/>
        <strike val="false"/>
        <color rgb="FF000000"/>
        <sz val="10"/>
        <u val="none"/>
      </rPr>
      <t xml:space="preserve">
1、无重大质量问题；</t>
    </r>
  </si>
  <si>
    <r>
      <rPr>
        <rFont val="Microsoft YaHei"/>
        <b val="false"/>
        <i val="false"/>
        <strike val="false"/>
        <color rgb="FF000000"/>
        <sz val="10"/>
        <u val="none"/>
      </rPr>
      <t>KR1：在重点行业（移动办公、移动医护、制造业AGV）的漫游效果，达到行业第一梯队（竞品漫游效果对比测试，在项目中PK测试），</t>
    </r>
    <r>
      <rPr>
        <rFont val="Microsoft YaHei"/>
        <b val="true"/>
        <i val="false"/>
        <strike val="false"/>
        <color rgb="FF000000"/>
        <sz val="10"/>
        <u val="none"/>
      </rPr>
      <t>围绕Sense芯片</t>
    </r>
    <r>
      <rPr>
        <rFont val="Microsoft YaHei"/>
        <b val="false"/>
        <i val="false"/>
        <strike val="false"/>
        <color rgb="FF000000"/>
        <sz val="10"/>
        <u val="none"/>
      </rPr>
      <t>能力找到至少2个差异化的场景并形成可验证优势；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</si>
  <si>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Action1：FW异常后业务恢复时间缩短到3s（原25-35s）
Action2：搭建FW异常自恢复机制的测试环境，FW自恢复后的业务故障率为0%
</t>
    </r>
    <r>
      <rPr>
        <rFont val="Microsoft YaHei"/>
        <b val="false"/>
        <i val="false"/>
        <strike val="false"/>
        <color rgb="FF2972F4"/>
        <sz val="10"/>
        <u val="none"/>
      </rPr>
      <t>Action3：推动稳定性版本落地+客户侧升级推进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</si>
  <si>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Action1：Q2建立问题分析的工具集，需要开发的功能完成需求设计，远程抓包和便捷收集日志信息，客户侧可以直接操作日志，提高日志收集的效率；
Action2：Q3在产品中落地工具，持续跟踪工具的使用效果；
</t>
    </r>
    <r>
      <rPr>
        <rFont val="Microsoft YaHei"/>
        <b val="false"/>
        <i val="false"/>
        <strike val="false"/>
        <color rgb="FF2972F4"/>
        <sz val="10"/>
        <u val="none"/>
      </rPr>
      <t>Action3：推动历史问题的建设。缩短老问题的排查周期</t>
    </r>
  </si>
  <si>
    <r>
      <rPr>
        <b val="false"/>
        <i val="false"/>
        <strike val="true"/>
        <color rgb="FF000000"/>
        <sz val="10"/>
        <u val="none"/>
      </rPr>
      <t>O1：AP 宕机类问题内部发现比例≥80%，客户侧的宕机问题，内部复现成功率 ≥80%</t>
    </r>
    <r>
      <rPr>
        <b val="false"/>
        <i val="false"/>
        <strike val="false"/>
        <color rgb="FF2972F4"/>
        <sz val="10"/>
        <u val="none"/>
      </rPr>
      <t xml:space="preserve">
O1：AP 长尾问题内部发现比例≥80%，客户侧的问题，内部复现成功率 ≥70%</t>
    </r>
  </si>
</sst>
</file>

<file path=xl/styles.xml><?xml version="1.0" encoding="utf-8"?>
<styleSheet xmlns="http://schemas.openxmlformats.org/spreadsheetml/2006/main">
  <numFmts count="2">
    <numFmt numFmtId="300" formatCode="yyyy&quot;年&quot;m&quot;月&quot;;@"/>
    <numFmt numFmtId="301" formatCode="yyyy/m/d;@"/>
  </numFmts>
  <fonts count="1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sz val="10"/>
    </font>
    <font>
      <sz val="10"/>
    </font>
    <font>
      <name val="Microsoft YaHei"/>
      <sz val="9"/>
    </font>
    <font>
      <name val="宋体"/>
      <sz val="11"/>
    </font>
    <font>
      <name val="宋体"/>
      <sz val="12"/>
    </font>
    <font>
      <sz val="9"/>
    </font>
    <font>
      <name val="Microsoft YaHei"/>
      <b val="true"/>
      <sz val="9"/>
    </font>
    <font>
      <name val="宋体"/>
      <b val="true"/>
      <sz val="11"/>
    </font>
    <font/>
    <font/>
    <font>
      <name val="Microsoft YaHei"/>
      <b val="true"/>
    </font>
    <font>
      <name val="Microsoft YaHei"/>
    </font>
    <font>
      <strike val="true"/>
    </font>
    <font>
      <color rgb="FF2972F4"/>
    </font>
    <font>
      <name val="等线"/>
      <b val="true"/>
    </font>
    <font>
      <name val="等线"/>
      <b val="true"/>
      <sz val="10"/>
    </font>
  </fonts>
  <fills count="8">
    <fill>
      <patternFill patternType="none"/>
    </fill>
    <fill>
      <patternFill patternType="gray125"/>
    </fill>
    <fill>
      <patternFill patternType="solid">
        <fgColor rgb="FFFFCC99"/>
        <bgColor auto="true"/>
      </patternFill>
    </fill>
    <fill>
      <patternFill patternType="solid">
        <fgColor rgb="FFFFCC99"/>
        <bgColor auto="true"/>
      </patternFill>
    </fill>
    <fill>
      <patternFill patternType="solid">
        <fgColor rgb="FF99CCFF"/>
        <bgColor auto="true"/>
      </patternFill>
    </fill>
    <fill>
      <patternFill patternType="solid">
        <fgColor rgb="FF99CCFF"/>
        <bgColor auto="true"/>
      </patternFill>
    </fill>
    <fill>
      <patternFill patternType="solid">
        <fgColor rgb="FFFFFFCC"/>
        <bgColor auto="true"/>
      </patternFill>
    </fill>
    <fill>
      <patternFill patternType="solid">
        <fgColor rgb="FFFFFFCC"/>
        <bgColor auto="tru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>
    <xf numFmtId="0" fontId="0" fillId="0" borderId="0" xfId="0">
      <alignment vertical="center"/>
    </xf>
  </cellStyleXfs>
  <cellXfs count="1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 wrapText="true"/>
    </xf>
    <xf numFmtId="0" fontId="3" fillId="3" borderId="1" xfId="0">
      <alignment horizontal="center" vertical="center" textRotation="0" wrapText="true"/>
    </xf>
    <xf fontId="4" fillId="0" borderId="0" xfId="0">
      <alignment vertical="center"/>
    </xf>
    <xf numFmtId="0" fontId="5" fillId="0" borderId="1" xfId="0">
      <alignment vertical="center" textRotation="0"/>
    </xf>
    <xf numFmtId="0" fontId="5" fillId="0" borderId="1" xfId="0">
      <alignment vertical="center" textRotation="0" wrapText="true"/>
    </xf>
    <xf numFmtId="300" fontId="5" fillId="0" borderId="1" xfId="0">
      <alignment horizontal="center" vertical="center" textRotation="0"/>
    </xf>
    <xf numFmtId="10" fontId="5" fillId="0" borderId="1" xfId="0">
      <alignment horizontal="right" vertical="center" textRotation="0"/>
    </xf>
    <xf numFmtId="0" fontId="5" fillId="0" borderId="1" xfId="0">
      <alignment horizontal="right" vertical="center" textRotation="0"/>
    </xf>
    <xf fontId="5" fillId="0" borderId="1" xfId="0">
      <alignment vertical="center" textRotation="0"/>
    </xf>
    <xf fontId="0" fillId="0" borderId="1" xfId="0">
      <alignment vertical="center"/>
    </xf>
    <xf fontId="5" fillId="0" borderId="2" xfId="0">
      <alignment vertical="center" textRotation="0"/>
    </xf>
    <xf numFmtId="0" fontId="5" fillId="0" borderId="3" xfId="0">
      <alignment horizontal="right" vertical="center" textRotation="0"/>
    </xf>
    <xf numFmtId="0" fontId="6" fillId="0" borderId="1" xfId="0">
      <alignment horizontal="center" vertical="center" textRotation="0"/>
    </xf>
    <xf numFmtId="0" fontId="7" fillId="0" borderId="1" xfId="0">
      <alignment horizontal="center" vertical="center" textRotation="0"/>
    </xf>
    <xf numFmtId="0" fontId="7" fillId="0" borderId="1" xfId="0">
      <alignment vertical="center" textRotation="0"/>
    </xf>
    <xf fontId="5" fillId="0" borderId="4" xfId="0">
      <alignment vertical="center" textRotation="0"/>
    </xf>
    <xf fontId="5" fillId="0" borderId="1" xfId="0">
      <alignment horizontal="right" vertical="center" textRotation="0"/>
    </xf>
    <xf fontId="5" fillId="0" borderId="1" xfId="0">
      <alignment horizontal="center" vertical="center" textRotation="0"/>
    </xf>
    <xf numFmtId="0" fontId="5" fillId="0" borderId="1" xfId="0">
      <alignment horizontal="center" vertical="center" textRotation="0"/>
    </xf>
    <xf numFmtId="0" fontId="5" fillId="0" borderId="5" xfId="0">
      <alignment vertical="center" textRotation="0"/>
    </xf>
    <xf fontId="5" fillId="0" borderId="5" xfId="0">
      <alignment horizontal="center" vertical="center" textRotation="0"/>
    </xf>
    <xf fontId="5" fillId="0" borderId="5" xfId="0">
      <alignment vertical="center" textRotation="0"/>
    </xf>
    <xf numFmtId="0" fontId="5" fillId="0" borderId="5" xfId="0">
      <alignment horizontal="center" vertical="center" textRotation="0"/>
    </xf>
    <xf fontId="0" fillId="0" borderId="6" xfId="0">
      <alignment vertical="center"/>
    </xf>
    <xf numFmtId="0" fontId="5" fillId="0" borderId="4" xfId="0">
      <alignment vertical="center" textRotation="0"/>
    </xf>
    <xf fontId="5" fillId="0" borderId="4" xfId="0">
      <alignment horizontal="center" vertical="center" textRotation="0"/>
    </xf>
    <xf numFmtId="0" fontId="5" fillId="0" borderId="4" xfId="0">
      <alignment horizontal="center" vertical="center" textRotation="0"/>
    </xf>
    <xf numFmtId="0" fontId="5" fillId="0" borderId="7" xfId="0">
      <alignment vertical="center" textRotation="0"/>
    </xf>
    <xf fontId="5" fillId="0" borderId="7" xfId="0">
      <alignment vertical="center" textRotation="0"/>
    </xf>
    <xf numFmtId="0" fontId="5" fillId="0" borderId="7" xfId="0">
      <alignment horizontal="center" vertical="center" textRotation="0"/>
    </xf>
    <xf numFmtId="0" fontId="5" fillId="0" borderId="2" xfId="0">
      <alignment vertical="center" textRotation="0"/>
    </xf>
    <xf numFmtId="0" fontId="5" fillId="0" borderId="2" xfId="0">
      <alignment horizontal="right" vertical="center" textRotation="0"/>
    </xf>
    <xf fontId="5" fillId="0" borderId="0" xfId="0">
      <alignment vertical="center" textRotation="0"/>
    </xf>
    <xf fontId="5" fillId="0" borderId="0" xfId="0">
      <alignment vertical="center"/>
    </xf>
    <xf fontId="5" fillId="0" borderId="1" xfId="0">
      <alignment vertical="center"/>
    </xf>
    <xf fontId="8" fillId="0" borderId="0" xfId="0">
      <alignment vertical="center"/>
    </xf>
    <xf fontId="9" fillId="4" borderId="1" xfId="0">
      <alignment horizontal="center" vertical="center"/>
    </xf>
    <xf fontId="10" fillId="5" borderId="1" xfId="0">
      <alignment horizontal="center" vertical="center"/>
    </xf>
    <xf fontId="9" fillId="0" borderId="0" xfId="0">
      <alignment vertical="center"/>
    </xf>
    <xf fontId="9" fillId="5" borderId="1" xfId="0">
      <alignment vertical="center"/>
    </xf>
    <xf numFmtId="300" fontId="9" fillId="5" borderId="1" xfId="0">
      <alignment vertical="center"/>
    </xf>
    <xf fontId="5" fillId="0" borderId="1" xfId="0">
      <alignment vertical="center"/>
    </xf>
    <xf fontId="5" fillId="0" borderId="1" xfId="0">
      <alignment vertical="top" wrapText="true"/>
    </xf>
    <xf numFmtId="0" fontId="5" fillId="0" borderId="1" xfId="0">
      <alignment vertical="center"/>
    </xf>
    <xf fontId="5" fillId="0" borderId="2" xfId="0">
      <alignment vertical="center"/>
    </xf>
    <xf fontId="5" fillId="0" borderId="2" xfId="0">
      <alignment vertical="top" wrapText="true"/>
    </xf>
    <xf fontId="5" fillId="0" borderId="2" xfId="0">
      <alignment vertical="center"/>
    </xf>
    <xf fontId="5" fillId="0" borderId="5" xfId="0">
      <alignment vertical="center"/>
    </xf>
    <xf fontId="5" fillId="0" borderId="5" xfId="0">
      <alignment vertical="top" wrapText="true"/>
    </xf>
    <xf fontId="5" fillId="0" borderId="5" xfId="0">
      <alignment vertical="center"/>
    </xf>
    <xf fontId="0" fillId="0" borderId="0" xfId="0">
      <alignment vertical="center" wrapText="true"/>
    </xf>
    <xf fontId="0" fillId="0" borderId="1" xfId="0">
      <alignment vertical="center"/>
    </xf>
    <xf fontId="0" fillId="0" borderId="1" xfId="0">
      <alignment vertical="center" textRotation="0" indent="0" justifyLastLine="false" shrinkToFit="false"/>
    </xf>
    <xf fontId="0" fillId="0" borderId="1" xfId="0">
      <alignment vertical="center" wrapText="true"/>
    </xf>
    <xf fontId="11" fillId="0" borderId="1" xfId="0">
      <alignment vertical="center" textRotation="0" wrapText="true" indent="0" justifyLastLine="false" shrinkToFit="false"/>
    </xf>
    <xf fontId="0" fillId="0" borderId="4" xfId="0">
      <alignment vertical="center" textRotation="0" indent="0" justifyLastLine="false" shrinkToFit="false"/>
    </xf>
    <xf fontId="4" fillId="0" borderId="4" xfId="0">
      <alignment vertical="center" textRotation="0" wrapText="true" indent="0" justifyLastLine="false" shrinkToFit="false"/>
    </xf>
    <xf fontId="0" fillId="0" borderId="0" xfId="0">
      <alignment vertical="center"/>
    </xf>
    <xf fontId="4" fillId="0" borderId="1" xfId="0">
      <alignment vertical="center" textRotation="0" wrapText="true" indent="0" justifyLastLine="false" shrinkToFit="false"/>
    </xf>
    <xf fontId="0" fillId="0" borderId="1" xfId="0">
      <alignment vertical="center" textRotation="0" wrapText="true" indent="0" justifyLastLine="false" shrinkToFit="false"/>
    </xf>
    <xf fontId="12" fillId="0" borderId="1" xfId="0">
      <alignment vertical="center" wrapText="true"/>
    </xf>
    <xf fontId="0" fillId="0" borderId="0" xfId="0">
      <alignment vertical="center" textRotation="0" wrapText="true" indent="0" justifyLastLine="false" shrinkToFit="false"/>
    </xf>
    <xf fontId="4" fillId="0" borderId="0" xfId="0">
      <alignment vertical="center" textRotation="0" wrapText="true" indent="0" justifyLastLine="false" shrinkToFit="false"/>
    </xf>
    <xf fontId="0" fillId="0" borderId="2" xfId="0">
      <alignment vertical="center" textRotation="0" wrapText="true" indent="0" justifyLastLine="false" shrinkToFit="false"/>
    </xf>
    <xf fontId="0" fillId="0" borderId="8" xfId="0">
      <alignment vertical="center"/>
    </xf>
    <xf fontId="0" fillId="0" borderId="2" xfId="0">
      <alignment vertical="center" wrapText="true"/>
    </xf>
    <xf fontId="12" fillId="0" borderId="1" xfId="0">
      <alignment vertical="center" textRotation="0" wrapText="true" indent="0" justifyLastLine="false" shrinkToFit="false"/>
    </xf>
    <xf fontId="13" fillId="6" borderId="1" xfId="0">
      <alignment horizontal="center" vertical="center" wrapText="true"/>
    </xf>
    <xf fontId="13" fillId="7" borderId="1" xfId="0">
      <alignment horizontal="center" vertical="center" wrapText="true"/>
    </xf>
    <xf fontId="13" fillId="6" borderId="2" xfId="0">
      <alignment horizontal="center" vertical="center" wrapText="true"/>
    </xf>
    <xf fontId="3" fillId="0" borderId="1" xfId="0">
      <alignment horizontal="center" vertical="center" wrapText="true"/>
    </xf>
    <xf fontId="3" fillId="0" borderId="1" xfId="0">
      <alignment vertical="center" wrapText="true"/>
    </xf>
    <xf fontId="14" fillId="0" borderId="3" xfId="0">
      <alignment vertical="center" wrapText="true"/>
    </xf>
    <xf fontId="14" fillId="0" borderId="1" xfId="0">
      <alignment vertical="center" wrapText="true"/>
    </xf>
    <xf fontId="4" fillId="0" borderId="1" xfId="0">
      <alignment horizontal="center" vertical="center" wrapText="true"/>
    </xf>
    <xf fontId="4" fillId="0" borderId="1" xfId="0">
      <alignment vertical="center" wrapText="true"/>
    </xf>
    <xf fontId="14" fillId="0" borderId="2" xfId="0">
      <alignment vertical="center" wrapText="true"/>
    </xf>
    <xf fontId="14" fillId="0" borderId="1" xfId="0">
      <alignment horizontal="center" vertical="center" wrapText="true"/>
    </xf>
    <xf fontId="14" fillId="0" borderId="4" xfId="0">
      <alignment vertical="center" wrapText="true"/>
    </xf>
    <xf fontId="14" fillId="0" borderId="2" xfId="0">
      <alignment horizontal="center" vertical="center" wrapText="true"/>
    </xf>
    <xf fontId="14" fillId="0" borderId="1" xfId="0">
      <alignment vertical="center"/>
    </xf>
    <xf fontId="0" fillId="0" borderId="1" xfId="0">
      <alignment horizontal="center" vertical="center" wrapText="true"/>
    </xf>
    <xf fontId="15" fillId="0" borderId="2" xfId="0">
      <alignment vertical="center" wrapText="true"/>
    </xf>
    <xf fontId="16" fillId="0" borderId="1" xfId="0">
      <alignment vertical="center"/>
    </xf>
    <xf fontId="0" fillId="0" borderId="2" xfId="0">
      <alignment vertical="center"/>
    </xf>
    <xf numFmtId="0" fontId="3" fillId="3" borderId="3" xfId="0">
      <alignment horizontal="center" vertical="center" textRotation="0" wrapText="true"/>
    </xf>
    <xf numFmtId="0" fontId="5" fillId="0" borderId="9" xfId="0">
      <alignment vertical="center" textRotation="0"/>
    </xf>
    <xf numFmtId="0" fontId="5" fillId="0" borderId="9" xfId="0">
      <alignment horizontal="right" vertical="center" textRotation="0"/>
    </xf>
    <xf fontId="5" fillId="0" borderId="9" xfId="0">
      <alignment vertical="center" textRotation="0"/>
    </xf>
    <xf numFmtId="0" fontId="5" fillId="0" borderId="3" xfId="0">
      <alignment vertical="center" textRotation="0"/>
    </xf>
    <xf numFmtId="300" fontId="5" fillId="0" borderId="1" xfId="0">
      <alignment horizontal="center" vertical="center" textRotation="0" wrapText="true"/>
    </xf>
    <xf fontId="5" fillId="0" borderId="9" xfId="0">
      <alignment horizontal="right" vertical="center" textRotation="0"/>
    </xf>
    <xf fontId="0" fillId="0" borderId="10" xfId="0">
      <alignment vertical="center"/>
    </xf>
    <xf numFmtId="0" fontId="5" fillId="0" borderId="11" xfId="0">
      <alignment vertical="center" textRotation="0"/>
    </xf>
    <xf fontId="5" fillId="0" borderId="11" xfId="0">
      <alignment horizontal="center" vertical="center" textRotation="0"/>
    </xf>
    <xf fontId="5" fillId="0" borderId="11" xfId="0">
      <alignment vertical="center" textRotation="0"/>
    </xf>
    <xf numFmtId="0" fontId="5" fillId="0" borderId="11" xfId="0">
      <alignment horizontal="center" vertical="center" textRotation="0"/>
    </xf>
    <xf numFmtId="0" fontId="5" fillId="0" borderId="12" xfId="0">
      <alignment vertical="center" textRotation="0"/>
    </xf>
    <xf fontId="5" fillId="0" borderId="13" xfId="0">
      <alignment vertical="center" textRotation="0"/>
    </xf>
    <xf fontId="11" fillId="0" borderId="1" xfId="0">
      <alignment vertical="center"/>
    </xf>
    <xf fontId="5" fillId="0" borderId="14" xfId="0">
      <alignment vertical="center" textRotation="0"/>
    </xf>
    <xf numFmtId="0" fontId="5" fillId="0" borderId="15" xfId="0">
      <alignment vertical="center" textRotation="0"/>
    </xf>
    <xf fontId="5" fillId="0" borderId="16" xfId="0">
      <alignment vertical="center" textRotation="0"/>
    </xf>
    <xf fontId="5" fillId="0" borderId="17" xfId="0">
      <alignment vertical="center" textRotation="0"/>
    </xf>
    <xf fontId="5" fillId="0" borderId="3" xfId="0">
      <alignment vertical="center" textRotation="0"/>
    </xf>
    <xf fontId="5" fillId="0" borderId="16" xfId="0">
      <alignment vertical="center"/>
    </xf>
    <xf fontId="5" fillId="0" borderId="18" xfId="0">
      <alignment vertical="center"/>
    </xf>
    <xf fontId="5" fillId="0" borderId="9" xfId="0">
      <alignment vertical="center"/>
    </xf>
    <xf fontId="5" fillId="0" borderId="19" xfId="0">
      <alignment vertical="center"/>
    </xf>
    <xf fontId="8" fillId="0" borderId="16" xfId="0">
      <alignment vertical="center"/>
    </xf>
    <xf fontId="8" fillId="0" borderId="20" xfId="0">
      <alignment vertical="center"/>
    </xf>
    <xf numFmtId="0" fontId="3" fillId="2" borderId="2" xfId="0">
      <alignment horizontal="center" vertical="center" textRotation="0" wrapText="true"/>
    </xf>
    <xf fontId="11" fillId="0" borderId="2" xfId="0">
      <alignment vertical="center"/>
    </xf>
    <xf fontId="8" fillId="0" borderId="1" xfId="0">
      <alignment vertical="center"/>
    </xf>
    <xf numFmtId="10" fontId="8" fillId="0" borderId="1" xfId="0">
      <alignment horizontal="center" vertical="center"/>
    </xf>
    <xf fontId="17" fillId="2" borderId="1" xfId="0">
      <alignment horizontal="center" vertical="center" wrapText="true"/>
    </xf>
    <xf fontId="17" fillId="2" borderId="1" xfId="0">
      <alignment vertical="center" wrapText="true"/>
    </xf>
    <xf fontId="18" fillId="2" borderId="1" xfId="0">
      <alignment horizontal="center" vertical="center" wrapText="true"/>
    </xf>
    <xf fontId="0" fillId="0" borderId="2" xfId="0">
      <alignment vertical="center"/>
    </xf>
    <xf numFmtId="301" fontId="0" fillId="0" borderId="1" xfId="0">
      <alignment horizontal="left" vertical="center"/>
    </xf>
    <xf fontId="0" fillId="0" borderId="21" xfId="0">
      <alignment vertical="center"/>
    </xf>
    <xf numFmtId="0" fontId="0" fillId="0" borderId="2" xfId="0">
      <alignment vertical="center"/>
    </xf>
    <xf fontId="0" fillId="0" borderId="5" xfId="0">
      <alignment vertical="center"/>
    </xf>
    <xf numFmtId="0" fontId="0" fillId="0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9" Type="http://schemas.openxmlformats.org/officeDocument/2006/relationships/worksheet" Target="worksheets/sheet6.xml" /><Relationship Id="rId3" Type="http://schemas.microsoft.com/office/2017/10/relationships/person" Target="persons/person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2" Type="http://schemas.openxmlformats.org/officeDocument/2006/relationships/styles" Target="styles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8" Type="http://schemas.openxmlformats.org/officeDocument/2006/relationships/worksheet" Target="worksheets/sheet5.xml" /><Relationship Id="rId13" Type="http://schemas.openxmlformats.org/officeDocument/2006/relationships/worksheet" Target="worksheets/sheet10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任海斌(28062)" id="{1F2C53E5-D992-4C41-ADA2-7D432E3E4F0A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G6" dT="2026-04-21T01:09:42Z" personId="{1F2C53E5-D992-4C41-ADA2-7D432E3E4F0A}" id="{0C48792E-80A5-4334-A5B9-2BB4D132D9C1}">
    <tc2018:text>AI布道师</tc2018:text>
  </tc2018:threadedComment>
  <tc2018:threadedComment ref="H6" dT="2026-04-21T01:09:49Z" personId="{1F2C53E5-D992-4C41-ADA2-7D432E3E4F0A}" id="{607765C2-08C9-48AF-845F-4A97270CF20E}">
    <tc2018:text>AI布道师</tc2018:text>
  </tc2018:threadedComment>
  <tc2018:threadedComment ref="L31" dT="2026-04-20T07:01:11Z" personId="{1F2C53E5-D992-4C41-ADA2-7D432E3E4F0A}" id="{528B3FCC-0CC5-4C05-A616-30F6FA55E43D}">
    <tc2018:text>-3外包</tc2018:text>
  </tc2018:threadedComment>
</tc2018:ThreadedComments>
</file>

<file path=xl/worksheets/_rels/sheet9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>
  <sheetPr codeName="2026年OKR-v20260320"/>
  <dimension ref="A1"/>
  <sheetViews>
    <sheetView showGridLines="true" workbookViewId="0"/>
  </sheetViews>
  <sheetData/>
</worksheet>
</file>

<file path=xl/worksheets/sheet2.xml><?xml version="1.0" encoding="utf-8"?>
<worksheet xmlns="http://schemas.openxmlformats.org/spreadsheetml/2006/main">
  <sheetPr codeName="2026年OKR-v20260323">
    <tabColor/>
  </sheetPr>
  <dimension ref="A1"/>
  <sheetViews>
    <sheetView showGridLines="true" workbookViewId="0"/>
  </sheetViews>
  <sheetFormatPr baseColWidth="13" defaultRowHeight="18" customHeight="true"/>
  <sheetData/>
</worksheet>
</file>

<file path=xl/worksheets/sheet3.xml><?xml version="1.0" encoding="utf-8"?>
<worksheet xmlns="http://schemas.openxmlformats.org/spreadsheetml/2006/main">
  <sheetPr codeName="2026年OKR-v20260327">
    <tabColor/>
  </sheetPr>
  <dimension ref="B18"/>
  <sheetViews>
    <sheetView showGridLines="true" workbookViewId="0"/>
  </sheetViews>
  <sheetFormatPr baseColWidth="13" defaultRowHeight="18" customHeight="true"/>
  <cols>
    <col min="1" max="1" width="16.7109" customWidth="true"/>
    <col min="2" max="2" width="52.8711" customWidth="true"/>
    <col min="3" max="3" width="96.582" customWidth="true"/>
    <col min="4" max="4" width="113.984" hidden="true" customWidth="true"/>
  </cols>
  <sheetData>
    <row r="1" spans="1:4">
      <c r="A1" s="71" t="s">
        <v>213</v>
      </c>
      <c r="B1" s="72" t="s">
        <v>214</v>
      </c>
      <c r="C1" s="71" t="s">
        <v>215</v>
      </c>
      <c r="D1" s="73" t="s">
        <v>216</v>
      </c>
    </row>
    <row r="2" spans="1:4">
      <c r="A2" s="74" t="s">
        <v>217</v>
      </c>
      <c r="B2" s="75" t="s">
        <v>218</v>
      </c>
      <c r="C2" s="76" t="s">
        <v>321</v>
      </c>
      <c r="D2" s="77" t="s">
        <v>219</v>
      </c>
    </row>
    <row r="3" spans="1:4">
      <c r="A3" s="78" t="s"/>
      <c r="B3" s="79" t="s"/>
      <c r="C3" s="76" t="s">
        <v>220</v>
      </c>
      <c r="D3" s="80" t="s">
        <v>221</v>
      </c>
    </row>
    <row r="4" spans="1:4">
      <c r="A4" s="78" t="s"/>
      <c r="B4" s="79" t="s"/>
      <c r="C4" s="77" t="s">
        <v>222</v>
      </c>
      <c r="D4" s="77" t="s">
        <v>223</v>
      </c>
    </row>
    <row r="5" spans="1:4">
      <c r="A5" s="81" t="s">
        <v>224</v>
      </c>
      <c r="B5" s="77" t="s">
        <v>225</v>
      </c>
      <c r="C5" s="77" t="s">
        <v>226</v>
      </c>
      <c r="D5" s="82" t="s">
        <v>227</v>
      </c>
    </row>
    <row r="6" spans="1:4">
      <c r="A6" s="13" t="s"/>
      <c r="B6" s="13" t="s"/>
      <c r="C6" s="77" t="s">
        <v>228</v>
      </c>
      <c r="D6" s="77" t="s">
        <v>322</v>
      </c>
    </row>
    <row r="7" spans="1:4">
      <c r="A7" s="13" t="s"/>
      <c r="B7" s="13" t="s"/>
      <c r="C7" s="77" t="s">
        <v>229</v>
      </c>
      <c r="D7" s="77" t="s">
        <v>323</v>
      </c>
    </row>
    <row r="8" spans="1:4">
      <c r="A8" s="13" t="s"/>
      <c r="B8" s="13" t="s"/>
      <c r="C8" s="77" t="s">
        <v>230</v>
      </c>
      <c r="D8" s="77" t="s">
        <v>231</v>
      </c>
    </row>
    <row r="9" spans="1:4">
      <c r="A9" s="83" t="s">
        <v>232</v>
      </c>
      <c r="B9" s="80" t="s">
        <v>233</v>
      </c>
      <c r="C9" s="77" t="s">
        <v>234</v>
      </c>
      <c r="D9" s="77" t="s">
        <v>235</v>
      </c>
    </row>
    <row r="10" spans="1:4" ht="42" customHeight="true">
      <c r="A10" s="68" t="s"/>
      <c r="B10" s="68" t="s"/>
      <c r="C10" s="77" t="s">
        <v>236</v>
      </c>
      <c r="D10" s="77" t="s">
        <v>237</v>
      </c>
    </row>
    <row r="11" spans="1:4" ht="40.5" customHeight="true">
      <c r="A11" s="27" t="s"/>
      <c r="B11" s="27" t="s"/>
      <c r="C11" s="77" t="s">
        <v>238</v>
      </c>
      <c r="D11" s="77" t="s">
        <v>239</v>
      </c>
    </row>
    <row r="12" spans="1:4" ht="30" customHeight="true">
      <c r="A12" s="81" t="s">
        <v>240</v>
      </c>
      <c r="B12" s="77" t="s">
        <v>241</v>
      </c>
      <c r="C12" s="77" t="s">
        <v>242</v>
      </c>
      <c r="D12" s="84" t="s"/>
    </row>
    <row r="13" spans="1:4" ht="32.25" customHeight="true">
      <c r="A13" s="85" t="s"/>
      <c r="B13" s="57" t="s"/>
      <c r="C13" s="77" t="s">
        <v>243</v>
      </c>
      <c r="D13" s="84" t="s"/>
    </row>
    <row r="14" spans="1:4" ht="45.75" customHeight="true">
      <c r="A14" s="13" t="s"/>
      <c r="B14" s="13" t="s"/>
      <c r="C14" s="77" t="s">
        <v>244</v>
      </c>
      <c r="D14" s="84" t="s"/>
    </row>
    <row r="15" spans="1:4">
      <c r="A15" s="13" t="s"/>
      <c r="B15" s="13" t="s"/>
      <c r="C15" s="77" t="s">
        <v>245</v>
      </c>
      <c r="D15" s="84" t="s"/>
    </row>
    <row r="18" spans="2:2">
      <c r="B18" t="s">
        <v>246</v>
      </c>
    </row>
  </sheetData>
  <mergeCells count="8">
    <mergeCell ref="A5:A8"/>
    <mergeCell ref="B5:B8"/>
    <mergeCell ref="A12:A15"/>
    <mergeCell ref="B12:B15"/>
    <mergeCell ref="B2:B4"/>
    <mergeCell ref="A2:A4"/>
    <mergeCell ref="B9:B11"/>
    <mergeCell ref="A9:A11"/>
  </mergeCells>
</worksheet>
</file>

<file path=xl/worksheets/sheet4.xml><?xml version="1.0" encoding="utf-8"?>
<worksheet xmlns="http://schemas.openxmlformats.org/spreadsheetml/2006/main">
  <sheetPr codeName="测试OKR">
    <tabColor/>
  </sheetPr>
  <dimension ref="C203"/>
  <sheetViews>
    <sheetView showGridLines="true" workbookViewId="0"/>
  </sheetViews>
  <sheetFormatPr baseColWidth="13" defaultRowHeight="18" customHeight="true"/>
  <cols>
    <col min="1" max="1" width="18.7539" customWidth="true"/>
    <col min="2" max="2" width="79.1836" customWidth="true"/>
    <col min="3" max="3" width="104.402" customWidth="true"/>
  </cols>
  <sheetData>
    <row r="1" spans="1:4">
      <c r="A1" s="73" t="s">
        <v>213</v>
      </c>
      <c r="B1" s="73" t="s">
        <v>214</v>
      </c>
      <c r="C1" s="73" t="s">
        <v>215</v>
      </c>
      <c r="D1" s="73" t="s"/>
    </row>
    <row r="2" spans="1:3" ht="25.5" customHeight="true">
      <c r="A2" s="55" t="s">
        <v>224</v>
      </c>
      <c r="B2" s="86" t="s">
        <v>324</v>
      </c>
      <c r="C2" s="55" t="s">
        <v>247</v>
      </c>
    </row>
    <row r="3" spans="1:3">
      <c r="A3" s="55" t="s"/>
      <c r="B3" s="27" t="s"/>
      <c r="C3" s="87" t="s">
        <v>248</v>
      </c>
    </row>
    <row r="4" spans="1:3">
      <c r="A4" s="13" t="s"/>
      <c r="B4" s="88" t="s">
        <v>249</v>
      </c>
      <c r="C4" s="55" t="s">
        <v>250</v>
      </c>
    </row>
    <row r="5" spans="1:3">
      <c r="A5" s="13" t="s"/>
      <c r="B5" s="68" t="s"/>
      <c r="C5" s="55" t="s">
        <v>251</v>
      </c>
    </row>
    <row r="6" spans="1:3">
      <c r="A6" s="55" t="s"/>
      <c r="B6" s="27" t="s"/>
      <c r="C6" s="87" t="s">
        <v>252</v>
      </c>
    </row>
    <row r="7" spans="1:3">
      <c r="A7" s="13" t="s"/>
      <c r="B7" s="55" t="s">
        <v>253</v>
      </c>
      <c r="C7" s="55" t="s">
        <v>254</v>
      </c>
    </row>
    <row r="8" spans="1:3">
      <c r="A8" s="55" t="s">
        <v>240</v>
      </c>
      <c r="B8" s="55" t="s">
        <v>255</v>
      </c>
      <c r="C8" s="55" t="s">
        <v>256</v>
      </c>
    </row>
    <row r="9" spans="1:3">
      <c r="A9" s="13" t="s"/>
      <c r="B9" s="13" t="s"/>
      <c r="C9" s="55" t="s">
        <v>257</v>
      </c>
    </row>
    <row r="10" spans="1:3">
      <c r="A10" s="13" t="s"/>
      <c r="B10" s="55" t="s">
        <v>258</v>
      </c>
      <c r="C10" s="55" t="s">
        <v>259</v>
      </c>
    </row>
    <row r="11" spans="1:3">
      <c r="A11" s="13" t="s"/>
      <c r="B11" s="13" t="s"/>
      <c r="C11" s="55" t="s">
        <v>260</v>
      </c>
    </row>
    <row r="12" spans="1:3">
      <c r="A12" s="13" t="s"/>
      <c r="B12" s="13" t="s"/>
      <c r="C12" s="55" t="s">
        <v>261</v>
      </c>
    </row>
    <row r="13" spans="1:4">
      <c r="A13" s="55" t="s">
        <v>232</v>
      </c>
      <c r="B13" s="55" t="s">
        <v>262</v>
      </c>
      <c r="C13" s="55" t="s">
        <v>263</v>
      </c>
      <c r="D13" s="61" t="s"/>
    </row>
    <row r="14" spans="1:3">
      <c r="A14" s="13" t="s"/>
      <c r="B14" s="13" t="s"/>
      <c r="C14" s="79" t="s">
        <v>264</v>
      </c>
    </row>
    <row r="15" spans="1:3">
      <c r="A15" s="13" t="s"/>
      <c r="B15" s="13" t="s"/>
      <c r="C15" s="55" t="s">
        <v>265</v>
      </c>
    </row>
    <row r="16" spans="2:3" ht="36.75" customHeight="true">
      <c r="B16" s="61" t="s"/>
      <c r="C16" s="61" t="s"/>
    </row>
    <row r="17" spans="1:25" ht="36.75" customHeight="true"/>
    <row r="18" spans="1:25" ht="36.75" customHeight="true"/>
    <row r="19" spans="1:25" ht="36.75" customHeight="true"/>
    <row r="20" spans="1:25" ht="36.75" customHeight="true"/>
    <row r="21" spans="1:25" ht="36.75" customHeight="true"/>
    <row r="22" spans="1:25" ht="36.75" customHeight="true"/>
    <row r="23" spans="1:25" ht="36.75" customHeight="true"/>
    <row r="24" spans="1:25" ht="36.75" customHeight="true"/>
    <row r="25" spans="1:25" ht="36.75" customHeight="true"/>
    <row r="26" spans="1:25" ht="36.75" customHeight="true"/>
    <row r="27" spans="1:25" ht="36.75" customHeight="true"/>
    <row r="28" spans="1:25" ht="36.75" customHeight="true"/>
    <row r="29" spans="1:25" ht="36.75" customHeight="true"/>
    <row r="30" spans="1:25" ht="36.75" customHeight="true"/>
    <row r="31" spans="1:25" ht="36.75" customHeight="true"/>
    <row r="32" spans="1:25" ht="36.75" customHeight="true"/>
    <row r="33" spans="1:25" ht="36.75" customHeight="true"/>
    <row r="34" spans="1:25" ht="36.75" customHeight="true"/>
    <row r="35" spans="1:25" ht="36.75" customHeight="true"/>
    <row r="36" spans="1:25" ht="36.75" customHeight="true"/>
    <row r="37" spans="1:25" ht="36.75" customHeight="true"/>
    <row r="38" spans="1:25" ht="36.75" customHeight="true"/>
    <row r="39" spans="1:25" ht="36.75" customHeight="true"/>
    <row r="40" spans="1:25" ht="36.75" customHeight="true"/>
    <row r="41" spans="1:25" ht="36.75" customHeight="true"/>
    <row r="42" spans="1:25" ht="36.75" customHeight="true"/>
    <row r="43" spans="1:25" ht="36.75" customHeight="true"/>
    <row r="44" spans="1:25" ht="36.75" customHeight="true"/>
    <row r="45" spans="1:25" ht="36.75" customHeight="true"/>
    <row r="46" spans="1:25" ht="36.75" customHeight="true"/>
    <row r="47" spans="1:25" ht="36.75" customHeight="true"/>
    <row r="48" spans="1:25" ht="36.75" customHeight="true"/>
    <row r="49" spans="1:25" ht="36.75" customHeight="true"/>
    <row r="50" spans="1:25" ht="36.75" customHeight="true"/>
    <row r="51" spans="1:25" ht="36.75" customHeight="true"/>
    <row r="52" spans="1:25" ht="36.75" customHeight="true"/>
    <row r="53" spans="1:25" ht="36.75" customHeight="true"/>
    <row r="54" spans="1:25" ht="36.75" customHeight="true"/>
    <row r="55" spans="1:25" ht="36.75" customHeight="true"/>
    <row r="56" spans="1:25" ht="36.75" customHeight="true"/>
    <row r="57" spans="1:25" ht="36.75" customHeight="true"/>
    <row r="58" spans="1:25" ht="36.75" customHeight="true"/>
    <row r="59" spans="1:25" ht="36.75" customHeight="true"/>
    <row r="60" spans="1:25" ht="36.75" customHeight="true"/>
    <row r="61" spans="1:25" ht="36.75" customHeight="true"/>
    <row r="62" spans="1:25" ht="36.75" customHeight="true"/>
    <row r="63" spans="1:25" ht="36.75" customHeight="true"/>
    <row r="64" spans="1:25" ht="36.75" customHeight="true"/>
    <row r="65" spans="1:25" ht="36.75" customHeight="true"/>
    <row r="66" spans="1:25" ht="36.75" customHeight="true"/>
    <row r="67" spans="1:25" ht="36.75" customHeight="true"/>
    <row r="68" spans="1:25" ht="36.75" customHeight="true"/>
    <row r="69" spans="1:25" ht="36.75" customHeight="true"/>
    <row r="70" spans="1:25" ht="36.75" customHeight="true"/>
    <row r="71" spans="1:25" ht="36.75" customHeight="true"/>
    <row r="72" spans="1:25" ht="36.75" customHeight="true"/>
    <row r="73" spans="1:25" ht="36.75" customHeight="true"/>
    <row r="74" spans="1:25" ht="36.75" customHeight="true"/>
    <row r="75" spans="1:25" ht="36.75" customHeight="true"/>
    <row r="76" spans="1:25" ht="36.75" customHeight="true"/>
    <row r="77" spans="1:25" ht="36.75" customHeight="true"/>
    <row r="78" spans="1:25" ht="36.75" customHeight="true"/>
    <row r="79" spans="1:25" ht="36.75" customHeight="true"/>
    <row r="80" spans="1:25" ht="36.75" customHeight="true"/>
    <row r="81" spans="1:25" ht="36.75" customHeight="true"/>
    <row r="82" spans="1:25" ht="36.75" customHeight="true"/>
    <row r="83" spans="1:25" ht="36.75" customHeight="true"/>
    <row r="84" spans="1:25" ht="36.75" customHeight="true"/>
    <row r="85" spans="1:25" ht="36.75" customHeight="true"/>
    <row r="86" spans="1:25" ht="36.75" customHeight="true"/>
    <row r="87" spans="1:25" ht="36.75" customHeight="true"/>
    <row r="88" spans="1:25" ht="36.75" customHeight="true"/>
    <row r="89" spans="1:25" ht="36.75" customHeight="true"/>
    <row r="90" spans="1:25" ht="36.75" customHeight="true"/>
    <row r="91" spans="1:25" ht="36.75" customHeight="true"/>
    <row r="92" spans="1:25" ht="36.75" customHeight="true"/>
    <row r="93" spans="1:25" ht="36.75" customHeight="true"/>
    <row r="94" spans="1:25" ht="36.75" customHeight="true"/>
    <row r="95" spans="1:25" ht="36.75" customHeight="true"/>
    <row r="96" spans="1:25" ht="36.75" customHeight="true"/>
    <row r="97" spans="1:25" ht="36.75" customHeight="true"/>
    <row r="98" spans="1:25" ht="36.75" customHeight="true"/>
    <row r="99" spans="1:25" ht="36.75" customHeight="true"/>
    <row r="100" spans="1:25" ht="36.75" customHeight="true"/>
    <row r="101" spans="1:25" ht="36.75" customHeight="true"/>
    <row r="102" spans="1:25" ht="36.75" customHeight="true"/>
    <row r="103" spans="1:25" ht="36.75" customHeight="true"/>
    <row r="104" spans="1:25" ht="36.75" customHeight="true"/>
    <row r="105" spans="1:25" ht="36.75" customHeight="true"/>
    <row r="106" spans="1:25" ht="36.75" customHeight="true"/>
    <row r="107" spans="1:25" ht="36.75" customHeight="true"/>
    <row r="108" spans="1:25" ht="36.75" customHeight="true"/>
    <row r="109" spans="1:25" ht="36.75" customHeight="true"/>
    <row r="110" spans="1:25" ht="36.75" customHeight="true"/>
    <row r="111" spans="1:25" ht="36.75" customHeight="true"/>
    <row r="112" spans="1:25" ht="36.75" customHeight="true"/>
    <row r="113" spans="1:25" ht="36.75" customHeight="true"/>
    <row r="114" spans="1:25" ht="36.75" customHeight="true"/>
    <row r="115" spans="1:25" ht="36.75" customHeight="true"/>
    <row r="116" spans="1:25" ht="36.75" customHeight="true"/>
    <row r="117" spans="1:25" ht="36.75" customHeight="true"/>
    <row r="118" spans="1:25" ht="36.75" customHeight="true"/>
    <row r="119" spans="1:25" ht="36.75" customHeight="true"/>
    <row r="120" spans="1:25" ht="36.75" customHeight="true"/>
    <row r="121" spans="1:25" ht="36.75" customHeight="true"/>
    <row r="122" spans="1:25" ht="36.75" customHeight="true"/>
    <row r="123" spans="1:25" ht="36.75" customHeight="true"/>
    <row r="124" spans="1:25" ht="36.75" customHeight="true"/>
    <row r="125" spans="1:25" ht="36.75" customHeight="true"/>
    <row r="126" spans="1:25" ht="36.75" customHeight="true"/>
    <row r="127" spans="1:25" ht="36.75" customHeight="true"/>
    <row r="128" spans="1:25" ht="36.75" customHeight="true"/>
    <row r="129" spans="1:25" ht="36.75" customHeight="true"/>
    <row r="130" spans="1:25" ht="36.75" customHeight="true"/>
    <row r="131" spans="1:25" ht="36.75" customHeight="true"/>
    <row r="132" spans="1:25" ht="36.75" customHeight="true"/>
    <row r="133" spans="1:25" ht="36.75" customHeight="true"/>
    <row r="134" spans="1:25" ht="36.75" customHeight="true"/>
    <row r="135" spans="1:25" ht="36.75" customHeight="true"/>
    <row r="136" spans="1:25" ht="36.75" customHeight="true"/>
    <row r="137" spans="1:25" ht="36.75" customHeight="true"/>
    <row r="138" spans="1:25" ht="36.75" customHeight="true"/>
    <row r="139" spans="1:25" ht="36.75" customHeight="true"/>
    <row r="140" spans="1:25" ht="36.75" customHeight="true"/>
    <row r="141" spans="1:25" ht="36.75" customHeight="true"/>
    <row r="142" spans="1:25" ht="36.75" customHeight="true"/>
    <row r="143" spans="1:25" ht="36.75" customHeight="true"/>
    <row r="144" spans="1:25" ht="36.75" customHeight="true"/>
    <row r="145" spans="1:25" ht="36.75" customHeight="true"/>
    <row r="146" spans="1:25" ht="36.75" customHeight="true"/>
    <row r="147" spans="1:25" ht="36.75" customHeight="true"/>
    <row r="148" spans="1:25" ht="36.75" customHeight="true"/>
    <row r="149" spans="1:25" ht="36.75" customHeight="true"/>
    <row r="150" spans="1:25" ht="36.75" customHeight="true"/>
    <row r="151" spans="1:25" ht="36.75" customHeight="true"/>
    <row r="152" spans="1:25" ht="36.75" customHeight="true"/>
    <row r="153" spans="1:25" ht="36.75" customHeight="true"/>
    <row r="154" spans="1:25" ht="36.75" customHeight="true"/>
    <row r="155" spans="1:25" ht="36.75" customHeight="true"/>
    <row r="156" spans="1:25" ht="36.75" customHeight="true"/>
    <row r="157" spans="1:25" ht="36.75" customHeight="true"/>
    <row r="158" spans="1:25" ht="36.75" customHeight="true"/>
    <row r="159" spans="1:25" ht="36.75" customHeight="true"/>
    <row r="160" spans="1:25" ht="36.75" customHeight="true"/>
    <row r="161" spans="1:25" ht="36.75" customHeight="true"/>
    <row r="162" spans="1:25" ht="36.75" customHeight="true"/>
    <row r="163" spans="1:25" ht="36.75" customHeight="true"/>
    <row r="164" spans="1:25" ht="36.75" customHeight="true"/>
    <row r="165" spans="1:25" ht="36.75" customHeight="true"/>
    <row r="166" spans="1:25" ht="36.75" customHeight="true"/>
    <row r="167" spans="1:25" ht="36.75" customHeight="true"/>
    <row r="168" spans="1:25" ht="36.75" customHeight="true"/>
    <row r="169" spans="1:25" ht="36.75" customHeight="true"/>
    <row r="170" spans="1:25" ht="36.75" customHeight="true"/>
    <row r="171" spans="1:25" ht="36.75" customHeight="true"/>
    <row r="172" spans="1:25" ht="36.75" customHeight="true"/>
    <row r="173" spans="1:25" ht="36.75" customHeight="true"/>
    <row r="174" spans="1:25" ht="36.75" customHeight="true"/>
    <row r="175" spans="1:25" ht="36.75" customHeight="true"/>
    <row r="176" spans="1:25" ht="36.75" customHeight="true"/>
    <row r="177" spans="1:25" ht="36.75" customHeight="true"/>
    <row r="178" spans="1:25" ht="36.75" customHeight="true"/>
    <row r="179" spans="1:25" ht="36.75" customHeight="true"/>
    <row r="180" spans="1:25" ht="36.75" customHeight="true"/>
    <row r="181" spans="1:25" ht="36.75" customHeight="true"/>
    <row r="182" spans="1:25" ht="36.75" customHeight="true"/>
    <row r="183" spans="1:25" ht="36.75" customHeight="true"/>
    <row r="184" spans="1:25" ht="36.75" customHeight="true"/>
    <row r="185" spans="1:25" ht="36.75" customHeight="true"/>
    <row r="186" spans="1:25" ht="36.75" customHeight="true"/>
    <row r="187" spans="1:25" ht="36.75" customHeight="true"/>
    <row r="188" spans="1:25" ht="36.75" customHeight="true"/>
    <row r="189" spans="1:25" ht="36.75" customHeight="true"/>
    <row r="190" spans="1:25" ht="36.75" customHeight="true"/>
    <row r="191" spans="1:25" ht="36.75" customHeight="true"/>
    <row r="192" spans="1:25" ht="36.75" customHeight="true"/>
    <row r="193" spans="1:25" ht="36.75" customHeight="true"/>
    <row r="194" spans="1:25" ht="36.75" customHeight="true"/>
    <row r="195" spans="1:25" ht="36.75" customHeight="true"/>
    <row r="196" spans="1:25" ht="36.75" customHeight="true"/>
    <row r="197" spans="1:25" ht="36.75" customHeight="true"/>
    <row r="198" spans="1:25" ht="36.75" customHeight="true"/>
    <row r="199" spans="1:25" ht="36.75" customHeight="true"/>
    <row r="200" spans="1:25" ht="36.75" customHeight="true"/>
    <row r="201" spans="1:25" ht="36.75" customHeight="true"/>
    <row r="202" spans="1:25" ht="36.75" customHeight="true"/>
    <row r="203" spans="1:25" ht="36.75" customHeight="true"/>
  </sheetData>
  <mergeCells count="8">
    <mergeCell ref="A8:A12"/>
    <mergeCell ref="A13:A15"/>
    <mergeCell ref="B13:B15"/>
    <mergeCell ref="B8:B9"/>
    <mergeCell ref="B10:B12"/>
    <mergeCell ref="B2:B3"/>
    <mergeCell ref="A2:A7"/>
    <mergeCell ref="B4:B6"/>
  </mergeCells>
</worksheet>
</file>

<file path=xl/worksheets/sheet5.xml><?xml version="1.0" encoding="utf-8"?>
<worksheet xmlns="http://schemas.openxmlformats.org/spreadsheetml/2006/main">
  <sheetPr codeName="26年Roadmap">
    <tabColor/>
  </sheetPr>
  <dimension ref="D8"/>
  <sheetViews>
    <sheetView showGridLines="true" workbookViewId="0"/>
  </sheetViews>
  <sheetFormatPr baseColWidth="13" defaultRowHeight="18" customHeight="true"/>
  <cols>
    <col min="1" max="1" width="22.1211" customWidth="true"/>
    <col min="2" max="2" width="26.0312" customWidth="true"/>
    <col min="3" max="3" width="43.832" customWidth="true"/>
    <col min="4" max="4" width="43.0312" customWidth="true"/>
    <col min="5" max="5" width="45.4531" customWidth="true"/>
    <col min="6" max="6" width="23.6016" customWidth="true"/>
  </cols>
  <sheetData>
    <row r="1" spans="1:5">
      <c r="A1" s="55" t="s"/>
      <c r="B1" s="56" t="s">
        <v>159</v>
      </c>
      <c r="C1" s="56" t="s">
        <v>160</v>
      </c>
      <c r="D1" s="56" t="s">
        <v>161</v>
      </c>
      <c r="E1" s="56" t="s">
        <v>162</v>
      </c>
    </row>
    <row r="2" spans="1:5" ht="117" customHeight="true">
      <c r="A2" s="56" t="s">
        <v>163</v>
      </c>
      <c r="B2" s="56" t="s"/>
      <c r="C2" s="57" t="s">
        <v>164</v>
      </c>
      <c r="D2" s="58" t="s">
        <v>317</v>
      </c>
      <c r="E2" s="57" t="s">
        <v>165</v>
      </c>
    </row>
    <row r="3" spans="1:6" ht="93.75" customHeight="true">
      <c r="A3" s="59" t="s">
        <v>166</v>
      </c>
      <c r="B3" s="60" t="s"/>
      <c r="C3" s="61" t="s">
        <v>167</v>
      </c>
      <c r="D3" s="62" t="s">
        <v>168</v>
      </c>
      <c r="E3" s="62" t="s">
        <v>169</v>
      </c>
      <c r="F3" s="60" t="s"/>
    </row>
    <row r="4" spans="1:5">
      <c r="A4" s="56" t="s">
        <v>170</v>
      </c>
      <c r="B4" s="62" t="s"/>
      <c r="C4" s="62" t="s">
        <v>171</v>
      </c>
      <c r="D4" s="62" t="s">
        <v>172</v>
      </c>
      <c r="E4" s="62" t="s">
        <v>173</v>
      </c>
    </row>
    <row r="5" spans="1:5">
      <c r="A5" s="56" t="s">
        <v>174</v>
      </c>
      <c r="B5" s="56" t="s"/>
      <c r="C5" s="62" t="s">
        <v>175</v>
      </c>
      <c r="D5" s="63" t="s">
        <v>176</v>
      </c>
      <c r="E5" s="55" t="s"/>
    </row>
    <row r="6" spans="1:1">
      <c r="A6" t="s">
        <v>177</v>
      </c>
    </row>
    <row r="8" spans="4:4">
      <c r="D8" s="54" t="s"/>
    </row>
  </sheetData>
</worksheet>
</file>

<file path=xl/worksheets/sheet6.xml><?xml version="1.0" encoding="utf-8"?>
<worksheet xmlns="http://schemas.openxmlformats.org/spreadsheetml/2006/main">
  <sheetPr codeName="无线责任田">
    <tabColor/>
  </sheetPr>
  <dimension ref="N17"/>
  <sheetViews>
    <sheetView showGridLines="true" workbookViewId="0"/>
  </sheetViews>
  <sheetFormatPr baseColWidth="13" defaultRowHeight="18" customHeight="true"/>
  <cols>
    <col min="1" max="1" width="14.7031" customWidth="true"/>
    <col min="2" max="2" width="16.7227" customWidth="true"/>
    <col min="3" max="3" width="18.4844" customWidth="true"/>
    <col min="4" max="4" width="46.6719" customWidth="true"/>
    <col min="5" max="5" width="72.8438" customWidth="true"/>
    <col min="6" max="6" width="50.3125" customWidth="true"/>
    <col min="7" max="7" width="44.9141" customWidth="true"/>
  </cols>
  <sheetData>
    <row r="1" spans="1:7">
      <c r="A1" s="13" t="s">
        <v>2</v>
      </c>
      <c r="B1" s="13" t="s">
        <v>178</v>
      </c>
      <c r="C1" s="13" t="s">
        <v>179</v>
      </c>
      <c r="D1" s="13" t="s">
        <v>180</v>
      </c>
      <c r="E1" s="13" t="s">
        <v>181</v>
      </c>
      <c r="F1" s="63" t="s">
        <v>182</v>
      </c>
      <c r="G1" s="13" t="s"/>
    </row>
    <row r="2" spans="1:13" ht="129" customHeight="true">
      <c r="A2" s="57" t="s">
        <v>183</v>
      </c>
      <c r="B2" s="57" t="s">
        <v>184</v>
      </c>
      <c r="C2" s="63" t="s">
        <v>185</v>
      </c>
      <c r="D2" s="57" t="s">
        <v>186</v>
      </c>
      <c r="E2" s="64" t="s">
        <v>318</v>
      </c>
      <c r="F2" s="57" t="s">
        <v>187</v>
      </c>
      <c r="G2" s="57" t="s">
        <v>188</v>
      </c>
      <c r="J2" s="54" t="s"/>
      <c r="K2" s="65" t="s"/>
      <c r="L2" s="65" t="s"/>
      <c r="M2" s="65" t="s"/>
    </row>
    <row r="3" spans="1:14">
      <c r="A3" s="13" t="s"/>
      <c r="B3" s="13" t="s"/>
      <c r="C3" s="13" t="s">
        <v>189</v>
      </c>
      <c r="D3" s="13" t="s">
        <v>190</v>
      </c>
      <c r="E3" s="57" t="s"/>
      <c r="F3" s="62" t="s"/>
      <c r="G3" s="63" t="s"/>
      <c r="J3" s="54" t="s"/>
      <c r="K3" s="54" t="s"/>
      <c r="L3" s="54" t="s"/>
      <c r="M3" s="54" t="s"/>
      <c r="N3" s="54" t="s"/>
    </row>
    <row r="4" spans="1:14">
      <c r="A4" s="13" t="s"/>
      <c r="B4" s="13" t="s"/>
      <c r="C4" s="13" t="s">
        <v>2</v>
      </c>
      <c r="D4" s="13" t="s">
        <v>191</v>
      </c>
      <c r="E4" s="57" t="s">
        <v>192</v>
      </c>
      <c r="F4" s="63" t="s"/>
      <c r="G4" s="13" t="s"/>
      <c r="J4" s="65" t="s"/>
      <c r="K4" s="65" t="s"/>
      <c r="L4" s="66" t="s"/>
      <c r="M4" s="54" t="s"/>
      <c r="N4" s="65" t="s"/>
    </row>
    <row r="5" spans="1:14" ht="114.75" customHeight="true">
      <c r="A5" s="67" t="s">
        <v>193</v>
      </c>
      <c r="B5" s="67" t="s">
        <v>194</v>
      </c>
      <c r="C5" s="63" t="s">
        <v>185</v>
      </c>
      <c r="D5" s="57" t="s">
        <v>195</v>
      </c>
      <c r="E5" s="64" t="s">
        <v>319</v>
      </c>
      <c r="F5" s="13" t="s"/>
      <c r="G5" s="13" t="s"/>
      <c r="J5" s="54" t="s"/>
      <c r="K5" s="65" t="s"/>
      <c r="L5" s="66" t="s"/>
      <c r="M5" s="54" t="s"/>
      <c r="N5" s="65" t="s"/>
    </row>
    <row r="6" spans="1:14">
      <c r="A6" s="68" t="s"/>
      <c r="B6" s="68" t="s"/>
      <c r="C6" s="13" t="s">
        <v>189</v>
      </c>
      <c r="D6" s="13" t="s">
        <v>196</v>
      </c>
      <c r="E6" s="57" t="s">
        <v>197</v>
      </c>
      <c r="F6" s="13" t="s"/>
      <c r="G6" s="13" t="s"/>
      <c r="J6" s="54" t="s"/>
      <c r="K6" s="65" t="s"/>
      <c r="L6" s="65" t="s"/>
      <c r="M6" s="54" t="s"/>
      <c r="N6" s="54" t="s"/>
    </row>
    <row r="7" spans="1:14">
      <c r="A7" s="27" t="s"/>
      <c r="B7" s="27" t="s"/>
      <c r="C7" s="13" t="s">
        <v>2</v>
      </c>
      <c r="D7" s="13" t="s">
        <v>198</v>
      </c>
      <c r="E7" s="57" t="s">
        <v>199</v>
      </c>
      <c r="F7" s="13" t="s"/>
      <c r="G7" s="13" t="s"/>
      <c r="J7" s="54" t="s"/>
      <c r="K7" s="65" t="s"/>
      <c r="L7" s="65" t="s"/>
      <c r="M7" s="54" t="s"/>
      <c r="N7" s="54" t="s"/>
    </row>
    <row r="8" spans="1:14">
      <c r="A8" s="69" t="s">
        <v>200</v>
      </c>
      <c r="B8" s="69" t="s">
        <v>201</v>
      </c>
      <c r="C8" s="63" t="s">
        <v>185</v>
      </c>
      <c r="D8" s="63" t="s">
        <v>202</v>
      </c>
      <c r="E8" s="70" t="s">
        <v>320</v>
      </c>
      <c r="F8" s="13" t="s"/>
      <c r="G8" s="13" t="s"/>
      <c r="J8" s="65" t="s"/>
      <c r="K8" s="65" t="s"/>
      <c r="L8" s="65" t="s"/>
      <c r="M8" s="54" t="s"/>
      <c r="N8" s="54" t="s"/>
    </row>
    <row r="9" spans="1:14">
      <c r="A9" s="68" t="s"/>
      <c r="B9" s="68" t="s"/>
      <c r="C9" s="13" t="s">
        <v>189</v>
      </c>
      <c r="D9" s="63" t="s">
        <v>203</v>
      </c>
      <c r="E9" s="63" t="s">
        <v>204</v>
      </c>
      <c r="F9" s="13" t="s"/>
      <c r="G9" s="13" t="s"/>
      <c r="J9" s="65" t="s"/>
      <c r="K9" s="65" t="s"/>
      <c r="L9" s="65" t="s"/>
      <c r="M9" s="54" t="s"/>
      <c r="N9" s="54" t="s"/>
    </row>
    <row r="10" spans="1:14">
      <c r="A10" s="27" t="s"/>
      <c r="B10" s="27" t="s"/>
      <c r="C10" s="13" t="s">
        <v>2</v>
      </c>
      <c r="D10" s="63" t="s"/>
      <c r="E10" s="63" t="s">
        <v>205</v>
      </c>
      <c r="F10" s="13" t="s"/>
      <c r="G10" s="13" t="s"/>
      <c r="J10" s="54" t="s"/>
      <c r="K10" s="65" t="s"/>
      <c r="L10" s="65" t="s"/>
      <c r="M10" s="54" t="s"/>
      <c r="N10" s="54" t="s"/>
    </row>
    <row r="11" spans="1:14">
      <c r="A11" s="63" t="s">
        <v>206</v>
      </c>
      <c r="B11" s="63" t="s">
        <v>207</v>
      </c>
      <c r="C11" s="63" t="s">
        <v>174</v>
      </c>
      <c r="D11" s="63" t="s"/>
      <c r="E11" s="63" t="s">
        <v>208</v>
      </c>
      <c r="F11" s="13" t="s"/>
      <c r="G11" s="13" t="s"/>
      <c r="J11" s="54" t="s"/>
      <c r="K11" s="65" t="s"/>
      <c r="L11" s="65" t="s"/>
      <c r="M11" s="54" t="s"/>
      <c r="N11" s="54" t="s"/>
    </row>
    <row r="12" spans="1:14">
      <c r="A12" s="57" t="s">
        <v>209</v>
      </c>
      <c r="B12" s="13" t="s">
        <v>210</v>
      </c>
      <c r="C12" s="13" t="s">
        <v>211</v>
      </c>
      <c r="D12" s="13" t="s"/>
      <c r="E12" s="13" t="s"/>
      <c r="F12" s="13" t="s"/>
      <c r="G12" s="13" t="s"/>
      <c r="J12" s="65" t="s"/>
      <c r="K12" s="65" t="s"/>
      <c r="L12" s="66" t="s"/>
      <c r="M12" s="54" t="s"/>
      <c r="N12" s="54" t="s"/>
    </row>
    <row r="13" spans="1:14">
      <c r="A13" s="13" t="s"/>
      <c r="B13" s="13" t="s"/>
      <c r="C13" s="13" t="s">
        <v>100</v>
      </c>
      <c r="D13" s="13" t="s"/>
      <c r="E13" s="13" t="s"/>
      <c r="F13" s="13" t="s"/>
      <c r="G13" s="13" t="s"/>
      <c r="J13" s="54" t="s"/>
      <c r="K13" s="54" t="s"/>
      <c r="L13" s="54" t="s"/>
      <c r="M13" s="54" t="s"/>
      <c r="N13" s="54" t="s"/>
    </row>
    <row r="14" spans="1:14">
      <c r="A14" s="13" t="s"/>
      <c r="B14" s="13" t="s"/>
      <c r="C14" s="13" t="s">
        <v>212</v>
      </c>
      <c r="D14" s="13" t="s"/>
      <c r="E14" s="13" t="s"/>
      <c r="F14" s="13" t="s"/>
      <c r="G14" s="13" t="s"/>
      <c r="J14" s="54" t="s"/>
      <c r="K14" s="54" t="s"/>
      <c r="L14" s="54" t="s"/>
      <c r="M14" s="54" t="s"/>
      <c r="N14" s="54" t="s"/>
    </row>
    <row r="15" spans="10:14">
      <c r="J15" s="65" t="s"/>
      <c r="K15" s="65" t="s"/>
      <c r="L15" s="65" t="s"/>
      <c r="M15" s="54" t="s"/>
      <c r="N15" s="54" t="s"/>
    </row>
    <row r="16" spans="10:14">
      <c r="J16" s="54" t="s"/>
      <c r="K16" s="65" t="s"/>
      <c r="L16" s="65" t="s"/>
      <c r="M16" s="54" t="s"/>
      <c r="N16" s="54" t="s"/>
    </row>
    <row r="17" spans="10:14">
      <c r="J17" s="54" t="s"/>
      <c r="K17" s="65" t="s"/>
      <c r="L17" s="65" t="s"/>
      <c r="M17" s="54" t="s"/>
      <c r="N17" s="54" t="s"/>
    </row>
  </sheetData>
  <mergeCells count="8">
    <mergeCell ref="B2:B4"/>
    <mergeCell ref="A2:A4"/>
    <mergeCell ref="B12:B14"/>
    <mergeCell ref="A12:A14"/>
    <mergeCell ref="B5:B7"/>
    <mergeCell ref="A5:A7"/>
    <mergeCell ref="A8:A10"/>
    <mergeCell ref="B8:B10"/>
  </mergeCells>
</worksheet>
</file>

<file path=xl/worksheets/sheet7.xml><?xml version="1.0" encoding="utf-8"?>
<worksheet xmlns="http://schemas.openxmlformats.org/spreadsheetml/2006/main">
  <sheetPr codeName="跨部门协作">
    <tabColor/>
  </sheetPr>
  <dimension ref="L10"/>
  <sheetViews>
    <sheetView showGridLines="true" workbookViewId="0"/>
  </sheetViews>
  <sheetFormatPr baseColWidth="13" defaultRowHeight="18" customHeight="true"/>
  <cols>
    <col min="3" max="3" width="39.5234" customWidth="true"/>
    <col min="4" max="4" width="17.8008" customWidth="true"/>
    <col min="5" max="5" width="28.0508" customWidth="true"/>
    <col min="6" max="6" width="17.4023" customWidth="true"/>
  </cols>
  <sheetData>
    <row r="1" spans="1:12">
      <c r="A1" s="119" t="s">
        <v>288</v>
      </c>
      <c r="B1" s="119" t="s">
        <v>289</v>
      </c>
      <c r="C1" s="119" t="s">
        <v>290</v>
      </c>
      <c r="D1" s="120" t="s">
        <v>291</v>
      </c>
      <c r="E1" s="119" t="s">
        <v>292</v>
      </c>
      <c r="F1" s="119" t="s">
        <v>293</v>
      </c>
      <c r="G1" s="119" t="s">
        <v>294</v>
      </c>
      <c r="H1" s="119" t="s">
        <v>295</v>
      </c>
      <c r="I1" s="119" t="s">
        <v>65</v>
      </c>
      <c r="J1" s="119" t="s">
        <v>296</v>
      </c>
      <c r="K1" s="121" t="s">
        <v>297</v>
      </c>
      <c r="L1" s="119" t="s">
        <v>298</v>
      </c>
    </row>
    <row r="2" spans="1:12">
      <c r="A2" s="122" t="s">
        <v>299</v>
      </c>
      <c r="B2" s="13" t="s">
        <v>300</v>
      </c>
      <c r="C2" s="13" t="s">
        <v>301</v>
      </c>
      <c r="D2" s="123">
        <v>46218</v>
      </c>
      <c r="E2" s="123">
        <v>46218</v>
      </c>
      <c r="F2" s="13" t="s"/>
      <c r="G2" s="13" t="s">
        <v>302</v>
      </c>
      <c r="H2" s="13" t="s"/>
      <c r="I2" s="13" t="s"/>
      <c r="J2" s="13" t="s"/>
      <c r="K2" s="13" t="s"/>
      <c r="L2" s="13" t="s"/>
    </row>
    <row r="3" spans="1:12">
      <c r="A3" s="124" t="s"/>
      <c r="B3" s="125" t="s">
        <v>303</v>
      </c>
      <c r="C3" s="13" t="s">
        <v>304</v>
      </c>
      <c r="D3" s="123">
        <v>46218</v>
      </c>
      <c r="E3" s="123">
        <v>46218</v>
      </c>
      <c r="F3" s="13" t="s"/>
      <c r="G3" s="13" t="s">
        <v>302</v>
      </c>
      <c r="H3" s="13" t="s"/>
      <c r="I3" s="13" t="s"/>
      <c r="J3" s="13" t="s"/>
      <c r="K3" s="13" t="s"/>
      <c r="L3" s="13" t="s"/>
    </row>
    <row r="4" spans="1:12">
      <c r="A4" s="68" t="s"/>
      <c r="B4" s="124" t="s"/>
      <c r="C4" s="13" t="s">
        <v>305</v>
      </c>
      <c r="D4" s="123">
        <v>46135</v>
      </c>
      <c r="E4" s="123">
        <v>46135</v>
      </c>
      <c r="F4" s="13" t="s">
        <v>306</v>
      </c>
      <c r="G4" s="13" t="s">
        <v>302</v>
      </c>
      <c r="H4" s="13" t="s">
        <v>302</v>
      </c>
      <c r="I4" s="13" t="s">
        <v>307</v>
      </c>
      <c r="J4" s="13" t="s"/>
      <c r="K4" s="13" t="s"/>
      <c r="L4" s="13" t="s"/>
    </row>
    <row r="5" spans="1:12">
      <c r="A5" s="68" t="s"/>
      <c r="B5" s="68" t="s"/>
      <c r="C5" s="13" t="s">
        <v>308</v>
      </c>
      <c r="D5" s="13" t="s"/>
      <c r="E5" s="13" t="s"/>
      <c r="F5" s="13" t="s"/>
      <c r="G5" s="13" t="s"/>
      <c r="H5" s="13" t="s"/>
      <c r="I5" s="13" t="s"/>
      <c r="J5" s="13" t="s"/>
      <c r="K5" s="13" t="s"/>
      <c r="L5" s="13" t="s"/>
    </row>
    <row r="6" spans="1:12">
      <c r="A6" s="68" t="s"/>
      <c r="B6" s="68" t="s"/>
      <c r="C6" s="13" t="s">
        <v>309</v>
      </c>
      <c r="D6" s="13" t="s"/>
      <c r="E6" s="13" t="s"/>
      <c r="F6" s="13" t="s"/>
      <c r="G6" s="13" t="s"/>
      <c r="H6" s="13" t="s"/>
      <c r="I6" s="13" t="s"/>
      <c r="J6" s="13" t="s"/>
      <c r="K6" s="13" t="s"/>
      <c r="L6" s="13" t="s"/>
    </row>
    <row r="7" spans="1:12">
      <c r="A7" s="68" t="s"/>
      <c r="B7" s="68" t="s"/>
      <c r="C7" s="13" t="s">
        <v>310</v>
      </c>
      <c r="D7" s="13" t="s"/>
      <c r="E7" s="13" t="s"/>
      <c r="F7" s="13" t="s"/>
      <c r="G7" s="13" t="s"/>
      <c r="H7" s="13" t="s"/>
      <c r="I7" s="13" t="s"/>
      <c r="J7" s="13" t="s"/>
      <c r="K7" s="13" t="s"/>
      <c r="L7" s="13" t="s"/>
    </row>
    <row r="8" spans="1:12">
      <c r="A8" s="126" t="s"/>
      <c r="B8" s="27" t="s"/>
      <c r="C8" s="13" t="s">
        <v>311</v>
      </c>
      <c r="D8" s="13" t="s"/>
      <c r="E8" s="13" t="s"/>
      <c r="F8" s="13" t="s"/>
      <c r="G8" s="13" t="s"/>
      <c r="H8" s="13" t="s"/>
      <c r="I8" s="13" t="s"/>
      <c r="J8" s="13" t="s"/>
      <c r="K8" s="13" t="s"/>
      <c r="L8" s="13" t="s"/>
    </row>
    <row r="9" spans="1:12">
      <c r="A9" s="27" t="s"/>
      <c r="B9" s="127" t="s">
        <v>53</v>
      </c>
      <c r="C9" s="13" t="s">
        <v>312</v>
      </c>
      <c r="D9" s="123">
        <v>46387</v>
      </c>
      <c r="E9" s="13" t="s">
        <v>43</v>
      </c>
      <c r="F9" s="13" t="s"/>
      <c r="G9" s="13" t="s"/>
      <c r="H9" s="13" t="s"/>
      <c r="I9" s="13" t="s"/>
      <c r="J9" s="13" t="s"/>
      <c r="K9" s="13" t="s"/>
      <c r="L9" s="13" t="s"/>
    </row>
    <row r="10" spans="1:12">
      <c r="A10" s="13" t="s">
        <v>313</v>
      </c>
      <c r="B10" s="13" t="s">
        <v>299</v>
      </c>
      <c r="C10" s="13" t="s">
        <v>314</v>
      </c>
      <c r="D10" s="123">
        <v>46387</v>
      </c>
      <c r="E10" s="123">
        <v>46387</v>
      </c>
      <c r="F10" s="13" t="s">
        <v>315</v>
      </c>
      <c r="G10" s="13" t="s">
        <v>302</v>
      </c>
      <c r="H10" s="13" t="s">
        <v>316</v>
      </c>
      <c r="I10" s="13" t="s"/>
      <c r="J10" s="13" t="s"/>
      <c r="K10" s="13" t="s"/>
      <c r="L10" s="13" t="s"/>
    </row>
  </sheetData>
  <mergeCells count="2">
    <mergeCell ref="B3:B8"/>
    <mergeCell ref="A2:A9"/>
  </mergeCells>
</worksheet>
</file>

<file path=xl/worksheets/sheet8.xml><?xml version="1.0" encoding="utf-8"?>
<worksheet xmlns="http://schemas.openxmlformats.org/spreadsheetml/2006/main">
  <sheetPr codeName="整体人力甘特图">
    <tabColor/>
  </sheetPr>
  <dimension ref="D50"/>
  <sheetViews>
    <sheetView showGridLines="true" workbookViewId="0">
      <pane xSplit="3" topLeftCell="D1" state="frozen"/>
    </sheetView>
  </sheetViews>
  <sheetFormatPr baseColWidth="13" defaultRowHeight="18" customHeight="true"/>
  <cols>
    <col min="1" max="1" width="13.3008" customWidth="true"/>
    <col min="2" max="2" width="7.68359" customWidth="true"/>
    <col min="3" max="3" width="8.40234" customWidth="true"/>
    <col min="4" max="4" width="15.0039" customWidth="true"/>
    <col min="5" max="6" width="12.4141" customWidth="true"/>
    <col min="7" max="14" width="13.8008" customWidth="true"/>
    <col min="15" max="15" width="51.9336" customWidth="true"/>
  </cols>
  <sheetData>
    <row r="1" spans="1:15">
      <c r="A1" s="40" t="s">
        <v>61</v>
      </c>
      <c r="B1" s="41" t="s"/>
      <c r="C1" s="13" t="s"/>
      <c r="D1" s="13" t="s"/>
      <c r="E1" s="13" t="s"/>
      <c r="F1" s="13" t="s"/>
      <c r="G1" s="13" t="s"/>
      <c r="H1" s="13" t="s"/>
      <c r="I1" s="13" t="s"/>
      <c r="J1" s="13" t="s"/>
      <c r="K1" s="13" t="s"/>
      <c r="L1" s="13" t="s"/>
      <c r="M1" s="13" t="s"/>
      <c r="N1" s="13" t="s"/>
      <c r="O1" s="42" t="s"/>
    </row>
    <row r="2" spans="1:15">
      <c r="A2" s="43" t="s">
        <v>62</v>
      </c>
      <c r="B2" s="43" t="s">
        <v>63</v>
      </c>
      <c r="C2" s="43" t="s">
        <v>64</v>
      </c>
      <c r="D2" s="43" t="s">
        <v>2</v>
      </c>
      <c r="E2" s="44">
        <v>46082</v>
      </c>
      <c r="F2" s="44">
        <v>46113</v>
      </c>
      <c r="G2" s="44">
        <v>46143</v>
      </c>
      <c r="H2" s="44">
        <v>46174</v>
      </c>
      <c r="I2" s="44">
        <v>46204</v>
      </c>
      <c r="J2" s="44">
        <v>46235</v>
      </c>
      <c r="K2" s="44">
        <v>46266</v>
      </c>
      <c r="L2" s="44">
        <v>46296</v>
      </c>
      <c r="M2" s="44">
        <v>46327</v>
      </c>
      <c r="N2" s="44">
        <v>46357</v>
      </c>
      <c r="O2" s="42" t="s">
        <v>65</v>
      </c>
    </row>
    <row r="3" spans="1:15" hidden="true">
      <c r="A3" s="45" t="s">
        <v>66</v>
      </c>
      <c r="B3" s="46" t="s">
        <v>67</v>
      </c>
      <c r="C3" s="38" t="s">
        <v>29</v>
      </c>
      <c r="D3" s="38" t="s">
        <v>68</v>
      </c>
      <c r="E3" s="38" t="s">
        <v>69</v>
      </c>
      <c r="F3" s="38" t="s">
        <v>69</v>
      </c>
      <c r="G3" s="38" t="s">
        <v>69</v>
      </c>
      <c r="H3" s="38" t="s">
        <v>70</v>
      </c>
      <c r="I3" s="38" t="s">
        <v>70</v>
      </c>
      <c r="J3" s="38" t="s">
        <v>70</v>
      </c>
      <c r="K3" s="38" t="s">
        <v>70</v>
      </c>
      <c r="L3" s="38" t="s">
        <v>70</v>
      </c>
      <c r="M3" s="38" t="s">
        <v>70</v>
      </c>
      <c r="N3" s="38" t="s">
        <v>70</v>
      </c>
      <c r="O3" s="37" t="s">
        <v>71</v>
      </c>
    </row>
    <row r="4" spans="1:15" hidden="true">
      <c r="A4" s="45" t="s">
        <v>72</v>
      </c>
      <c r="B4" s="46" t="s">
        <v>73</v>
      </c>
      <c r="C4" s="38" t="s">
        <v>74</v>
      </c>
      <c r="D4" s="38" t="s">
        <v>68</v>
      </c>
      <c r="E4" s="38" t="s">
        <v>17</v>
      </c>
      <c r="F4" s="38" t="s">
        <v>17</v>
      </c>
      <c r="G4" s="38" t="s">
        <v>17</v>
      </c>
      <c r="H4" s="38" t="s">
        <v>17</v>
      </c>
      <c r="I4" s="38" t="s">
        <v>75</v>
      </c>
      <c r="J4" s="38" t="s">
        <v>75</v>
      </c>
      <c r="K4" s="38" t="s">
        <v>75</v>
      </c>
      <c r="L4" s="38" t="s">
        <v>76</v>
      </c>
      <c r="M4" s="38" t="s">
        <v>76</v>
      </c>
      <c r="N4" s="38" t="s">
        <v>76</v>
      </c>
      <c r="O4" s="37" t="s">
        <v>77</v>
      </c>
    </row>
    <row r="5" spans="1:15">
      <c r="A5" s="45" t="s">
        <v>78</v>
      </c>
      <c r="B5" s="46" t="s">
        <v>79</v>
      </c>
      <c r="C5" s="38" t="s">
        <v>29</v>
      </c>
      <c r="D5" s="38" t="s">
        <v>80</v>
      </c>
      <c r="E5" s="38" t="s">
        <v>17</v>
      </c>
      <c r="F5" s="38" t="s">
        <v>17</v>
      </c>
      <c r="G5" s="38" t="s">
        <v>17</v>
      </c>
      <c r="H5" s="38" t="s">
        <v>17</v>
      </c>
      <c r="I5" s="38" t="s">
        <v>75</v>
      </c>
      <c r="J5" s="38" t="s">
        <v>75</v>
      </c>
      <c r="K5" s="38" t="s">
        <v>75</v>
      </c>
      <c r="L5" s="38" t="s">
        <v>76</v>
      </c>
      <c r="M5" s="38" t="s">
        <v>76</v>
      </c>
      <c r="N5" s="38" t="s">
        <v>76</v>
      </c>
      <c r="O5" s="37" t="s">
        <v>81</v>
      </c>
    </row>
    <row r="6" spans="1:15">
      <c r="A6" s="45" t="s">
        <v>82</v>
      </c>
      <c r="B6" s="46" t="s">
        <v>83</v>
      </c>
      <c r="C6" s="38" t="s">
        <v>21</v>
      </c>
      <c r="D6" s="38" t="s">
        <v>80</v>
      </c>
      <c r="E6" s="38" t="s">
        <v>84</v>
      </c>
      <c r="F6" s="38" t="s">
        <v>84</v>
      </c>
      <c r="G6" s="38" t="s">
        <v>75</v>
      </c>
      <c r="H6" s="38" t="s">
        <v>75</v>
      </c>
      <c r="I6" s="38" t="s">
        <v>75</v>
      </c>
      <c r="J6" s="38" t="s">
        <v>75</v>
      </c>
      <c r="K6" s="38" t="s">
        <v>75</v>
      </c>
      <c r="L6" s="38" t="s">
        <v>76</v>
      </c>
      <c r="M6" s="38" t="s">
        <v>76</v>
      </c>
      <c r="N6" s="38" t="s">
        <v>76</v>
      </c>
      <c r="O6" s="37" t="s"/>
    </row>
    <row r="7" spans="1:15" hidden="true">
      <c r="A7" s="45" t="s">
        <v>85</v>
      </c>
      <c r="B7" s="46" t="s">
        <v>86</v>
      </c>
      <c r="C7" s="38" t="s">
        <v>87</v>
      </c>
      <c r="D7" s="38" t="s">
        <v>68</v>
      </c>
      <c r="E7" s="38" t="s">
        <v>17</v>
      </c>
      <c r="F7" s="38" t="s">
        <v>44</v>
      </c>
      <c r="G7" s="38" t="s">
        <v>44</v>
      </c>
      <c r="H7" s="38" t="s">
        <v>44</v>
      </c>
      <c r="I7" s="38" t="s">
        <v>44</v>
      </c>
      <c r="J7" s="38" t="s">
        <v>44</v>
      </c>
      <c r="K7" s="38" t="s">
        <v>44</v>
      </c>
      <c r="L7" s="38" t="s">
        <v>44</v>
      </c>
      <c r="M7" s="38" t="s">
        <v>44</v>
      </c>
      <c r="N7" s="38" t="s">
        <v>44</v>
      </c>
      <c r="O7" s="37" t="s">
        <v>88</v>
      </c>
    </row>
    <row r="8" spans="1:15" hidden="true">
      <c r="A8" s="45" t="s">
        <v>89</v>
      </c>
      <c r="B8" s="46" t="s">
        <v>86</v>
      </c>
      <c r="C8" s="38" t="s">
        <v>74</v>
      </c>
      <c r="D8" s="38" t="s">
        <v>68</v>
      </c>
      <c r="E8" s="38" t="s">
        <v>90</v>
      </c>
      <c r="F8" s="38" t="s">
        <v>90</v>
      </c>
      <c r="G8" s="38" t="s">
        <v>90</v>
      </c>
      <c r="H8" s="38" t="s">
        <v>90</v>
      </c>
      <c r="I8" s="38" t="s">
        <v>44</v>
      </c>
      <c r="J8" s="38" t="s">
        <v>44</v>
      </c>
      <c r="K8" s="38" t="s">
        <v>44</v>
      </c>
      <c r="L8" s="38" t="s">
        <v>44</v>
      </c>
      <c r="M8" s="38" t="s">
        <v>44</v>
      </c>
      <c r="N8" s="38" t="s">
        <v>44</v>
      </c>
      <c r="O8" s="37" t="s">
        <v>91</v>
      </c>
    </row>
    <row r="9" spans="1:15" hidden="true">
      <c r="A9" s="45" t="s">
        <v>92</v>
      </c>
      <c r="B9" s="46" t="s">
        <v>86</v>
      </c>
      <c r="C9" s="38" t="s">
        <v>93</v>
      </c>
      <c r="D9" s="38" t="s">
        <v>55</v>
      </c>
      <c r="E9" s="38" t="s">
        <v>55</v>
      </c>
      <c r="F9" s="38" t="s">
        <v>55</v>
      </c>
      <c r="G9" s="38" t="s">
        <v>55</v>
      </c>
      <c r="H9" s="38" t="s">
        <v>55</v>
      </c>
      <c r="I9" s="38" t="s">
        <v>55</v>
      </c>
      <c r="J9" s="38" t="s">
        <v>55</v>
      </c>
      <c r="K9" s="38" t="s">
        <v>55</v>
      </c>
      <c r="L9" s="38" t="s">
        <v>55</v>
      </c>
      <c r="M9" s="38" t="s">
        <v>55</v>
      </c>
      <c r="N9" s="38" t="s">
        <v>55</v>
      </c>
      <c r="O9" s="37" t="s"/>
    </row>
    <row r="10" spans="1:15">
      <c r="A10" s="45" t="s">
        <v>94</v>
      </c>
      <c r="B10" s="46" t="s">
        <v>95</v>
      </c>
      <c r="C10" s="38" t="s">
        <v>29</v>
      </c>
      <c r="D10" s="38" t="s">
        <v>96</v>
      </c>
      <c r="E10" s="38" t="s">
        <v>17</v>
      </c>
      <c r="F10" s="38" t="s">
        <v>17</v>
      </c>
      <c r="G10" s="38" t="s">
        <v>17</v>
      </c>
      <c r="H10" s="38" t="s">
        <v>17</v>
      </c>
      <c r="I10" s="38" t="s">
        <v>70</v>
      </c>
      <c r="J10" s="38" t="s">
        <v>70</v>
      </c>
      <c r="K10" s="38" t="s">
        <v>70</v>
      </c>
      <c r="L10" s="38" t="s">
        <v>70</v>
      </c>
      <c r="M10" s="38" t="s">
        <v>70</v>
      </c>
      <c r="N10" s="38" t="s">
        <v>70</v>
      </c>
      <c r="O10" s="37" t="s">
        <v>97</v>
      </c>
    </row>
    <row r="11" spans="1:15" hidden="true">
      <c r="A11" s="45" t="s">
        <v>98</v>
      </c>
      <c r="B11" s="46" t="s">
        <v>67</v>
      </c>
      <c r="C11" s="38" t="s">
        <v>21</v>
      </c>
      <c r="D11" s="38" t="s">
        <v>99</v>
      </c>
      <c r="E11" s="38" t="s">
        <v>100</v>
      </c>
      <c r="F11" s="38" t="s">
        <v>100</v>
      </c>
      <c r="G11" s="38" t="s">
        <v>90</v>
      </c>
      <c r="H11" s="38" t="s">
        <v>90</v>
      </c>
      <c r="I11" s="38" t="s">
        <v>70</v>
      </c>
      <c r="J11" s="38" t="s">
        <v>70</v>
      </c>
      <c r="K11" s="47" t="s">
        <v>70</v>
      </c>
      <c r="L11" s="47" t="s">
        <v>70</v>
      </c>
      <c r="M11" s="47" t="s">
        <v>70</v>
      </c>
      <c r="N11" s="47" t="s">
        <v>70</v>
      </c>
      <c r="O11" s="37" t="s">
        <v>97</v>
      </c>
    </row>
    <row r="12" spans="1:15">
      <c r="A12" s="45" t="s">
        <v>101</v>
      </c>
      <c r="B12" s="46" t="s">
        <v>95</v>
      </c>
      <c r="C12" s="38" t="s">
        <v>21</v>
      </c>
      <c r="D12" s="38" t="s">
        <v>96</v>
      </c>
      <c r="E12" s="38" t="s">
        <v>17</v>
      </c>
      <c r="F12" s="38" t="s">
        <v>17</v>
      </c>
      <c r="G12" s="38" t="s">
        <v>17</v>
      </c>
      <c r="H12" s="38" t="s">
        <v>90</v>
      </c>
      <c r="I12" s="38" t="s">
        <v>90</v>
      </c>
      <c r="J12" s="38" t="s">
        <v>70</v>
      </c>
      <c r="K12" s="38" t="s">
        <v>70</v>
      </c>
      <c r="L12" s="38" t="s">
        <v>70</v>
      </c>
      <c r="M12" s="38" t="s">
        <v>70</v>
      </c>
      <c r="N12" s="38" t="s">
        <v>70</v>
      </c>
      <c r="O12" s="37" t="s">
        <v>97</v>
      </c>
    </row>
    <row r="13" spans="1:15">
      <c r="A13" s="45" t="s">
        <v>102</v>
      </c>
      <c r="B13" s="46" t="s">
        <v>95</v>
      </c>
      <c r="C13" s="38" t="s">
        <v>29</v>
      </c>
      <c r="D13" s="38" t="s">
        <v>96</v>
      </c>
      <c r="E13" s="38" t="s">
        <v>17</v>
      </c>
      <c r="F13" s="38" t="s">
        <v>17</v>
      </c>
      <c r="G13" s="38" t="s">
        <v>17</v>
      </c>
      <c r="H13" s="38" t="s">
        <v>17</v>
      </c>
      <c r="I13" s="38" t="s">
        <v>70</v>
      </c>
      <c r="J13" s="38" t="s">
        <v>70</v>
      </c>
      <c r="K13" s="38" t="s">
        <v>70</v>
      </c>
      <c r="L13" s="38" t="s">
        <v>70</v>
      </c>
      <c r="M13" s="38" t="s">
        <v>70</v>
      </c>
      <c r="N13" s="38" t="s">
        <v>70</v>
      </c>
      <c r="O13" s="37" t="s">
        <v>97</v>
      </c>
    </row>
    <row r="14" spans="1:15" hidden="true">
      <c r="A14" s="45" t="s">
        <v>103</v>
      </c>
      <c r="B14" s="46" t="s">
        <v>95</v>
      </c>
      <c r="C14" s="38" t="s">
        <v>29</v>
      </c>
      <c r="D14" s="38" t="s">
        <v>104</v>
      </c>
      <c r="E14" s="38" t="s">
        <v>17</v>
      </c>
      <c r="F14" s="38" t="s">
        <v>17</v>
      </c>
      <c r="G14" s="38" t="s">
        <v>17</v>
      </c>
      <c r="H14" s="38" t="s">
        <v>17</v>
      </c>
      <c r="I14" s="38" t="s">
        <v>36</v>
      </c>
      <c r="J14" s="38" t="s">
        <v>36</v>
      </c>
      <c r="K14" s="38" t="s">
        <v>36</v>
      </c>
      <c r="L14" s="38" t="s">
        <v>36</v>
      </c>
      <c r="M14" s="38" t="s">
        <v>36</v>
      </c>
      <c r="N14" s="38" t="s">
        <v>36</v>
      </c>
      <c r="O14" s="37" t="s"/>
    </row>
    <row r="15" spans="1:15" hidden="true">
      <c r="A15" s="45" t="s">
        <v>105</v>
      </c>
      <c r="B15" s="46" t="s">
        <v>106</v>
      </c>
      <c r="C15" s="38" t="s">
        <v>107</v>
      </c>
      <c r="D15" s="38" t="s">
        <v>55</v>
      </c>
      <c r="E15" s="38" t="s">
        <v>55</v>
      </c>
      <c r="F15" s="38" t="s">
        <v>55</v>
      </c>
      <c r="G15" s="38" t="s">
        <v>55</v>
      </c>
      <c r="H15" s="38" t="s">
        <v>55</v>
      </c>
      <c r="I15" s="38" t="s">
        <v>55</v>
      </c>
      <c r="J15" s="38" t="s">
        <v>55</v>
      </c>
      <c r="K15" s="38" t="s">
        <v>55</v>
      </c>
      <c r="L15" s="38" t="s">
        <v>55</v>
      </c>
      <c r="M15" s="38" t="s">
        <v>55</v>
      </c>
      <c r="N15" s="38" t="s">
        <v>55</v>
      </c>
      <c r="O15" s="37" t="s"/>
    </row>
    <row r="16" spans="1:15">
      <c r="A16" s="45" t="s">
        <v>108</v>
      </c>
      <c r="B16" s="46" t="s">
        <v>79</v>
      </c>
      <c r="C16" s="38" t="s">
        <v>109</v>
      </c>
      <c r="D16" s="38" t="s">
        <v>96</v>
      </c>
      <c r="E16" s="38" t="s">
        <v>17</v>
      </c>
      <c r="F16" s="38" t="s">
        <v>17</v>
      </c>
      <c r="G16" s="38" t="s">
        <v>17</v>
      </c>
      <c r="H16" s="38" t="s">
        <v>17</v>
      </c>
      <c r="I16" s="38" t="s">
        <v>70</v>
      </c>
      <c r="J16" s="38" t="s">
        <v>70</v>
      </c>
      <c r="K16" s="38" t="s">
        <v>70</v>
      </c>
      <c r="L16" s="38" t="s">
        <v>70</v>
      </c>
      <c r="M16" s="38" t="s">
        <v>70</v>
      </c>
      <c r="N16" s="38" t="s">
        <v>70</v>
      </c>
      <c r="O16" s="37" t="s">
        <v>110</v>
      </c>
    </row>
    <row r="17" spans="1:15" hidden="true">
      <c r="A17" s="45" t="s">
        <v>111</v>
      </c>
      <c r="B17" s="46" t="s">
        <v>95</v>
      </c>
      <c r="C17" s="38" t="s">
        <v>109</v>
      </c>
      <c r="D17" s="38" t="s">
        <v>104</v>
      </c>
      <c r="E17" s="38" t="s">
        <v>17</v>
      </c>
      <c r="F17" s="38" t="s">
        <v>17</v>
      </c>
      <c r="G17" s="38" t="s">
        <v>17</v>
      </c>
      <c r="H17" s="38" t="s">
        <v>17</v>
      </c>
      <c r="I17" s="38" t="s">
        <v>36</v>
      </c>
      <c r="J17" s="38" t="s">
        <v>36</v>
      </c>
      <c r="K17" s="38" t="s">
        <v>36</v>
      </c>
      <c r="L17" s="38" t="s">
        <v>36</v>
      </c>
      <c r="M17" s="38" t="s">
        <v>36</v>
      </c>
      <c r="N17" s="38" t="s">
        <v>36</v>
      </c>
      <c r="O17" s="37" t="s"/>
    </row>
    <row r="18" spans="1:15" hidden="true">
      <c r="A18" s="45" t="s">
        <v>112</v>
      </c>
      <c r="B18" s="46" t="s">
        <v>95</v>
      </c>
      <c r="C18" s="38" t="s">
        <v>29</v>
      </c>
      <c r="D18" s="38" t="s">
        <v>104</v>
      </c>
      <c r="E18" s="38" t="s">
        <v>113</v>
      </c>
      <c r="F18" s="38" t="s">
        <v>113</v>
      </c>
      <c r="G18" s="38" t="s">
        <v>113</v>
      </c>
      <c r="H18" s="38" t="s">
        <v>113</v>
      </c>
      <c r="I18" s="38" t="s">
        <v>36</v>
      </c>
      <c r="J18" s="38" t="s">
        <v>36</v>
      </c>
      <c r="K18" s="38" t="s">
        <v>36</v>
      </c>
      <c r="L18" s="38" t="s">
        <v>36</v>
      </c>
      <c r="M18" s="38" t="s">
        <v>36</v>
      </c>
      <c r="N18" s="38" t="s">
        <v>36</v>
      </c>
      <c r="O18" s="37" t="s"/>
    </row>
    <row r="19" spans="1:15" hidden="true">
      <c r="A19" s="45" t="s">
        <v>114</v>
      </c>
      <c r="B19" s="46" t="s">
        <v>115</v>
      </c>
      <c r="C19" s="38" t="s">
        <v>116</v>
      </c>
      <c r="D19" s="38" t="s">
        <v>54</v>
      </c>
      <c r="E19" s="38" t="s">
        <v>54</v>
      </c>
      <c r="F19" s="38" t="s">
        <v>54</v>
      </c>
      <c r="G19" s="38" t="s">
        <v>54</v>
      </c>
      <c r="H19" s="38" t="s">
        <v>54</v>
      </c>
      <c r="I19" s="38" t="s">
        <v>54</v>
      </c>
      <c r="J19" s="38" t="s">
        <v>54</v>
      </c>
      <c r="K19" s="38" t="s">
        <v>54</v>
      </c>
      <c r="L19" s="38" t="s">
        <v>54</v>
      </c>
      <c r="M19" s="38" t="s">
        <v>54</v>
      </c>
      <c r="N19" s="38" t="s">
        <v>54</v>
      </c>
      <c r="O19" s="37" t="s"/>
    </row>
    <row r="20" spans="1:15" hidden="true">
      <c r="A20" s="45" t="s">
        <v>117</v>
      </c>
      <c r="B20" s="46" t="s">
        <v>95</v>
      </c>
      <c r="C20" s="38" t="s">
        <v>29</v>
      </c>
      <c r="D20" s="38" t="s">
        <v>104</v>
      </c>
      <c r="E20" s="38" t="s">
        <v>17</v>
      </c>
      <c r="F20" s="38" t="s">
        <v>17</v>
      </c>
      <c r="G20" s="38" t="s">
        <v>17</v>
      </c>
      <c r="H20" s="38" t="s">
        <v>17</v>
      </c>
      <c r="I20" s="38" t="s">
        <v>36</v>
      </c>
      <c r="J20" s="38" t="s">
        <v>36</v>
      </c>
      <c r="K20" s="38" t="s">
        <v>36</v>
      </c>
      <c r="L20" s="38" t="s">
        <v>36</v>
      </c>
      <c r="M20" s="38" t="s">
        <v>36</v>
      </c>
      <c r="N20" s="38" t="s">
        <v>36</v>
      </c>
      <c r="O20" s="37" t="s"/>
    </row>
    <row r="21" spans="1:15" hidden="true">
      <c r="A21" s="45" t="s">
        <v>118</v>
      </c>
      <c r="B21" s="46" t="s">
        <v>95</v>
      </c>
      <c r="C21" s="38" t="s">
        <v>21</v>
      </c>
      <c r="D21" s="38" t="s">
        <v>104</v>
      </c>
      <c r="E21" s="38" t="s">
        <v>113</v>
      </c>
      <c r="F21" s="38" t="s">
        <v>113</v>
      </c>
      <c r="G21" s="38" t="s">
        <v>113</v>
      </c>
      <c r="H21" s="38" t="s">
        <v>113</v>
      </c>
      <c r="I21" s="38" t="s">
        <v>36</v>
      </c>
      <c r="J21" s="38" t="s">
        <v>36</v>
      </c>
      <c r="K21" s="38" t="s">
        <v>36</v>
      </c>
      <c r="L21" s="38" t="s">
        <v>36</v>
      </c>
      <c r="M21" s="38" t="s">
        <v>36</v>
      </c>
      <c r="N21" s="38" t="s">
        <v>36</v>
      </c>
      <c r="O21" s="37" t="s"/>
    </row>
    <row r="22" spans="1:15" hidden="true">
      <c r="A22" s="45" t="s">
        <v>119</v>
      </c>
      <c r="B22" s="46" t="s">
        <v>79</v>
      </c>
      <c r="C22" s="38" t="s">
        <v>120</v>
      </c>
      <c r="D22" s="38" t="s">
        <v>99</v>
      </c>
      <c r="E22" s="38" t="s">
        <v>90</v>
      </c>
      <c r="F22" s="38" t="s">
        <v>90</v>
      </c>
      <c r="G22" s="38" t="s">
        <v>121</v>
      </c>
      <c r="H22" s="38" t="s">
        <v>121</v>
      </c>
      <c r="I22" s="38" t="s">
        <v>121</v>
      </c>
      <c r="J22" s="38" t="s">
        <v>121</v>
      </c>
      <c r="K22" s="38" t="s">
        <v>121</v>
      </c>
      <c r="L22" s="38" t="s">
        <v>121</v>
      </c>
      <c r="M22" s="38" t="s">
        <v>121</v>
      </c>
      <c r="N22" s="38" t="s">
        <v>121</v>
      </c>
      <c r="O22" s="37" t="s"/>
    </row>
    <row r="23" spans="1:15">
      <c r="A23" s="45" t="s">
        <v>122</v>
      </c>
      <c r="B23" s="46" t="s">
        <v>95</v>
      </c>
      <c r="C23" s="38" t="s">
        <v>29</v>
      </c>
      <c r="D23" s="38" t="s">
        <v>96</v>
      </c>
      <c r="E23" s="38" t="s">
        <v>90</v>
      </c>
      <c r="F23" s="38" t="s">
        <v>90</v>
      </c>
      <c r="G23" s="38" t="s">
        <v>90</v>
      </c>
      <c r="H23" s="38" t="s">
        <v>90</v>
      </c>
      <c r="I23" s="38" t="s">
        <v>47</v>
      </c>
      <c r="J23" s="38" t="s">
        <v>47</v>
      </c>
      <c r="K23" s="38" t="s">
        <v>47</v>
      </c>
      <c r="L23" s="38" t="s">
        <v>47</v>
      </c>
      <c r="M23" s="38" t="s">
        <v>70</v>
      </c>
      <c r="N23" s="38" t="s">
        <v>47</v>
      </c>
      <c r="O23" s="37" t="s"/>
    </row>
    <row r="24" spans="1:15">
      <c r="A24" s="45" t="s">
        <v>123</v>
      </c>
      <c r="B24" s="46" t="s">
        <v>95</v>
      </c>
      <c r="C24" s="38" t="s">
        <v>29</v>
      </c>
      <c r="D24" s="38" t="s">
        <v>96</v>
      </c>
      <c r="E24" s="38" t="s">
        <v>90</v>
      </c>
      <c r="F24" s="38" t="s">
        <v>90</v>
      </c>
      <c r="G24" s="38" t="s">
        <v>90</v>
      </c>
      <c r="H24" s="38" t="s">
        <v>90</v>
      </c>
      <c r="I24" s="38" t="s">
        <v>90</v>
      </c>
      <c r="J24" s="38" t="s">
        <v>70</v>
      </c>
      <c r="K24" s="38" t="s">
        <v>70</v>
      </c>
      <c r="L24" s="38" t="s">
        <v>70</v>
      </c>
      <c r="M24" s="38" t="s">
        <v>70</v>
      </c>
      <c r="N24" s="38" t="s">
        <v>70</v>
      </c>
      <c r="O24" s="37" t="s"/>
    </row>
    <row r="25" spans="1:15">
      <c r="A25" s="45" t="s">
        <v>124</v>
      </c>
      <c r="B25" s="46" t="s">
        <v>67</v>
      </c>
      <c r="C25" s="38" t="s">
        <v>29</v>
      </c>
      <c r="D25" s="38" t="s">
        <v>96</v>
      </c>
      <c r="E25" s="38" t="s">
        <v>90</v>
      </c>
      <c r="F25" s="38" t="s">
        <v>90</v>
      </c>
      <c r="G25" s="38" t="s">
        <v>90</v>
      </c>
      <c r="H25" s="38" t="s">
        <v>90</v>
      </c>
      <c r="I25" s="38" t="s">
        <v>90</v>
      </c>
      <c r="J25" s="38" t="s">
        <v>70</v>
      </c>
      <c r="K25" s="38" t="s">
        <v>70</v>
      </c>
      <c r="L25" s="38" t="s">
        <v>70</v>
      </c>
      <c r="M25" s="38" t="s">
        <v>70</v>
      </c>
      <c r="N25" s="38" t="s">
        <v>70</v>
      </c>
      <c r="O25" s="37" t="s"/>
    </row>
    <row r="26" spans="1:15">
      <c r="A26" s="45" t="s">
        <v>125</v>
      </c>
      <c r="B26" s="46" t="s">
        <v>95</v>
      </c>
      <c r="C26" s="38" t="s">
        <v>109</v>
      </c>
      <c r="D26" s="47" t="s">
        <v>80</v>
      </c>
      <c r="E26" s="38" t="s">
        <v>126</v>
      </c>
      <c r="F26" s="38" t="s">
        <v>126</v>
      </c>
      <c r="G26" s="38" t="s">
        <v>75</v>
      </c>
      <c r="H26" s="38" t="s">
        <v>75</v>
      </c>
      <c r="I26" s="38" t="s">
        <v>75</v>
      </c>
      <c r="J26" s="38" t="s">
        <v>75</v>
      </c>
      <c r="K26" s="38" t="s">
        <v>75</v>
      </c>
      <c r="L26" s="38" t="s">
        <v>76</v>
      </c>
      <c r="M26" s="38" t="s">
        <v>76</v>
      </c>
      <c r="N26" s="38" t="s">
        <v>76</v>
      </c>
      <c r="O26" s="37" t="s"/>
    </row>
    <row r="27" spans="1:15" hidden="true">
      <c r="A27" s="45" t="s">
        <v>127</v>
      </c>
      <c r="B27" s="46" t="s">
        <v>128</v>
      </c>
      <c r="C27" s="38" t="s">
        <v>21</v>
      </c>
      <c r="D27" s="38" t="s">
        <v>47</v>
      </c>
      <c r="E27" s="38" t="s">
        <v>47</v>
      </c>
      <c r="F27" s="38" t="s">
        <v>47</v>
      </c>
      <c r="G27" s="38" t="s">
        <v>47</v>
      </c>
      <c r="H27" s="38" t="s">
        <v>47</v>
      </c>
      <c r="I27" s="38" t="s">
        <v>47</v>
      </c>
      <c r="J27" s="38" t="s">
        <v>70</v>
      </c>
      <c r="K27" s="38" t="s">
        <v>70</v>
      </c>
      <c r="L27" s="38" t="s">
        <v>70</v>
      </c>
      <c r="M27" s="38" t="s">
        <v>70</v>
      </c>
      <c r="N27" s="38" t="s">
        <v>70</v>
      </c>
      <c r="O27" s="37" t="s"/>
    </row>
    <row r="28" spans="1:15" hidden="true">
      <c r="A28" s="45" t="s">
        <v>129</v>
      </c>
      <c r="B28" s="46" t="s">
        <v>130</v>
      </c>
      <c r="C28" s="38" t="s">
        <v>29</v>
      </c>
      <c r="D28" s="38" t="s">
        <v>47</v>
      </c>
      <c r="E28" s="38" t="s">
        <v>47</v>
      </c>
      <c r="F28" s="38" t="s">
        <v>47</v>
      </c>
      <c r="G28" s="38" t="s">
        <v>47</v>
      </c>
      <c r="H28" s="38" t="s">
        <v>47</v>
      </c>
      <c r="I28" s="38" t="s">
        <v>75</v>
      </c>
      <c r="J28" s="38" t="s">
        <v>75</v>
      </c>
      <c r="K28" s="38" t="s">
        <v>75</v>
      </c>
      <c r="L28" s="38" t="s">
        <v>76</v>
      </c>
      <c r="M28" s="38" t="s">
        <v>76</v>
      </c>
      <c r="N28" s="38" t="s">
        <v>76</v>
      </c>
      <c r="O28" s="37" t="s"/>
    </row>
    <row r="29" spans="1:15">
      <c r="A29" s="45" t="s">
        <v>131</v>
      </c>
      <c r="B29" s="46" t="s">
        <v>128</v>
      </c>
      <c r="C29" s="38" t="s">
        <v>21</v>
      </c>
      <c r="D29" s="38" t="s">
        <v>96</v>
      </c>
      <c r="E29" s="38" t="s">
        <v>17</v>
      </c>
      <c r="F29" s="38" t="s">
        <v>17</v>
      </c>
      <c r="G29" s="38" t="s">
        <v>17</v>
      </c>
      <c r="H29" s="38" t="s">
        <v>17</v>
      </c>
      <c r="I29" s="38" t="s">
        <v>90</v>
      </c>
      <c r="J29" s="38" t="s">
        <v>47</v>
      </c>
      <c r="K29" s="38" t="s">
        <v>47</v>
      </c>
      <c r="L29" s="38" t="s">
        <v>47</v>
      </c>
      <c r="M29" s="38" t="s">
        <v>47</v>
      </c>
      <c r="N29" s="38" t="s">
        <v>47</v>
      </c>
      <c r="O29" s="37" t="s"/>
    </row>
    <row r="30" spans="1:15">
      <c r="A30" s="45" t="s">
        <v>132</v>
      </c>
      <c r="B30" s="46" t="s">
        <v>128</v>
      </c>
      <c r="C30" s="38" t="s">
        <v>29</v>
      </c>
      <c r="D30" s="38" t="s">
        <v>80</v>
      </c>
      <c r="E30" s="38" t="s">
        <v>17</v>
      </c>
      <c r="F30" s="38" t="s">
        <v>17</v>
      </c>
      <c r="G30" s="38" t="s">
        <v>17</v>
      </c>
      <c r="H30" s="38" t="s">
        <v>17</v>
      </c>
      <c r="I30" s="38" t="s">
        <v>75</v>
      </c>
      <c r="J30" s="38" t="s">
        <v>75</v>
      </c>
      <c r="K30" s="38" t="s">
        <v>75</v>
      </c>
      <c r="L30" s="38" t="s">
        <v>76</v>
      </c>
      <c r="M30" s="38" t="s">
        <v>76</v>
      </c>
      <c r="N30" s="38" t="s">
        <v>76</v>
      </c>
      <c r="O30" s="37" t="s"/>
    </row>
    <row r="31" spans="1:15">
      <c r="A31" s="45" t="s">
        <v>133</v>
      </c>
      <c r="B31" s="46" t="s">
        <v>134</v>
      </c>
      <c r="C31" s="38" t="s">
        <v>21</v>
      </c>
      <c r="D31" s="38" t="s">
        <v>96</v>
      </c>
      <c r="E31" s="38" t="s">
        <v>17</v>
      </c>
      <c r="F31" s="38" t="s">
        <v>17</v>
      </c>
      <c r="G31" s="38" t="s">
        <v>17</v>
      </c>
      <c r="H31" s="38" t="s">
        <v>17</v>
      </c>
      <c r="I31" s="38" t="s">
        <v>90</v>
      </c>
      <c r="J31" s="38" t="s">
        <v>70</v>
      </c>
      <c r="K31" s="38" t="s">
        <v>70</v>
      </c>
      <c r="L31" s="38" t="s">
        <v>70</v>
      </c>
      <c r="M31" s="38" t="s">
        <v>70</v>
      </c>
      <c r="N31" s="38" t="s">
        <v>70</v>
      </c>
      <c r="O31" s="37" t="s"/>
    </row>
    <row r="32" spans="1:15">
      <c r="A32" s="45" t="s">
        <v>135</v>
      </c>
      <c r="B32" s="46" t="s">
        <v>136</v>
      </c>
      <c r="C32" s="38" t="s">
        <v>29</v>
      </c>
      <c r="D32" s="47" t="s">
        <v>80</v>
      </c>
      <c r="E32" s="38" t="s">
        <v>137</v>
      </c>
      <c r="F32" s="38" t="s">
        <v>137</v>
      </c>
      <c r="G32" s="38" t="s">
        <v>137</v>
      </c>
      <c r="H32" s="38" t="s">
        <v>75</v>
      </c>
      <c r="I32" s="38" t="s">
        <v>75</v>
      </c>
      <c r="J32" s="38" t="s">
        <v>75</v>
      </c>
      <c r="K32" s="38" t="s">
        <v>75</v>
      </c>
      <c r="L32" s="38" t="s">
        <v>76</v>
      </c>
      <c r="M32" s="38" t="s">
        <v>76</v>
      </c>
      <c r="N32" s="38" t="s">
        <v>76</v>
      </c>
      <c r="O32" s="37" t="s"/>
    </row>
    <row r="33" spans="1:15">
      <c r="A33" s="45" t="s">
        <v>138</v>
      </c>
      <c r="B33" s="46" t="s">
        <v>95</v>
      </c>
      <c r="C33" s="38" t="s">
        <v>21</v>
      </c>
      <c r="D33" s="38" t="s">
        <v>96</v>
      </c>
      <c r="E33" s="38" t="s">
        <v>17</v>
      </c>
      <c r="F33" s="38" t="s">
        <v>17</v>
      </c>
      <c r="G33" s="38" t="s">
        <v>17</v>
      </c>
      <c r="H33" s="38" t="s">
        <v>90</v>
      </c>
      <c r="I33" s="38" t="s">
        <v>70</v>
      </c>
      <c r="J33" s="38" t="s">
        <v>70</v>
      </c>
      <c r="K33" s="38" t="s">
        <v>70</v>
      </c>
      <c r="L33" s="38" t="s">
        <v>70</v>
      </c>
      <c r="M33" s="38" t="s">
        <v>70</v>
      </c>
      <c r="N33" s="38" t="s">
        <v>70</v>
      </c>
      <c r="O33" s="37" t="s"/>
    </row>
    <row r="34" spans="1:15">
      <c r="A34" s="45" t="s">
        <v>139</v>
      </c>
      <c r="B34" s="46" t="s">
        <v>136</v>
      </c>
      <c r="C34" s="38" t="s">
        <v>21</v>
      </c>
      <c r="D34" s="38" t="s">
        <v>96</v>
      </c>
      <c r="E34" s="38" t="s">
        <v>17</v>
      </c>
      <c r="F34" s="38" t="s">
        <v>17</v>
      </c>
      <c r="G34" s="38" t="s">
        <v>75</v>
      </c>
      <c r="H34" s="38" t="s">
        <v>75</v>
      </c>
      <c r="I34" s="38" t="s">
        <v>75</v>
      </c>
      <c r="J34" s="38" t="s">
        <v>75</v>
      </c>
      <c r="K34" s="38" t="s">
        <v>75</v>
      </c>
      <c r="L34" s="38" t="s">
        <v>76</v>
      </c>
      <c r="M34" s="38" t="s">
        <v>76</v>
      </c>
      <c r="N34" s="38" t="s">
        <v>76</v>
      </c>
      <c r="O34" s="37" t="s"/>
    </row>
    <row r="35" spans="1:15" hidden="true">
      <c r="A35" s="45" t="s">
        <v>140</v>
      </c>
      <c r="B35" s="46" t="s"/>
      <c r="C35" s="38" t="s">
        <v>29</v>
      </c>
      <c r="D35" s="38" t="s">
        <v>47</v>
      </c>
      <c r="E35" s="38" t="s">
        <v>47</v>
      </c>
      <c r="F35" s="38" t="s">
        <v>47</v>
      </c>
      <c r="G35" s="38" t="s">
        <v>47</v>
      </c>
      <c r="H35" s="38" t="s">
        <v>47</v>
      </c>
      <c r="I35" s="38" t="s">
        <v>47</v>
      </c>
      <c r="J35" s="38" t="s">
        <v>47</v>
      </c>
      <c r="K35" s="38" t="s">
        <v>47</v>
      </c>
      <c r="L35" s="38" t="s">
        <v>47</v>
      </c>
      <c r="M35" s="38" t="s">
        <v>47</v>
      </c>
      <c r="N35" s="38" t="s">
        <v>47</v>
      </c>
      <c r="O35" s="37" t="s"/>
    </row>
    <row r="36" spans="1:15">
      <c r="A36" s="45" t="s">
        <v>141</v>
      </c>
      <c r="B36" s="46" t="s"/>
      <c r="C36" s="38" t="s">
        <v>29</v>
      </c>
      <c r="D36" s="38" t="s">
        <v>96</v>
      </c>
      <c r="E36" s="38" t="s">
        <v>90</v>
      </c>
      <c r="F36" s="38" t="s">
        <v>90</v>
      </c>
      <c r="G36" s="38" t="s">
        <v>90</v>
      </c>
      <c r="H36" s="38" t="s">
        <v>90</v>
      </c>
      <c r="I36" s="38" t="s">
        <v>90</v>
      </c>
      <c r="J36" s="38" t="s">
        <v>142</v>
      </c>
      <c r="K36" s="38" t="s">
        <v>142</v>
      </c>
      <c r="L36" s="38" t="s">
        <v>142</v>
      </c>
      <c r="M36" s="38" t="s">
        <v>142</v>
      </c>
      <c r="N36" s="38" t="s">
        <v>142</v>
      </c>
      <c r="O36" s="37" t="s"/>
    </row>
    <row r="37" spans="1:15">
      <c r="A37" s="45" t="s">
        <v>143</v>
      </c>
      <c r="B37" s="46" t="s">
        <v>134</v>
      </c>
      <c r="C37" s="38" t="s">
        <v>21</v>
      </c>
      <c r="D37" s="38" t="s">
        <v>96</v>
      </c>
      <c r="E37" s="38" t="s">
        <v>17</v>
      </c>
      <c r="F37" s="38" t="s">
        <v>17</v>
      </c>
      <c r="G37" s="38" t="s">
        <v>17</v>
      </c>
      <c r="H37" s="38" t="s">
        <v>17</v>
      </c>
      <c r="I37" s="38" t="s">
        <v>90</v>
      </c>
      <c r="J37" s="38" t="s">
        <v>70</v>
      </c>
      <c r="K37" s="38" t="s">
        <v>70</v>
      </c>
      <c r="L37" s="38" t="s">
        <v>70</v>
      </c>
      <c r="M37" s="38" t="s">
        <v>70</v>
      </c>
      <c r="N37" s="38" t="s">
        <v>70</v>
      </c>
      <c r="O37" s="37" t="s"/>
    </row>
    <row r="38" spans="1:15" hidden="true">
      <c r="A38" s="45" t="s">
        <v>144</v>
      </c>
      <c r="B38" s="46" t="s"/>
      <c r="C38" s="38" t="s">
        <v>145</v>
      </c>
      <c r="D38" s="38" t="s"/>
      <c r="E38" s="38" t="s">
        <v>90</v>
      </c>
      <c r="F38" s="38" t="s">
        <v>90</v>
      </c>
      <c r="G38" s="38" t="s">
        <v>90</v>
      </c>
      <c r="H38" s="38" t="s">
        <v>90</v>
      </c>
      <c r="I38" s="38" t="s">
        <v>90</v>
      </c>
      <c r="J38" s="38" t="s">
        <v>142</v>
      </c>
      <c r="K38" s="38" t="s">
        <v>142</v>
      </c>
      <c r="L38" s="38" t="s">
        <v>142</v>
      </c>
      <c r="M38" s="38" t="s">
        <v>142</v>
      </c>
      <c r="N38" s="38" t="s">
        <v>142</v>
      </c>
      <c r="O38" s="37" t="s"/>
    </row>
    <row r="39" spans="1:15" hidden="true">
      <c r="A39" s="45" t="s">
        <v>146</v>
      </c>
      <c r="B39" s="46" t="s">
        <v>134</v>
      </c>
      <c r="C39" s="38" t="s">
        <v>21</v>
      </c>
      <c r="D39" s="38" t="s">
        <v>104</v>
      </c>
      <c r="E39" s="38" t="s">
        <v>147</v>
      </c>
      <c r="F39" s="38" t="s">
        <v>147</v>
      </c>
      <c r="G39" s="38" t="s">
        <v>147</v>
      </c>
      <c r="H39" s="38" t="s">
        <v>147</v>
      </c>
      <c r="I39" s="38" t="s">
        <v>36</v>
      </c>
      <c r="J39" s="38" t="s">
        <v>36</v>
      </c>
      <c r="K39" s="38" t="s">
        <v>36</v>
      </c>
      <c r="L39" s="38" t="s">
        <v>36</v>
      </c>
      <c r="M39" s="38" t="s">
        <v>36</v>
      </c>
      <c r="N39" s="38" t="s">
        <v>36</v>
      </c>
      <c r="O39" s="37" t="s"/>
    </row>
    <row r="40" spans="1:15">
      <c r="A40" s="45" t="s">
        <v>148</v>
      </c>
      <c r="B40" s="46" t="s">
        <v>134</v>
      </c>
      <c r="C40" s="38" t="s">
        <v>21</v>
      </c>
      <c r="D40" s="38" t="s">
        <v>96</v>
      </c>
      <c r="E40" s="38" t="s">
        <v>17</v>
      </c>
      <c r="F40" s="38" t="s">
        <v>17</v>
      </c>
      <c r="G40" s="38" t="s">
        <v>17</v>
      </c>
      <c r="H40" s="38" t="s">
        <v>90</v>
      </c>
      <c r="I40" s="38" t="s">
        <v>90</v>
      </c>
      <c r="J40" s="38" t="s">
        <v>70</v>
      </c>
      <c r="K40" s="38" t="s">
        <v>70</v>
      </c>
      <c r="L40" s="38" t="s">
        <v>70</v>
      </c>
      <c r="M40" s="38" t="s">
        <v>70</v>
      </c>
      <c r="N40" s="38" t="s">
        <v>70</v>
      </c>
      <c r="O40" s="37" t="s"/>
    </row>
    <row r="41" spans="1:15" hidden="true">
      <c r="A41" s="48" t="s">
        <v>149</v>
      </c>
      <c r="B41" s="49" t="s">
        <v>134</v>
      </c>
      <c r="C41" s="50" t="s">
        <v>21</v>
      </c>
      <c r="D41" s="50" t="s">
        <v>104</v>
      </c>
      <c r="E41" s="50" t="s">
        <v>147</v>
      </c>
      <c r="F41" s="50" t="s">
        <v>147</v>
      </c>
      <c r="G41" s="50" t="s">
        <v>147</v>
      </c>
      <c r="H41" s="50" t="s">
        <v>147</v>
      </c>
      <c r="I41" s="50" t="s">
        <v>36</v>
      </c>
      <c r="J41" s="50" t="s">
        <v>36</v>
      </c>
      <c r="K41" s="50" t="s">
        <v>36</v>
      </c>
      <c r="L41" s="50" t="s">
        <v>36</v>
      </c>
      <c r="M41" s="50" t="s">
        <v>36</v>
      </c>
      <c r="N41" s="50" t="s">
        <v>36</v>
      </c>
      <c r="O41" s="37" t="s"/>
    </row>
    <row r="42" spans="1:15">
      <c r="A42" s="45" t="s">
        <v>150</v>
      </c>
      <c r="B42" s="46" t="s">
        <v>134</v>
      </c>
      <c r="C42" s="38" t="s">
        <v>21</v>
      </c>
      <c r="D42" s="38" t="s">
        <v>96</v>
      </c>
      <c r="E42" s="38" t="s">
        <v>17</v>
      </c>
      <c r="F42" s="38" t="s">
        <v>17</v>
      </c>
      <c r="G42" s="38" t="s">
        <v>17</v>
      </c>
      <c r="H42" s="38" t="s">
        <v>90</v>
      </c>
      <c r="I42" s="38" t="s">
        <v>90</v>
      </c>
      <c r="J42" s="38" t="s">
        <v>142</v>
      </c>
      <c r="K42" s="38" t="s">
        <v>142</v>
      </c>
      <c r="L42" s="38" t="s">
        <v>142</v>
      </c>
      <c r="M42" s="38" t="s">
        <v>142</v>
      </c>
      <c r="N42" s="38" t="s">
        <v>142</v>
      </c>
      <c r="O42" s="37" t="s"/>
    </row>
    <row r="43" spans="1:15">
      <c r="A43" s="45" t="s">
        <v>151</v>
      </c>
      <c r="B43" s="46" t="s">
        <v>134</v>
      </c>
      <c r="C43" s="38" t="s">
        <v>21</v>
      </c>
      <c r="D43" s="38" t="s">
        <v>96</v>
      </c>
      <c r="E43" s="38" t="s">
        <v>147</v>
      </c>
      <c r="F43" s="38" t="s">
        <v>147</v>
      </c>
      <c r="G43" s="38" t="s">
        <v>147</v>
      </c>
      <c r="H43" s="38" t="s">
        <v>75</v>
      </c>
      <c r="I43" s="38" t="s">
        <v>75</v>
      </c>
      <c r="J43" s="38" t="s">
        <v>75</v>
      </c>
      <c r="K43" s="38" t="s">
        <v>75</v>
      </c>
      <c r="L43" s="38" t="s">
        <v>76</v>
      </c>
      <c r="M43" s="38" t="s">
        <v>76</v>
      </c>
      <c r="N43" s="38" t="s">
        <v>76</v>
      </c>
      <c r="O43" s="37" t="s"/>
    </row>
    <row r="44" spans="1:15" hidden="true">
      <c r="A44" s="51" t="s">
        <v>152</v>
      </c>
      <c r="B44" s="52" t="s"/>
      <c r="C44" s="53" t="s">
        <v>145</v>
      </c>
      <c r="D44" s="53" t="s"/>
      <c r="E44" s="53" t="s">
        <v>17</v>
      </c>
      <c r="F44" s="53" t="s">
        <v>17</v>
      </c>
      <c r="G44" s="53" t="s">
        <v>17</v>
      </c>
      <c r="H44" s="53" t="s">
        <v>17</v>
      </c>
      <c r="I44" s="53" t="s">
        <v>70</v>
      </c>
      <c r="J44" s="53" t="s">
        <v>70</v>
      </c>
      <c r="K44" s="53" t="s">
        <v>70</v>
      </c>
      <c r="L44" s="53" t="s">
        <v>70</v>
      </c>
      <c r="M44" s="53" t="s">
        <v>70</v>
      </c>
      <c r="N44" s="53" t="s">
        <v>70</v>
      </c>
      <c r="O44" s="37" t="s"/>
    </row>
    <row r="45" spans="1:15" hidden="true">
      <c r="A45" s="38" t="s">
        <v>153</v>
      </c>
      <c r="B45" s="38" t="s"/>
      <c r="C45" s="38" t="s">
        <v>154</v>
      </c>
      <c r="D45" s="38" t="s">
        <v>99</v>
      </c>
      <c r="E45" s="38" t="s">
        <v>17</v>
      </c>
      <c r="F45" s="38" t="s">
        <v>17</v>
      </c>
      <c r="G45" s="38" t="s">
        <v>17</v>
      </c>
      <c r="H45" s="38" t="s">
        <v>121</v>
      </c>
      <c r="I45" s="38" t="s">
        <v>121</v>
      </c>
      <c r="J45" s="38" t="s">
        <v>121</v>
      </c>
      <c r="K45" s="38" t="s">
        <v>121</v>
      </c>
      <c r="L45" s="38" t="s">
        <v>121</v>
      </c>
      <c r="M45" s="38" t="s">
        <v>121</v>
      </c>
      <c r="N45" s="38" t="s">
        <v>121</v>
      </c>
      <c r="O45" s="37" t="s"/>
    </row>
    <row r="47" spans="4:4">
      <c r="D47" s="54" t="s">
        <v>155</v>
      </c>
    </row>
    <row r="49" spans="4:8">
      <c r="D49" s="16" t="s">
        <v>156</v>
      </c>
      <c r="E49" s="17" t="s">
        <v>157</v>
      </c>
      <c r="F49" s="16" t="s">
        <v>158</v>
      </c>
      <c r="G49" s="18" t="s">
        <v>29</v>
      </c>
      <c r="H49" s="18" t="s">
        <v>21</v>
      </c>
    </row>
    <row r="50" spans="4:4">
      <c r="D50" t="s">
        <v>17</v>
      </c>
    </row>
  </sheetData>
  <autoFilter ref="A2:N45">
    <filterColumn colId="3">
      <filters blank="false">
        <filter val="质量团队"/>
        <filter val="体验优化团队"/>
      </filters>
    </filterColumn>
    <sortState ref="A3:N45"/>
  </autoFilter>
  <mergeCells count="1">
    <mergeCell ref="A1:N1"/>
  </mergeCells>
</worksheet>
</file>

<file path=xl/worksheets/sheet9.xml><?xml version="1.0" encoding="utf-8"?>
<worksheet xmlns:r="http://schemas.openxmlformats.org/officeDocument/2006/relationships" xmlns="http://schemas.openxmlformats.org/spreadsheetml/2006/main">
  <sheetPr codeName="版本人力甘特图">
    <tabColor/>
  </sheetPr>
  <dimension ref="P31"/>
  <sheetViews>
    <sheetView showGridLines="true" workbookViewId="0"/>
  </sheetViews>
  <sheetFormatPr baseColWidth="13" defaultRowHeight="18" customHeight="true"/>
  <cols>
    <col min="1" max="1" width="20.7109" customWidth="true"/>
    <col min="2" max="2" width="12.7109" customWidth="true"/>
    <col min="3" max="3" width="62.8516" customWidth="true"/>
    <col min="4" max="4" width="16.7109" customWidth="true"/>
    <col min="5" max="5" width="6.24219" customWidth="true"/>
    <col min="6" max="6" width="13.3516" customWidth="true"/>
    <col min="7" max="7" width="6.74219" customWidth="true"/>
    <col min="8" max="16" width="6.71094" customWidth="true"/>
  </cols>
  <sheetData>
    <row r="1" spans="1:17" s="6" customFormat="true" ht="18.75" customHeight="true">
      <c r="A1" s="4" t="s">
        <v>1</v>
      </c>
      <c r="B1" s="4" t="s">
        <v>2</v>
      </c>
      <c r="C1" s="4" t="s">
        <v>3</v>
      </c>
      <c r="D1" s="4" t="s">
        <v>4</v>
      </c>
      <c r="E1" s="4" t="s">
        <v>2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</row>
    <row r="2" spans="1:16" ht="30.75" customHeight="true">
      <c r="A2" s="7" t="s">
        <v>17</v>
      </c>
      <c r="B2" s="7" t="s">
        <v>18</v>
      </c>
      <c r="C2" s="8" t="s">
        <v>19</v>
      </c>
      <c r="D2" s="9">
        <v>46204</v>
      </c>
      <c r="E2" s="7" t="s">
        <v>20</v>
      </c>
      <c r="F2" s="10">
        <f>=H2/$H$25</f>
        <v>0.4</v>
      </c>
      <c r="G2" s="11">
        <v>11</v>
      </c>
      <c r="H2" s="11">
        <v>10</v>
      </c>
      <c r="I2" s="11">
        <v>10</v>
      </c>
      <c r="J2" s="11">
        <v>8</v>
      </c>
      <c r="K2" s="12" t="s"/>
      <c r="L2" s="12" t="s"/>
      <c r="M2" s="12" t="s"/>
      <c r="N2" s="12" t="s"/>
      <c r="O2" s="12" t="s"/>
      <c r="P2" s="12" t="s"/>
    </row>
    <row r="3" spans="1:16" ht="32.25" customHeight="true">
      <c r="A3" s="13" t="s"/>
      <c r="B3" s="13" t="s"/>
      <c r="C3" s="13" t="s"/>
      <c r="D3" s="13" t="s"/>
      <c r="E3" s="7" t="s">
        <v>21</v>
      </c>
      <c r="F3" s="10">
        <f>=H3/$H$27</f>
        <v>0.529411764705883</v>
      </c>
      <c r="G3" s="11">
        <v>9</v>
      </c>
      <c r="H3" s="11">
        <v>9</v>
      </c>
      <c r="I3" s="11">
        <v>8</v>
      </c>
      <c r="J3" s="11">
        <v>3</v>
      </c>
      <c r="K3" s="12" t="s"/>
      <c r="L3" s="12" t="s"/>
      <c r="M3" s="12" t="s"/>
      <c r="N3" s="12" t="s"/>
      <c r="O3" s="12" t="s"/>
      <c r="P3" s="12" t="s"/>
    </row>
    <row r="4" spans="1:16" ht="27.75" customHeight="true">
      <c r="A4" s="7" t="s">
        <v>22</v>
      </c>
      <c r="B4" s="7" t="s">
        <v>23</v>
      </c>
      <c r="C4" s="8" t="s">
        <v>24</v>
      </c>
      <c r="D4" s="9">
        <v>46204</v>
      </c>
      <c r="E4" s="7" t="s">
        <v>20</v>
      </c>
      <c r="F4" s="10">
        <f>=H4/$H$25</f>
        <v>0.24</v>
      </c>
      <c r="G4" s="11">
        <v>6</v>
      </c>
      <c r="H4" s="11">
        <v>6</v>
      </c>
      <c r="I4" s="11">
        <v>6</v>
      </c>
      <c r="J4" s="11">
        <v>6</v>
      </c>
      <c r="K4" s="11">
        <v>4</v>
      </c>
      <c r="L4" s="14" t="s"/>
      <c r="M4" s="14" t="s"/>
      <c r="N4" s="14" t="s"/>
      <c r="O4" s="14" t="s"/>
      <c r="P4" s="14" t="s"/>
    </row>
    <row r="5" spans="1:16" ht="26.25" customHeight="true">
      <c r="A5" s="13" t="s"/>
      <c r="B5" s="13" t="s"/>
      <c r="C5" s="13" t="s"/>
      <c r="D5" s="13" t="s"/>
      <c r="E5" s="7" t="s">
        <v>21</v>
      </c>
      <c r="F5" s="10">
        <f>=H5/$H$27</f>
        <v>0.0588235294117647</v>
      </c>
      <c r="G5" s="11">
        <v>1</v>
      </c>
      <c r="H5" s="11">
        <v>1</v>
      </c>
      <c r="I5" s="11">
        <v>1</v>
      </c>
      <c r="J5" s="11">
        <v>5</v>
      </c>
      <c r="K5" s="15">
        <v>6</v>
      </c>
      <c r="L5" s="12" t="s"/>
      <c r="M5" s="12" t="s"/>
      <c r="N5" s="12" t="s"/>
      <c r="O5" s="12" t="s"/>
      <c r="P5" s="12" t="s"/>
    </row>
    <row r="6" spans="1:22" ht="29.25" customHeight="true">
      <c r="A6" s="7" t="s">
        <v>25</v>
      </c>
      <c r="B6" s="7" t="s">
        <v>26</v>
      </c>
      <c r="C6" s="8" t="s">
        <v>27</v>
      </c>
      <c r="D6" s="9" t="s">
        <v>28</v>
      </c>
      <c r="E6" s="7" t="s">
        <v>20</v>
      </c>
      <c r="F6" s="10">
        <f>=H6/$H$25</f>
        <v>0.04</v>
      </c>
      <c r="G6" s="7">
        <v>1</v>
      </c>
      <c r="H6" s="7">
        <v>1</v>
      </c>
      <c r="I6" s="11">
        <v>1</v>
      </c>
      <c r="J6" s="11">
        <v>2</v>
      </c>
      <c r="K6" s="15">
        <v>6</v>
      </c>
      <c r="L6" s="11">
        <v>6</v>
      </c>
      <c r="M6" s="11">
        <v>6</v>
      </c>
      <c r="N6" s="13" t="s"/>
      <c r="O6" s="13" t="s"/>
      <c r="P6" s="13" t="s"/>
      <c r="R6" s="16" t="s"/>
      <c r="S6" s="17" t="s"/>
      <c r="T6" s="16" t="s"/>
      <c r="U6" s="18" t="s">
        <v>29</v>
      </c>
      <c r="V6" s="18" t="s">
        <v>21</v>
      </c>
    </row>
    <row r="7" spans="1:16" ht="27" customHeight="true">
      <c r="A7" s="13" t="s"/>
      <c r="B7" s="13" t="s"/>
      <c r="C7" s="13" t="s"/>
      <c r="D7" s="13" t="s"/>
      <c r="E7" s="7" t="s">
        <v>21</v>
      </c>
      <c r="F7" s="10">
        <f>=H7/$H$27</f>
        <v>0.0588235294117647</v>
      </c>
      <c r="G7" s="7">
        <v>1</v>
      </c>
      <c r="H7" s="7">
        <v>1</v>
      </c>
      <c r="I7" s="11">
        <v>2</v>
      </c>
      <c r="J7" s="11">
        <v>3</v>
      </c>
      <c r="K7" s="15">
        <v>3</v>
      </c>
      <c r="L7" s="11">
        <v>3</v>
      </c>
      <c r="M7" s="11">
        <v>3</v>
      </c>
      <c r="N7" s="13" t="s"/>
      <c r="O7" s="13" t="s"/>
      <c r="P7" s="13" t="s"/>
    </row>
    <row r="8" spans="1:16" ht="27" customHeight="true">
      <c r="A8" s="7" t="s">
        <v>30</v>
      </c>
      <c r="B8" s="7" t="s">
        <v>26</v>
      </c>
      <c r="C8" s="8" t="s">
        <v>31</v>
      </c>
      <c r="D8" s="9" t="s">
        <v>32</v>
      </c>
      <c r="E8" s="7" t="s">
        <v>20</v>
      </c>
      <c r="F8" s="10">
        <f>=H8/$H$27</f>
        <v>0</v>
      </c>
      <c r="G8" s="7" t="s"/>
      <c r="H8" s="7" t="s"/>
      <c r="I8" s="11" t="s"/>
      <c r="J8" s="11" t="s"/>
      <c r="K8" s="15" t="s"/>
      <c r="L8" s="11" t="s"/>
      <c r="M8" s="11" t="s"/>
      <c r="N8" s="11">
        <v>6</v>
      </c>
      <c r="O8" s="11">
        <v>6</v>
      </c>
      <c r="P8" s="11">
        <v>6</v>
      </c>
    </row>
    <row r="9" spans="1:16" ht="27" customHeight="true">
      <c r="A9" s="13" t="s"/>
      <c r="B9" s="13" t="s"/>
      <c r="C9" s="13" t="s"/>
      <c r="D9" s="13" t="s"/>
      <c r="E9" s="7" t="s">
        <v>21</v>
      </c>
      <c r="F9" s="10">
        <f>=H9/$H$27</f>
        <v>0</v>
      </c>
      <c r="G9" s="7" t="s"/>
      <c r="H9" s="7" t="s"/>
      <c r="I9" s="11" t="s"/>
      <c r="J9" s="11" t="s"/>
      <c r="K9" s="15" t="s"/>
      <c r="L9" s="11" t="s"/>
      <c r="M9" s="11" t="s"/>
      <c r="N9" s="11">
        <v>3</v>
      </c>
      <c r="O9" s="11">
        <v>3</v>
      </c>
      <c r="P9" s="11">
        <v>3</v>
      </c>
    </row>
    <row r="10" spans="1:16" ht="20.25" customHeight="true">
      <c r="A10" s="8" t="s">
        <v>33</v>
      </c>
      <c r="B10" s="12" t="s">
        <v>34</v>
      </c>
      <c r="C10" s="8" t="s">
        <v>35</v>
      </c>
      <c r="D10" s="9">
        <v>46174</v>
      </c>
      <c r="E10" s="7" t="s">
        <v>20</v>
      </c>
      <c r="F10" s="10">
        <f>=H10/$H$25</f>
        <v>0.08</v>
      </c>
      <c r="G10" s="11">
        <v>2</v>
      </c>
      <c r="H10" s="11">
        <v>2</v>
      </c>
      <c r="I10" s="7">
        <v>2</v>
      </c>
      <c r="J10" s="7">
        <v>3</v>
      </c>
      <c r="K10" s="12" t="s"/>
      <c r="L10" s="19" t="s"/>
      <c r="M10" s="19" t="s"/>
      <c r="N10" s="19" t="s"/>
      <c r="O10" s="19" t="s"/>
      <c r="P10" s="19" t="s"/>
    </row>
    <row r="11" spans="1:16" ht="21" customHeight="true">
      <c r="A11" s="13" t="s"/>
      <c r="B11" s="13" t="s"/>
      <c r="C11" s="13" t="s"/>
      <c r="D11" s="13" t="s"/>
      <c r="E11" s="7" t="s">
        <v>21</v>
      </c>
      <c r="F11" s="10">
        <f>=H11/$H$27</f>
        <v>0.235294117647059</v>
      </c>
      <c r="G11" s="11">
        <v>4</v>
      </c>
      <c r="H11" s="11">
        <v>4</v>
      </c>
      <c r="I11" s="7">
        <v>4</v>
      </c>
      <c r="J11" s="7">
        <v>3</v>
      </c>
      <c r="K11" s="12" t="s"/>
      <c r="L11" s="12" t="s"/>
      <c r="M11" s="12" t="s"/>
      <c r="N11" s="12" t="s"/>
      <c r="O11" s="12" t="s"/>
      <c r="P11" s="12" t="s"/>
    </row>
    <row r="12" spans="1:16">
      <c r="A12" s="7" t="s">
        <v>36</v>
      </c>
      <c r="B12" s="7" t="s">
        <v>34</v>
      </c>
      <c r="C12" s="7" t="s">
        <v>37</v>
      </c>
      <c r="D12" s="9">
        <v>46357</v>
      </c>
      <c r="E12" s="7" t="s">
        <v>20</v>
      </c>
      <c r="F12" s="10">
        <f>=H12/$H$25</f>
        <v>0</v>
      </c>
      <c r="G12" s="20" t="s"/>
      <c r="H12" s="20" t="s"/>
      <c r="I12" s="20" t="s"/>
      <c r="J12" s="20" t="s"/>
      <c r="K12" s="11">
        <v>4</v>
      </c>
      <c r="L12" s="11">
        <v>4</v>
      </c>
      <c r="M12" s="11">
        <v>4</v>
      </c>
      <c r="N12" s="11">
        <v>4</v>
      </c>
      <c r="O12" s="11">
        <v>4</v>
      </c>
      <c r="P12" s="11">
        <v>4</v>
      </c>
    </row>
    <row r="13" spans="1:16">
      <c r="A13" s="13" t="s"/>
      <c r="B13" s="13" t="s"/>
      <c r="C13" s="13" t="s"/>
      <c r="D13" s="13" t="s"/>
      <c r="E13" s="7" t="s">
        <v>21</v>
      </c>
      <c r="F13" s="10">
        <f>=H13/$H$27</f>
        <v>0</v>
      </c>
      <c r="G13" s="12" t="s"/>
      <c r="H13" s="20" t="s"/>
      <c r="I13" s="20" t="s"/>
      <c r="J13" s="20" t="s"/>
      <c r="K13" s="11">
        <v>3</v>
      </c>
      <c r="L13" s="11">
        <v>3</v>
      </c>
      <c r="M13" s="11">
        <v>3</v>
      </c>
      <c r="N13" s="11">
        <v>3</v>
      </c>
      <c r="O13" s="11">
        <v>3</v>
      </c>
      <c r="P13" s="11">
        <v>3</v>
      </c>
    </row>
    <row r="14" spans="1:16" ht="21" customHeight="true">
      <c r="A14" s="7" t="s">
        <v>38</v>
      </c>
      <c r="B14" s="7" t="s">
        <v>18</v>
      </c>
      <c r="C14" s="8" t="s">
        <v>39</v>
      </c>
      <c r="D14" s="9">
        <v>46266</v>
      </c>
      <c r="E14" s="7" t="s">
        <v>20</v>
      </c>
      <c r="F14" s="10">
        <f>=H14/$H$25</f>
        <v>0</v>
      </c>
      <c r="G14" s="12" t="s"/>
      <c r="H14" s="12" t="s"/>
      <c r="I14" s="12" t="s"/>
      <c r="J14" s="11">
        <v>1</v>
      </c>
      <c r="K14" s="11">
        <v>5</v>
      </c>
      <c r="L14" s="11">
        <v>7</v>
      </c>
      <c r="M14" s="11">
        <v>7</v>
      </c>
      <c r="N14" s="11">
        <v>7</v>
      </c>
      <c r="O14" s="11">
        <v>7</v>
      </c>
      <c r="P14" s="11">
        <v>7</v>
      </c>
    </row>
    <row r="15" spans="1:16" ht="20.25" customHeight="true">
      <c r="A15" s="13" t="s"/>
      <c r="B15" s="13" t="s"/>
      <c r="C15" s="13" t="s"/>
      <c r="D15" s="13" t="s"/>
      <c r="E15" s="7" t="s">
        <v>21</v>
      </c>
      <c r="F15" s="10">
        <f>=H15/$H$27</f>
        <v>0</v>
      </c>
      <c r="G15" s="12" t="s"/>
      <c r="H15" s="12" t="s"/>
      <c r="I15" s="12" t="s"/>
      <c r="J15" s="12" t="s"/>
      <c r="K15" s="11">
        <v>2</v>
      </c>
      <c r="L15" s="11">
        <v>4</v>
      </c>
      <c r="M15" s="11">
        <v>4</v>
      </c>
      <c r="N15" s="11">
        <v>4</v>
      </c>
      <c r="O15" s="11">
        <v>4</v>
      </c>
      <c r="P15" s="11">
        <v>4</v>
      </c>
    </row>
    <row r="16" spans="1:16">
      <c r="A16" s="7" t="s">
        <v>40</v>
      </c>
      <c r="B16" s="7" t="s">
        <v>41</v>
      </c>
      <c r="C16" s="8" t="s">
        <v>42</v>
      </c>
      <c r="D16" s="9" t="s">
        <v>43</v>
      </c>
      <c r="E16" s="7" t="s">
        <v>21</v>
      </c>
      <c r="F16" s="10">
        <f>=H16/$H$27</f>
        <v>0.0588235294117647</v>
      </c>
      <c r="G16" s="7">
        <v>1</v>
      </c>
      <c r="H16" s="7">
        <v>1</v>
      </c>
      <c r="I16" s="7">
        <v>1</v>
      </c>
      <c r="J16" s="7">
        <v>2</v>
      </c>
      <c r="K16" s="11">
        <v>2</v>
      </c>
      <c r="L16" s="11">
        <v>2</v>
      </c>
      <c r="M16" s="11">
        <v>2</v>
      </c>
      <c r="N16" s="11">
        <v>2</v>
      </c>
      <c r="O16" s="11">
        <v>2</v>
      </c>
      <c r="P16" s="11">
        <v>2</v>
      </c>
    </row>
    <row r="17" spans="1:16">
      <c r="A17" s="7" t="s">
        <v>44</v>
      </c>
      <c r="B17" s="7" t="s">
        <v>45</v>
      </c>
      <c r="C17" s="8" t="s">
        <v>46</v>
      </c>
      <c r="D17" s="9" t="s">
        <v>43</v>
      </c>
      <c r="E17" s="7" t="s">
        <v>20</v>
      </c>
      <c r="F17" s="10">
        <f>=H17/$H$25</f>
        <v>0.08</v>
      </c>
      <c r="G17" s="7">
        <v>1</v>
      </c>
      <c r="H17" s="7">
        <v>2</v>
      </c>
      <c r="I17" s="7">
        <v>2</v>
      </c>
      <c r="J17" s="7">
        <v>1</v>
      </c>
      <c r="K17" s="11">
        <v>2</v>
      </c>
      <c r="L17" s="11">
        <v>2</v>
      </c>
      <c r="M17" s="11">
        <v>2</v>
      </c>
      <c r="N17" s="11">
        <v>2</v>
      </c>
      <c r="O17" s="11">
        <v>2</v>
      </c>
      <c r="P17" s="11">
        <v>2</v>
      </c>
    </row>
    <row r="18" spans="1:16">
      <c r="A18" s="7" t="s">
        <v>47</v>
      </c>
      <c r="B18" s="21" t="s"/>
      <c r="C18" s="8" t="s">
        <v>48</v>
      </c>
      <c r="D18" s="22" t="s">
        <v>43</v>
      </c>
      <c r="E18" s="7" t="s">
        <v>20</v>
      </c>
      <c r="F18" s="10">
        <f>=H18/$H$25</f>
        <v>0.08</v>
      </c>
      <c r="G18" s="11">
        <v>2</v>
      </c>
      <c r="H18" s="11">
        <v>2</v>
      </c>
      <c r="I18" s="11">
        <v>2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2</v>
      </c>
      <c r="P18" s="11">
        <v>2</v>
      </c>
    </row>
    <row r="19" spans="1:16">
      <c r="A19" s="13" t="s"/>
      <c r="B19" s="13" t="s"/>
      <c r="C19" s="13" t="s"/>
      <c r="D19" s="13" t="s"/>
      <c r="E19" s="7" t="s">
        <v>21</v>
      </c>
      <c r="F19" s="10">
        <f>=H19/$H$27</f>
        <v>0.0588235294117647</v>
      </c>
      <c r="G19" s="11">
        <v>1</v>
      </c>
      <c r="H19" s="11">
        <v>1</v>
      </c>
      <c r="I19" s="11">
        <v>1</v>
      </c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  <c r="P19" s="11">
        <v>1</v>
      </c>
    </row>
    <row r="20" spans="1:16">
      <c r="A20" s="23" t="s">
        <v>49</v>
      </c>
      <c r="B20" s="24" t="s"/>
      <c r="C20" s="25" t="s">
        <v>50</v>
      </c>
      <c r="D20" s="26" t="s">
        <v>32</v>
      </c>
      <c r="E20" s="7" t="s">
        <v>20</v>
      </c>
      <c r="F20" s="10">
        <f>=H20/$H$25</f>
        <v>0</v>
      </c>
      <c r="G20" s="11" t="s"/>
      <c r="H20" s="11" t="s"/>
      <c r="I20" s="11" t="s"/>
      <c r="J20" s="11" t="s"/>
      <c r="K20" s="11" t="s"/>
      <c r="L20" s="11">
        <v>2</v>
      </c>
      <c r="M20" s="11">
        <v>2</v>
      </c>
      <c r="N20" s="11">
        <v>2</v>
      </c>
      <c r="O20" s="11">
        <v>2</v>
      </c>
      <c r="P20" s="11">
        <v>2</v>
      </c>
    </row>
    <row r="21" spans="1:16">
      <c r="A21" s="27" t="s"/>
      <c r="B21" s="27" t="s"/>
      <c r="C21" s="27" t="s"/>
      <c r="D21" s="27" t="s"/>
      <c r="E21" s="7" t="s">
        <v>21</v>
      </c>
      <c r="F21" s="10">
        <f>=H21/$H$27</f>
        <v>0</v>
      </c>
      <c r="G21" s="11" t="s"/>
      <c r="H21" s="11" t="s"/>
      <c r="I21" s="11" t="s"/>
      <c r="J21" s="11" t="s"/>
      <c r="K21" s="11" t="s"/>
      <c r="L21" s="11">
        <v>1</v>
      </c>
      <c r="M21" s="11">
        <v>1</v>
      </c>
      <c r="N21" s="11">
        <v>1</v>
      </c>
      <c r="O21" s="11">
        <v>1</v>
      </c>
      <c r="P21" s="11">
        <v>1</v>
      </c>
    </row>
    <row r="22" spans="1:16">
      <c r="A22" s="28" t="s">
        <v>51</v>
      </c>
      <c r="B22" s="29" t="s"/>
      <c r="C22" s="19" t="s">
        <v>52</v>
      </c>
      <c r="D22" s="30" t="s">
        <v>43</v>
      </c>
      <c r="E22" s="7" t="s">
        <v>53</v>
      </c>
      <c r="F22" s="11" t="s"/>
      <c r="G22" s="11" t="s"/>
      <c r="H22" s="11" t="s"/>
      <c r="I22" s="11" t="s"/>
      <c r="J22" s="11" t="s"/>
      <c r="K22" s="11">
        <v>1</v>
      </c>
      <c r="L22" s="11">
        <v>1</v>
      </c>
      <c r="M22" s="11">
        <v>1</v>
      </c>
      <c r="N22" s="11">
        <v>1</v>
      </c>
      <c r="O22" s="11">
        <v>1</v>
      </c>
      <c r="P22" s="11">
        <v>1</v>
      </c>
    </row>
    <row r="23" spans="1:16">
      <c r="A23" s="31" t="s">
        <v>54</v>
      </c>
      <c r="B23" s="29" t="s"/>
      <c r="C23" s="32" t="s"/>
      <c r="D23" s="33" t="s">
        <v>43</v>
      </c>
      <c r="E23" s="7" t="s">
        <v>54</v>
      </c>
      <c r="F23" s="10">
        <f>=H23/H26</f>
        <v>1</v>
      </c>
      <c r="G23" s="11">
        <v>1</v>
      </c>
      <c r="H23" s="11">
        <v>1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  <c r="P23" s="11">
        <v>1</v>
      </c>
    </row>
    <row r="24" spans="1:16">
      <c r="A24" s="7" t="s">
        <v>55</v>
      </c>
      <c r="B24" s="12" t="s"/>
      <c r="C24" s="7" t="s">
        <v>56</v>
      </c>
      <c r="D24" s="22" t="s">
        <v>43</v>
      </c>
      <c r="E24" s="7" t="s">
        <v>20</v>
      </c>
      <c r="F24" s="10">
        <f>=H24/$H$25</f>
        <v>0.08</v>
      </c>
      <c r="G24" s="11">
        <v>2</v>
      </c>
      <c r="H24" s="11">
        <v>2</v>
      </c>
      <c r="I24" s="11">
        <v>2</v>
      </c>
      <c r="J24" s="11">
        <v>2</v>
      </c>
      <c r="K24" s="11">
        <v>2</v>
      </c>
      <c r="L24" s="11">
        <v>2</v>
      </c>
      <c r="M24" s="11">
        <v>2</v>
      </c>
      <c r="N24" s="11">
        <v>2</v>
      </c>
      <c r="O24" s="11">
        <v>2</v>
      </c>
      <c r="P24" s="11">
        <v>2</v>
      </c>
    </row>
    <row r="25" spans="1:16">
      <c r="A25" s="7" t="s">
        <v>57</v>
      </c>
      <c r="B25" s="14" t="s"/>
      <c r="C25" s="12" t="s"/>
      <c r="D25" s="12" t="s"/>
      <c r="E25" s="7" t="s">
        <v>20</v>
      </c>
      <c r="F25" s="11" t="s"/>
      <c r="G25" s="11">
        <f>=SUMIFS(G1:G24,$E$1:$E$24,$E$25)</f>
        <v>25</v>
      </c>
      <c r="H25" s="11">
        <f>=SUMIFS(H1:H24,$E$1:$E$24,$E$25)</f>
        <v>25</v>
      </c>
      <c r="I25" s="11">
        <f>=SUMIFS(I1:I24,$E$1:$E$24,$E$25)</f>
        <v>25</v>
      </c>
      <c r="J25" s="11">
        <f>=SUMIFS(J1:J24,$E$1:$E$24,$E$25)</f>
        <v>25</v>
      </c>
      <c r="K25" s="11">
        <f>=SUMIFS(K1:K24,$E$1:$E$24,$E$25)</f>
        <v>25</v>
      </c>
      <c r="L25" s="11">
        <f>=SUMIFS(L1:L24,$E$1:$E$24,$E$25)</f>
        <v>25</v>
      </c>
      <c r="M25" s="11">
        <f>=SUMIFS(M1:M24,$E$1:$E$24,$E$25)</f>
        <v>25</v>
      </c>
      <c r="N25" s="11">
        <f>=SUMIFS(N1:N24,$E$1:$E$24,$E$25)</f>
        <v>25</v>
      </c>
      <c r="O25" s="11">
        <f>=SUMIFS(O1:O24,$E$1:$E$24,$E$25)</f>
        <v>25</v>
      </c>
      <c r="P25" s="11">
        <f>=SUMIFS(P1:P24,$E$1:$E$24,$E$25)</f>
        <v>25</v>
      </c>
    </row>
    <row r="26" spans="1:16">
      <c r="A26" s="13" t="s"/>
      <c r="B26" s="25" t="s"/>
      <c r="C26" s="12" t="s"/>
      <c r="D26" s="12" t="s"/>
      <c r="E26" s="7" t="s">
        <v>54</v>
      </c>
      <c r="F26" s="11" t="s"/>
      <c r="G26" s="11">
        <f>=SUMIFS(G1:G24,$E$1:$E$24,$E$26)</f>
        <v>1</v>
      </c>
      <c r="H26" s="11">
        <f>=SUMIFS(H1:H24,$E$1:$E$24,$E$26)</f>
        <v>1</v>
      </c>
      <c r="I26" s="11">
        <f>=SUMIFS(I1:I24,$E$1:$E$24,$E$26)</f>
        <v>1</v>
      </c>
      <c r="J26" s="11">
        <f>=SUMIFS(J1:J24,$E$1:$E$24,$E$26)</f>
        <v>1</v>
      </c>
      <c r="K26" s="11">
        <f>=SUMIFS(K1:K24,$E$1:$E$24,$E$26)</f>
        <v>1</v>
      </c>
      <c r="L26" s="11">
        <f>=SUMIFS(L1:L24,$E$1:$E$24,$E$26)</f>
        <v>1</v>
      </c>
      <c r="M26" s="11">
        <f>=SUMIFS(M1:M24,$E$1:$E$24,$E$26)</f>
        <v>1</v>
      </c>
      <c r="N26" s="11">
        <f>=SUMIFS(N1:N24,$E$1:$E$24,$E$26)</f>
        <v>1</v>
      </c>
      <c r="O26" s="11">
        <f>=SUMIFS(O1:O24,$E$1:$E$24,$E$26)</f>
        <v>1</v>
      </c>
      <c r="P26" s="11">
        <f>=SUMIFS(P1:P24,$E$1:$E$24,$E$26)</f>
        <v>1</v>
      </c>
    </row>
    <row r="27" spans="1:16">
      <c r="A27" s="13" t="s"/>
      <c r="B27" s="19" t="s"/>
      <c r="C27" s="12" t="s"/>
      <c r="D27" s="14" t="s"/>
      <c r="E27" s="34" t="s">
        <v>21</v>
      </c>
      <c r="F27" s="35" t="s"/>
      <c r="G27" s="35">
        <f>=SUMIFS(G1:G24,$E$1:$E$24,$E$27)</f>
        <v>17</v>
      </c>
      <c r="H27" s="35">
        <f>=SUMIFS(H1:H24,$E$1:$E$24,$E$27)</f>
        <v>17</v>
      </c>
      <c r="I27" s="35">
        <f>=SUMIFS(I1:I24,$E$1:$E$24,$E$27)</f>
        <v>17</v>
      </c>
      <c r="J27" s="35">
        <f>=SUMIFS(J1:J24,$E$1:$E$24,$E$27)</f>
        <v>17</v>
      </c>
      <c r="K27" s="35">
        <f>=SUMIFS(K1:K24,$E$1:$E$24,$E$27)</f>
        <v>17</v>
      </c>
      <c r="L27" s="35">
        <f>=SUMIFS(L1:L24,$E$1:$E$24,$E$27)</f>
        <v>14</v>
      </c>
      <c r="M27" s="35">
        <f>=SUMIFS(M1:M24,$E$1:$E$24,$E$27)</f>
        <v>14</v>
      </c>
      <c r="N27" s="35">
        <f>=SUMIFS(N1:N24,$E$1:$E$24,$E$27)</f>
        <v>14</v>
      </c>
      <c r="O27" s="35">
        <f>=SUMIFS(O1:O24,$E$1:$E$24,$E$27)</f>
        <v>14</v>
      </c>
      <c r="P27" s="35">
        <f>=SUMIFS(P1:P24,$E$1:$E$24,$E$27)</f>
        <v>14</v>
      </c>
    </row>
    <row r="28" spans="1:16">
      <c r="A28" s="36" t="s"/>
      <c r="B28" s="36" t="s"/>
      <c r="C28" s="36" t="s"/>
      <c r="D28" s="7" t="s">
        <v>58</v>
      </c>
      <c r="E28" s="12" t="s"/>
      <c r="F28" s="7" t="s"/>
      <c r="G28" s="7">
        <f>=SUM(G25:G27)</f>
        <v>43</v>
      </c>
      <c r="H28" s="7">
        <f>=SUM(H25:H27)</f>
        <v>43</v>
      </c>
      <c r="I28" s="7">
        <f>=SUM(I25:I27)</f>
        <v>43</v>
      </c>
      <c r="J28" s="7">
        <f>=SUM(J25:J27)</f>
        <v>43</v>
      </c>
      <c r="K28" s="7">
        <f>=SUM(K25:K27)</f>
        <v>43</v>
      </c>
      <c r="L28" s="7">
        <f>=SUM(L25:L27)</f>
        <v>40</v>
      </c>
      <c r="M28" s="7">
        <f>=SUM(M25:M27)</f>
        <v>40</v>
      </c>
      <c r="N28" s="7">
        <f>=SUM(N25:N27)</f>
        <v>40</v>
      </c>
      <c r="O28" s="7">
        <f>=SUM(O25:O27)</f>
        <v>40</v>
      </c>
      <c r="P28" s="7">
        <f>=SUM(P25:P27)</f>
        <v>40</v>
      </c>
    </row>
    <row r="29" spans="1:16">
      <c r="A29" s="37" t="s"/>
      <c r="B29" s="37" t="s"/>
      <c r="C29" s="37" t="s"/>
      <c r="D29" s="7" t="s">
        <v>59</v>
      </c>
      <c r="E29" s="38" t="s"/>
      <c r="F29" s="38" t="s"/>
      <c r="G29" s="38">
        <v>43</v>
      </c>
      <c r="H29" s="38">
        <v>43</v>
      </c>
      <c r="I29" s="38">
        <v>43</v>
      </c>
      <c r="J29" s="38">
        <v>43</v>
      </c>
      <c r="K29" s="38">
        <v>43</v>
      </c>
      <c r="L29" s="38">
        <v>43</v>
      </c>
      <c r="M29" s="38">
        <v>43</v>
      </c>
      <c r="N29" s="38">
        <v>43</v>
      </c>
      <c r="O29" s="38">
        <v>43</v>
      </c>
      <c r="P29" s="38">
        <v>43</v>
      </c>
    </row>
    <row r="30" spans="1:16">
      <c r="A30" s="37" t="s"/>
      <c r="B30" s="37" t="s"/>
      <c r="C30" s="37" t="s"/>
      <c r="D30" s="38" t="s">
        <v>60</v>
      </c>
      <c r="E30" s="38" t="s"/>
      <c r="F30" s="38" t="s"/>
      <c r="G30" s="38">
        <f>=G29-G28</f>
        <v>0</v>
      </c>
      <c r="H30" s="38">
        <f>=H29-H28</f>
        <v>0</v>
      </c>
      <c r="I30" s="38">
        <f>=I29-I28</f>
        <v>0</v>
      </c>
      <c r="J30" s="38">
        <f>=J29-J28</f>
        <v>0</v>
      </c>
      <c r="K30" s="38">
        <f>=K29-K28</f>
        <v>0</v>
      </c>
      <c r="L30" s="38">
        <f>=L29-L28</f>
        <v>3</v>
      </c>
      <c r="M30" s="38">
        <f>=M29-M28</f>
        <v>3</v>
      </c>
      <c r="N30" s="38">
        <f>=N29-N28</f>
        <v>3</v>
      </c>
      <c r="O30" s="38">
        <f>=O29-O28</f>
        <v>3</v>
      </c>
      <c r="P30" s="38">
        <f>=P29-P28</f>
        <v>3</v>
      </c>
    </row>
    <row r="31" spans="1:16">
      <c r="A31" s="39" t="s"/>
      <c r="B31" s="39" t="s"/>
      <c r="C31" s="39" t="s"/>
      <c r="D31" s="39" t="s"/>
      <c r="E31" s="39" t="s"/>
      <c r="F31" s="39" t="s"/>
      <c r="G31" s="39" t="s"/>
      <c r="H31" s="39" t="s"/>
      <c r="I31" s="39" t="s"/>
      <c r="J31" s="39" t="s"/>
      <c r="K31" s="39" t="s"/>
      <c r="L31" s="39">
        <v>-3</v>
      </c>
      <c r="M31" s="39" t="s"/>
      <c r="N31" s="39" t="s"/>
      <c r="O31" s="39" t="s"/>
      <c r="P31" s="39" t="s"/>
    </row>
  </sheetData>
  <mergeCells count="37">
    <mergeCell ref="A6:A7"/>
    <mergeCell ref="B6:B7"/>
    <mergeCell ref="C6:C7"/>
    <mergeCell ref="D6:D7"/>
    <mergeCell ref="A18:A19"/>
    <mergeCell ref="B18:B19"/>
    <mergeCell ref="C18:C19"/>
    <mergeCell ref="D18:D19"/>
    <mergeCell ref="A25:A27"/>
    <mergeCell ref="D20:D21"/>
    <mergeCell ref="C20:C21"/>
    <mergeCell ref="B20:B21"/>
    <mergeCell ref="A20:A21"/>
    <mergeCell ref="A2:A3"/>
    <mergeCell ref="B2:B3"/>
    <mergeCell ref="C2:C3"/>
    <mergeCell ref="D2:D3"/>
    <mergeCell ref="A4:A5"/>
    <mergeCell ref="B4:B5"/>
    <mergeCell ref="C4:C5"/>
    <mergeCell ref="D4:D5"/>
    <mergeCell ref="A10:A11"/>
    <mergeCell ref="B10:B11"/>
    <mergeCell ref="C10:C11"/>
    <mergeCell ref="A12:A13"/>
    <mergeCell ref="B12:B13"/>
    <mergeCell ref="C12:C13"/>
    <mergeCell ref="D12:D13"/>
    <mergeCell ref="A14:A15"/>
    <mergeCell ref="B14:B15"/>
    <mergeCell ref="C14:C15"/>
    <mergeCell ref="D14:D15"/>
    <mergeCell ref="A8:A9"/>
    <mergeCell ref="B8:B9"/>
    <mergeCell ref="C8:C9"/>
    <mergeCell ref="D10:D11"/>
    <mergeCell ref="D8:D9"/>
  </mergeCells>
  <legacyDrawing r:id="rId0"/>
</worksheet>
</file>

<file path=xl/worksheets/sheet10.xml><?xml version="1.0" encoding="utf-8"?>
<worksheet xmlns="http://schemas.openxmlformats.org/spreadsheetml/2006/main">
  <sheetPr codeName="业务投资地图-v1.0">
    <tabColor/>
  </sheetPr>
  <dimension ref="B31"/>
  <sheetViews>
    <sheetView showGridLines="true" workbookViewId="0"/>
  </sheetViews>
  <sheetFormatPr baseColWidth="13" defaultRowHeight="18" customHeight="true"/>
  <cols>
    <col min="1" max="1" width="20.7109" customWidth="true"/>
    <col min="2" max="2" width="12.7109" customWidth="true"/>
    <col min="3" max="3" width="45.3242" customWidth="true"/>
    <col min="4" max="4" width="16.7109" customWidth="true"/>
    <col min="5" max="5" width="12.9414" customWidth="true"/>
    <col min="6" max="6" width="13.7539" customWidth="true"/>
    <col min="7" max="7" width="10.9219" customWidth="true"/>
    <col min="8" max="8" width="6.24219" customWidth="true"/>
    <col min="9" max="9" width="20.3633" customWidth="true"/>
    <col min="10" max="10" width="12.2734" customWidth="true"/>
    <col min="11" max="11" width="13.6211" customWidth="true"/>
  </cols>
  <sheetData>
    <row r="1" spans="1:12" s="6" customFormat="true" ht="18.75" customHeight="true">
      <c r="A1" s="4" t="s">
        <v>1</v>
      </c>
      <c r="B1" s="4" t="s">
        <v>2</v>
      </c>
      <c r="C1" s="4" t="s">
        <v>3</v>
      </c>
      <c r="D1" s="4" t="s">
        <v>4</v>
      </c>
      <c r="E1" s="89" t="s">
        <v>266</v>
      </c>
      <c r="F1" s="5" t="s">
        <v>267</v>
      </c>
      <c r="G1" s="90" t="s"/>
      <c r="H1" s="91" t="s"/>
      <c r="I1" s="91" t="s"/>
      <c r="J1" s="90" t="s"/>
      <c r="K1" s="91" t="s"/>
      <c r="L1" s="92" t="s"/>
    </row>
    <row r="2" spans="1:11">
      <c r="A2" s="7" t="s">
        <v>17</v>
      </c>
      <c r="B2" s="7" t="s">
        <v>18</v>
      </c>
      <c r="C2" s="8" t="s">
        <v>19</v>
      </c>
      <c r="D2" s="9">
        <v>46204</v>
      </c>
      <c r="E2" s="93">
        <v>39</v>
      </c>
      <c r="F2" s="7">
        <v>29</v>
      </c>
      <c r="G2" s="90" t="s"/>
      <c r="H2" s="91" t="s"/>
      <c r="I2" s="91" t="s"/>
      <c r="J2" s="91" t="s"/>
      <c r="K2" s="91" t="s"/>
    </row>
    <row r="3" spans="1:11" ht="51.75" customHeight="true">
      <c r="A3" s="34" t="s">
        <v>163</v>
      </c>
      <c r="B3" s="7" t="s">
        <v>23</v>
      </c>
      <c r="C3" s="8" t="s">
        <v>24</v>
      </c>
      <c r="D3" s="9">
        <v>46204</v>
      </c>
      <c r="E3" s="93">
        <v>28</v>
      </c>
      <c r="F3" s="7">
        <v>14</v>
      </c>
      <c r="G3" s="90" t="s"/>
      <c r="H3" s="91" t="s"/>
      <c r="I3" s="91" t="s"/>
      <c r="J3" s="91" t="s"/>
      <c r="K3" s="91" t="s"/>
    </row>
    <row r="4" spans="1:11" ht="38.25" customHeight="true">
      <c r="A4" s="27" t="s"/>
      <c r="B4" s="7" t="s">
        <v>18</v>
      </c>
      <c r="C4" s="8" t="s">
        <v>39</v>
      </c>
      <c r="D4" s="9">
        <v>46266</v>
      </c>
      <c r="E4" s="93">
        <v>41</v>
      </c>
      <c r="F4" s="7">
        <v>22</v>
      </c>
      <c r="G4" s="90" t="s"/>
      <c r="H4" s="91" t="s"/>
      <c r="I4" s="91" t="s"/>
      <c r="J4" s="91" t="s"/>
      <c r="K4" s="91" t="s"/>
    </row>
    <row r="5" spans="1:11">
      <c r="A5" s="7" t="s">
        <v>25</v>
      </c>
      <c r="B5" s="7" t="s">
        <v>26</v>
      </c>
      <c r="C5" s="8" t="s">
        <v>268</v>
      </c>
      <c r="D5" s="94" t="s">
        <v>269</v>
      </c>
      <c r="E5" s="93">
        <v>41</v>
      </c>
      <c r="F5" s="7">
        <v>25</v>
      </c>
      <c r="G5" s="90" t="s"/>
      <c r="H5" s="90" t="s"/>
      <c r="I5" s="90" t="s"/>
      <c r="J5" s="91" t="s"/>
      <c r="K5" s="91" t="s"/>
    </row>
    <row r="6" spans="1:11" ht="64.5" customHeight="true">
      <c r="A6" s="34" t="s">
        <v>170</v>
      </c>
      <c r="B6" s="12" t="s">
        <v>34</v>
      </c>
      <c r="C6" s="8" t="s">
        <v>270</v>
      </c>
      <c r="D6" s="9" t="s">
        <v>271</v>
      </c>
      <c r="E6" s="93">
        <v>9</v>
      </c>
      <c r="F6" s="7">
        <v>15</v>
      </c>
      <c r="G6" s="90" t="s"/>
      <c r="H6" s="91" t="s"/>
      <c r="I6" s="91" t="s"/>
      <c r="J6" s="90" t="s"/>
      <c r="K6" s="90" t="s"/>
    </row>
    <row r="7" spans="1:11">
      <c r="A7" s="27" t="s"/>
      <c r="B7" s="7" t="s">
        <v>34</v>
      </c>
      <c r="C7" s="7" t="s">
        <v>37</v>
      </c>
      <c r="D7" s="22" t="s">
        <v>272</v>
      </c>
      <c r="E7" s="93">
        <v>24</v>
      </c>
      <c r="F7" s="7">
        <v>18</v>
      </c>
      <c r="G7" s="90" t="s"/>
      <c r="H7" s="95" t="s"/>
      <c r="I7" s="95" t="s"/>
      <c r="J7" s="95" t="s"/>
      <c r="K7" s="95" t="s"/>
    </row>
    <row r="8" spans="1:11">
      <c r="A8" s="7" t="s">
        <v>40</v>
      </c>
      <c r="B8" s="7" t="s">
        <v>41</v>
      </c>
      <c r="C8" s="8" t="s">
        <v>42</v>
      </c>
      <c r="D8" s="9" t="s">
        <v>43</v>
      </c>
      <c r="E8" s="93" t="s"/>
      <c r="F8" s="7">
        <v>17</v>
      </c>
      <c r="G8" s="90" t="s"/>
      <c r="H8" s="90" t="s"/>
      <c r="I8" s="90" t="s"/>
      <c r="J8" s="90" t="s"/>
      <c r="K8" s="90" t="s"/>
    </row>
    <row r="9" spans="1:11">
      <c r="A9" s="7" t="s">
        <v>273</v>
      </c>
      <c r="B9" s="7" t="s">
        <v>45</v>
      </c>
      <c r="C9" s="8" t="s">
        <v>46</v>
      </c>
      <c r="D9" s="9" t="s">
        <v>43</v>
      </c>
      <c r="E9" s="93">
        <v>18</v>
      </c>
      <c r="F9" s="96" t="s"/>
      <c r="G9" s="90" t="s"/>
      <c r="H9" s="90" t="s"/>
      <c r="I9" s="90" t="s"/>
      <c r="J9" s="90" t="s"/>
      <c r="K9" s="90" t="s"/>
    </row>
    <row r="10" spans="1:11">
      <c r="A10" s="7" t="s">
        <v>47</v>
      </c>
      <c r="B10" s="21" t="s"/>
      <c r="C10" s="8" t="s">
        <v>48</v>
      </c>
      <c r="D10" s="22" t="s">
        <v>43</v>
      </c>
      <c r="E10" s="93">
        <v>20</v>
      </c>
      <c r="F10" s="7">
        <v>10</v>
      </c>
      <c r="G10" s="90" t="s"/>
      <c r="H10" s="91" t="s"/>
      <c r="I10" s="91" t="s"/>
      <c r="J10" s="91" t="s"/>
      <c r="K10" s="91" t="s"/>
    </row>
    <row r="11" spans="1:11">
      <c r="A11" s="97" t="s">
        <v>49</v>
      </c>
      <c r="B11" s="98" t="s"/>
      <c r="C11" s="99" t="s">
        <v>50</v>
      </c>
      <c r="D11" s="100" t="s">
        <v>32</v>
      </c>
      <c r="E11" s="101">
        <v>10</v>
      </c>
      <c r="F11" s="7">
        <v>5</v>
      </c>
      <c r="G11" s="90" t="s"/>
      <c r="H11" s="91" t="s"/>
      <c r="I11" s="91" t="s"/>
      <c r="J11" s="91" t="s"/>
      <c r="K11" s="91" t="s"/>
    </row>
    <row r="12" spans="1:11">
      <c r="A12" s="7" t="s">
        <v>55</v>
      </c>
      <c r="B12" s="12" t="s"/>
      <c r="C12" s="7" t="s">
        <v>56</v>
      </c>
      <c r="D12" s="22" t="s">
        <v>43</v>
      </c>
      <c r="E12" s="93">
        <v>20</v>
      </c>
      <c r="F12" s="7" t="s"/>
      <c r="G12" s="90" t="s"/>
      <c r="H12" s="91" t="s"/>
      <c r="I12" s="91" t="s"/>
      <c r="J12" s="91" t="s"/>
      <c r="K12" s="91" t="s"/>
    </row>
    <row r="13" spans="1:11">
      <c r="A13" s="7" t="s">
        <v>57</v>
      </c>
      <c r="B13" s="102" t="s"/>
      <c r="C13" s="12" t="s"/>
      <c r="D13" s="12" t="s">
        <v>274</v>
      </c>
      <c r="E13" s="93">
        <f>=SUM(E2:E12)</f>
        <v>250</v>
      </c>
      <c r="F13" s="7">
        <f>=SUM(F2:F12)</f>
        <v>155</v>
      </c>
      <c r="G13" s="90" t="s"/>
      <c r="H13" s="91" t="s"/>
      <c r="I13" s="91" t="s"/>
      <c r="J13" s="91" t="s"/>
      <c r="K13" s="91" t="s"/>
    </row>
    <row r="14" spans="1:11">
      <c r="A14" s="103" t="s"/>
      <c r="B14" s="104" t="s"/>
      <c r="C14" s="12" t="s"/>
      <c r="D14" s="12" t="s">
        <v>275</v>
      </c>
      <c r="E14" s="93">
        <f>=E13/10</f>
        <v>25</v>
      </c>
      <c r="F14" s="7">
        <f>=F13/10</f>
        <v>15.5</v>
      </c>
      <c r="G14" s="90" t="s"/>
      <c r="H14" s="91" t="s"/>
      <c r="I14" s="91" t="s"/>
      <c r="J14" s="91" t="s"/>
      <c r="K14" s="91" t="s"/>
    </row>
    <row r="15" spans="1:11">
      <c r="A15" s="103" t="s"/>
      <c r="B15" s="32" t="s"/>
      <c r="C15" s="12" t="s"/>
      <c r="D15" s="102" t="s">
        <v>276</v>
      </c>
      <c r="E15" s="105">
        <v>25</v>
      </c>
      <c r="F15" s="7">
        <v>15.5</v>
      </c>
      <c r="G15" s="90" t="s"/>
      <c r="H15" s="91" t="s"/>
      <c r="I15" s="91" t="s"/>
      <c r="J15" s="91" t="s"/>
      <c r="K15" s="91" t="s"/>
    </row>
    <row r="16" spans="1:11">
      <c r="A16" s="106" t="s"/>
      <c r="B16" s="107" t="s"/>
      <c r="C16" s="106" t="s"/>
      <c r="D16" s="7" t="s">
        <v>277</v>
      </c>
      <c r="E16" s="108">
        <f>=E14-E15</f>
        <v>0</v>
      </c>
      <c r="F16" s="12">
        <f>=F14-F15</f>
        <v>0</v>
      </c>
      <c r="G16" s="92" t="s"/>
      <c r="H16" s="90" t="s"/>
      <c r="I16" s="90" t="s"/>
      <c r="J16" s="90" t="s"/>
      <c r="K16" s="90" t="s"/>
    </row>
    <row r="17" spans="1:11">
      <c r="A17" s="109" t="s"/>
      <c r="B17" s="110" t="s"/>
      <c r="C17" s="109" t="s"/>
      <c r="D17" s="111" t="s"/>
      <c r="E17" s="111" t="s"/>
      <c r="F17" s="111" t="s"/>
      <c r="G17" s="111" t="s"/>
      <c r="H17" s="111" t="s"/>
      <c r="I17" s="111" t="s"/>
      <c r="J17" s="111" t="s"/>
      <c r="K17" s="111" t="s"/>
    </row>
    <row r="18" spans="1:11">
      <c r="A18" s="109" t="s"/>
      <c r="B18" s="112" t="s"/>
      <c r="C18" s="109" t="s"/>
      <c r="D18" s="111" t="s"/>
      <c r="E18" s="111" t="s"/>
      <c r="F18" s="111" t="s"/>
      <c r="G18" s="111" t="s"/>
      <c r="H18" s="111" t="s"/>
      <c r="I18" s="111" t="s"/>
      <c r="J18" s="111" t="s"/>
      <c r="K18" s="111" t="s"/>
    </row>
    <row r="19" spans="1:11">
      <c r="A19" s="39" t="s"/>
      <c r="B19" s="39" t="s"/>
      <c r="C19" s="39" t="s"/>
      <c r="D19" s="113" t="s"/>
      <c r="E19" s="114" t="s"/>
      <c r="F19" s="114" t="s"/>
      <c r="G19" s="113" t="s"/>
      <c r="H19" s="113" t="s"/>
      <c r="I19" s="113" t="s"/>
      <c r="J19" s="113" t="s"/>
      <c r="K19" s="113" t="s"/>
    </row>
    <row r="20" spans="1:11">
      <c r="A20" s="115" t="s">
        <v>278</v>
      </c>
      <c r="B20" s="116" t="s"/>
      <c r="C20" s="116" t="s"/>
      <c r="D20" s="116" t="s"/>
      <c r="E20" s="116" t="s"/>
      <c r="F20" s="116" t="s"/>
      <c r="G20" s="116" t="s"/>
      <c r="H20" s="116" t="s"/>
      <c r="I20" s="116" t="s"/>
      <c r="J20" s="116" t="s"/>
      <c r="K20" s="116" t="s"/>
    </row>
    <row r="21" spans="1:11">
      <c r="A21" s="4" t="s">
        <v>279</v>
      </c>
      <c r="B21" s="4" t="s">
        <v>157</v>
      </c>
      <c r="C21" s="4" t="s">
        <v>158</v>
      </c>
      <c r="D21" s="4" t="s">
        <v>29</v>
      </c>
      <c r="E21" s="4" t="s">
        <v>21</v>
      </c>
      <c r="F21" s="4" t="s"/>
      <c r="G21" s="4" t="s">
        <v>280</v>
      </c>
      <c r="H21" s="4" t="s">
        <v>60</v>
      </c>
      <c r="I21" s="4" t="s">
        <v>281</v>
      </c>
      <c r="J21" s="4" t="s">
        <v>282</v>
      </c>
      <c r="K21" s="4" t="s">
        <v>283</v>
      </c>
    </row>
    <row r="22" spans="1:11">
      <c r="A22" s="117" t="s">
        <v>284</v>
      </c>
      <c r="B22" s="117">
        <f>=D22+E22</f>
        <v>6.8</v>
      </c>
      <c r="C22" s="118">
        <f>=B22/$B$31</f>
        <v>0.17</v>
      </c>
      <c r="D22" s="7">
        <f>=E2/10</f>
        <v>3.9</v>
      </c>
      <c r="E22" s="7">
        <f>=F2/10</f>
        <v>2.9</v>
      </c>
      <c r="F22" s="117" t="s"/>
      <c r="G22" s="117" t="s"/>
      <c r="H22" s="117" t="s"/>
      <c r="I22" s="117" t="s"/>
      <c r="J22" s="117" t="s"/>
      <c r="K22" s="117" t="s"/>
    </row>
    <row r="23" spans="1:11">
      <c r="A23" s="13" t="s">
        <v>163</v>
      </c>
      <c r="B23" s="117">
        <f>=D23+E23</f>
        <v>10.5</v>
      </c>
      <c r="C23" s="118">
        <f>=B23/$B$31</f>
        <v>0.2625</v>
      </c>
      <c r="D23" s="13">
        <f>=(E3+E4)/10</f>
        <v>6.9</v>
      </c>
      <c r="E23" s="13">
        <f>=(F3+F4)/10</f>
        <v>3.6</v>
      </c>
      <c r="F23" s="13" t="s"/>
      <c r="G23" s="13" t="s"/>
      <c r="H23" s="13" t="s"/>
      <c r="I23" s="13" t="s"/>
      <c r="J23" s="13" t="s"/>
      <c r="K23" s="13" t="s"/>
    </row>
    <row r="24" spans="1:11">
      <c r="A24" s="13" t="s">
        <v>285</v>
      </c>
      <c r="B24" s="117">
        <f>=D24+E24</f>
        <v>6.6</v>
      </c>
      <c r="C24" s="118">
        <f>=B24/$B$31</f>
        <v>0.165</v>
      </c>
      <c r="D24" s="7">
        <f>=E5/10</f>
        <v>4.1</v>
      </c>
      <c r="E24" s="7">
        <f>=F5/10</f>
        <v>2.5</v>
      </c>
      <c r="F24" s="13" t="s"/>
      <c r="G24" s="13" t="s"/>
      <c r="H24" s="13" t="s"/>
      <c r="I24" s="13" t="s"/>
      <c r="J24" s="13" t="s"/>
      <c r="K24" s="13" t="s"/>
    </row>
    <row r="25" spans="1:11">
      <c r="A25" s="13" t="s">
        <v>170</v>
      </c>
      <c r="B25" s="117">
        <f>=D25+E25</f>
        <v>6.6</v>
      </c>
      <c r="C25" s="118">
        <f>=B25/$B$31</f>
        <v>0.165</v>
      </c>
      <c r="D25" s="13">
        <f>=(E6+E7)/10</f>
        <v>3.3</v>
      </c>
      <c r="E25" s="13">
        <f>=(F6+F7)/10</f>
        <v>3.3</v>
      </c>
      <c r="F25" s="13" t="s"/>
      <c r="G25" s="13" t="s"/>
      <c r="H25" s="13" t="s"/>
      <c r="I25" s="13" t="s"/>
      <c r="J25" s="13" t="s"/>
      <c r="K25" s="13" t="s"/>
    </row>
    <row r="26" spans="1:11">
      <c r="A26" s="13" t="s">
        <v>286</v>
      </c>
      <c r="B26" s="117">
        <f>=D26+E26</f>
        <v>1.8</v>
      </c>
      <c r="C26" s="118">
        <f>=B26/$B$31</f>
        <v>0.045</v>
      </c>
      <c r="D26" s="13">
        <f>=E9/10</f>
        <v>1.8</v>
      </c>
      <c r="E26" s="13" t="s"/>
      <c r="F26" s="13" t="s"/>
      <c r="G26" s="13" t="s"/>
      <c r="H26" s="13" t="s"/>
      <c r="I26" s="13" t="s"/>
      <c r="J26" s="13" t="s"/>
      <c r="K26" s="13" t="s"/>
    </row>
    <row r="27" spans="1:11">
      <c r="A27" s="13" t="s">
        <v>142</v>
      </c>
      <c r="B27" s="117">
        <f>=D27+E27</f>
        <v>1</v>
      </c>
      <c r="C27" s="118">
        <f>=B27/$B$31</f>
        <v>0.025</v>
      </c>
      <c r="D27" s="13">
        <f>=E11/10</f>
        <v>1</v>
      </c>
      <c r="E27" s="13">
        <f>=F12/10</f>
        <v>0</v>
      </c>
      <c r="F27" s="13" t="s"/>
      <c r="G27" s="13" t="s"/>
      <c r="H27" s="13" t="s"/>
      <c r="I27" s="13" t="s"/>
      <c r="J27" s="13" t="s"/>
      <c r="K27" s="13" t="s"/>
    </row>
    <row r="28" spans="1:11">
      <c r="A28" s="13" t="s">
        <v>40</v>
      </c>
      <c r="B28" s="117">
        <f>=D28+E28</f>
        <v>1.7</v>
      </c>
      <c r="C28" s="118">
        <f>=B28/$B$31</f>
        <v>0.0425</v>
      </c>
      <c r="D28" s="13" t="s"/>
      <c r="E28" s="13">
        <f>=F8/10</f>
        <v>1.7</v>
      </c>
      <c r="F28" s="13" t="s"/>
      <c r="G28" s="13" t="s"/>
      <c r="H28" s="13" t="s"/>
      <c r="I28" s="13" t="s"/>
      <c r="J28" s="13" t="s"/>
      <c r="K28" s="13" t="s"/>
    </row>
    <row r="29" spans="1:11">
      <c r="A29" s="13" t="s">
        <v>47</v>
      </c>
      <c r="B29" s="117">
        <f>=D29+E29</f>
        <v>3</v>
      </c>
      <c r="C29" s="118">
        <f>=B29/$B$31</f>
        <v>0.075</v>
      </c>
      <c r="D29" s="13">
        <f>=E10/10</f>
        <v>2</v>
      </c>
      <c r="E29" s="13">
        <f>=F10/10</f>
        <v>1</v>
      </c>
      <c r="F29" s="13" t="s"/>
      <c r="G29" s="13" t="s"/>
      <c r="H29" s="13" t="s"/>
      <c r="I29" s="13" t="s"/>
      <c r="J29" s="13" t="s"/>
      <c r="K29" s="13" t="s"/>
    </row>
    <row r="30" spans="1:11">
      <c r="A30" s="13" t="s">
        <v>55</v>
      </c>
      <c r="B30" s="117">
        <f>=D30+E30</f>
        <v>2</v>
      </c>
      <c r="C30" s="118">
        <f>=B30/$B$31</f>
        <v>0.05</v>
      </c>
      <c r="D30" s="13">
        <f>=E12/10</f>
        <v>2</v>
      </c>
      <c r="E30" s="13" t="s"/>
      <c r="F30" s="13" t="s"/>
      <c r="G30" s="13" t="s"/>
      <c r="H30" s="13" t="s"/>
      <c r="I30" s="13" t="s"/>
      <c r="J30" s="13" t="s"/>
      <c r="K30" s="13" t="s"/>
    </row>
    <row r="31" spans="1:2">
      <c r="A31" t="s">
        <v>287</v>
      </c>
      <c r="B31">
        <f>=SUM(B22:B30)</f>
        <v>40</v>
      </c>
    </row>
  </sheetData>
  <mergeCells count="4">
    <mergeCell ref="A13:A15"/>
    <mergeCell ref="A3:A4"/>
    <mergeCell ref="A6:A7"/>
    <mergeCell ref="A20:K20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2026-04-29T15:43:49Z</dcterms:created>
  <dcterms:modified xsi:type="dcterms:W3CDTF">2026-04-29T15:43:49Z</dcterms:modified>
</cp:coreProperties>
</file>