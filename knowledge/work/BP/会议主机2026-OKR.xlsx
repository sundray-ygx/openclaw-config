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KR" sheetId="1" r:id="rId3"/>
    <sheet name="人力甘特图" sheetId="2" r:id="rId4"/>
    <sheet name="业务投资地图" sheetId="3" r:id="rId5"/>
    <sheet name="责任田分析" sheetId="4" r:id="rId6"/>
    <sheet name="跨部门协作需求" sheetId="5" r:id="rId7"/>
  </sheets>
  <calcPr/>
</workbook>
</file>

<file path=xl/sharedStrings.xml><?xml version="1.0" encoding="utf-8"?>
<sst xmlns="http://schemas.openxmlformats.org/spreadsheetml/2006/main" count="232" uniqueCount="232">
  <si>
    <t/>
  </si>
  <si>
    <t>业务投资分解</t>
  </si>
  <si>
    <t>业务</t>
  </si>
  <si>
    <t>上半年总投/人天</t>
  </si>
  <si>
    <t>目标投入</t>
  </si>
  <si>
    <t>业务方向</t>
  </si>
  <si>
    <t>承载版本</t>
  </si>
  <si>
    <t>预期</t>
  </si>
  <si>
    <t>子方向</t>
  </si>
  <si>
    <t>开发（人月）</t>
  </si>
  <si>
    <t>测试（人月）</t>
  </si>
  <si>
    <t>会议体验稳定</t>
  </si>
  <si>
    <t>本地会议+线上会议</t>
  </si>
  <si>
    <t>3.6.2</t>
  </si>
  <si>
    <t>202512-202605</t>
  </si>
  <si>
    <t>投屏稳定性</t>
  </si>
  <si>
    <t>外设稳定性</t>
  </si>
  <si>
    <t>基础平台稳定性</t>
  </si>
  <si>
    <t>产品竞争力提升</t>
  </si>
  <si>
    <t>腾讯rooms生态合作</t>
  </si>
  <si>
    <t>3.6.5</t>
  </si>
  <si>
    <t>2026 5-6月</t>
  </si>
  <si>
    <t>完成腾讯rooms bar款认证、HDMI IN 及投屏器适配</t>
  </si>
  <si>
    <t>OPS稳定性提升</t>
  </si>
  <si>
    <t>3.7.1</t>
  </si>
  <si>
    <t>2026 8月</t>
  </si>
  <si>
    <t>提供抗弱网、低延迟的会议体验</t>
  </si>
  <si>
    <t>3.8.1</t>
  </si>
  <si>
    <t>2026 11月</t>
  </si>
  <si>
    <t>降码流、弱网自适应、网络带宽优先</t>
  </si>
  <si>
    <t>基础会议配套补全</t>
  </si>
  <si>
    <t>会控屏（软件）、会议预约系统</t>
  </si>
  <si>
    <t>提供稳定的兜底方案</t>
  </si>
  <si>
    <t>sundray投屏器</t>
  </si>
  <si>
    <t>保障交付</t>
  </si>
  <si>
    <t>外设兼容性提升</t>
  </si>
  <si>
    <t>抽象出虚拟外设彻底解决外设兼容和稳定性问题</t>
  </si>
  <si>
    <t>配套演示&amp;交付工具</t>
  </si>
  <si>
    <t>网络检查、自助排障</t>
  </si>
  <si>
    <t>海外客户交付</t>
  </si>
  <si>
    <t>平台国际化、标准方案主机+sundray投屏器</t>
  </si>
  <si>
    <t>探索&amp;技术预研</t>
  </si>
  <si>
    <t>SIP协议对接、会议精灵</t>
  </si>
  <si>
    <t>技术支持&amp;客户支撑</t>
  </si>
  <si>
    <t>技术支持</t>
  </si>
  <si>
    <t>管理</t>
  </si>
  <si>
    <t>团队管理</t>
  </si>
  <si>
    <t>研发投资地图</t>
  </si>
  <si>
    <t>战场</t>
  </si>
  <si>
    <t>研发人数</t>
  </si>
  <si>
    <t>占比</t>
  </si>
  <si>
    <t>开发</t>
  </si>
  <si>
    <t>测试</t>
  </si>
  <si>
    <t>人力</t>
  </si>
  <si>
    <t>缺口</t>
  </si>
  <si>
    <t>补齐后
人力</t>
  </si>
  <si>
    <t>总人数</t>
  </si>
  <si>
    <t>现有</t>
  </si>
  <si>
    <t>团队-TL</t>
  </si>
  <si>
    <t>责任田</t>
  </si>
  <si>
    <t>维度</t>
  </si>
  <si>
    <t>维度细分</t>
  </si>
  <si>
    <t>当前现状</t>
  </si>
  <si>
    <t>下一步举措</t>
  </si>
  <si>
    <t>全局数据</t>
  </si>
  <si>
    <t>整体质量分析</t>
  </si>
  <si>
    <t>客户端-孙若淮</t>
  </si>
  <si>
    <t>1、投屏稳定
2、BYOM稳定
3、会议体验提升
4、技术竞争力构建</t>
  </si>
  <si>
    <t>投屏&amp;BYOM稳定</t>
  </si>
  <si>
    <t>客户端/web投屏</t>
  </si>
  <si>
    <t>3.6.2质量版本发布达到稳定</t>
  </si>
  <si>
    <t>弱网适应</t>
  </si>
  <si>
    <t>苹果airplay投屏</t>
  </si>
  <si>
    <t>稳定</t>
  </si>
  <si>
    <t>微软miracast投屏</t>
  </si>
  <si>
    <t>较不稳定</t>
  </si>
  <si>
    <t>借助AI能力优化</t>
  </si>
  <si>
    <t>鸿蒙终端投屏</t>
  </si>
  <si>
    <t>当前仅支持使用投屏器，且未做过完整兼容性测试，
存在问题：测试部有一台鸿蒙电脑接投屏器，过一会会黑屏</t>
  </si>
  <si>
    <t>会议体验提升&amp;竞争力构建</t>
  </si>
  <si>
    <t>弱网对抗</t>
  </si>
  <si>
    <t>性能提升</t>
  </si>
  <si>
    <t xml:space="preserve">1、采集、编码环节存在较大优化空间，优化后：
PPT投屏码流可降低？%，视频投屏码流可降低？%
CPU/GPU消耗提升？折算电力消耗降低百分之？
</t>
  </si>
  <si>
    <t>主机-李大辉</t>
  </si>
  <si>
    <t>1、BYOM稳定性&amp;兼容性
2、技术竞争力构建</t>
  </si>
  <si>
    <t>投屏器辫子</t>
  </si>
  <si>
    <t xml:space="preserve">
</t>
  </si>
  <si>
    <t>待出货量破300，启动自研</t>
  </si>
  <si>
    <t>外设隔离虚拟化</t>
  </si>
  <si>
    <t>协议兼容</t>
  </si>
  <si>
    <t>平台-巫晓麒</t>
  </si>
  <si>
    <t>1、基础平台稳定
2、交付体验提升
3、主机应用看护</t>
  </si>
  <si>
    <t>主导部门</t>
  </si>
  <si>
    <t>协作部门</t>
  </si>
  <si>
    <t>协作项</t>
  </si>
  <si>
    <t>协作项完成时间</t>
  </si>
  <si>
    <t>合入版本的发布时间</t>
  </si>
  <si>
    <t>主导部门合入版本</t>
  </si>
  <si>
    <t>是否达成一致</t>
  </si>
  <si>
    <t>是否完成</t>
  </si>
  <si>
    <t>备注</t>
  </si>
  <si>
    <t>协作接口人</t>
  </si>
  <si>
    <t>责任人
（产线主管）</t>
  </si>
  <si>
    <t>状态</t>
  </si>
  <si>
    <t>无线</t>
  </si>
  <si>
    <t>会议主机</t>
  </si>
  <si>
    <t>投屏业务流量带宽保障</t>
  </si>
  <si>
    <t>是</t>
  </si>
  <si>
    <t>否</t>
  </si>
  <si>
    <t>王旭华</t>
  </si>
  <si>
    <t>任海斌</t>
  </si>
  <si>
    <t>待转测</t>
  </si>
  <si>
    <t>无线、硬件研发部</t>
  </si>
  <si>
    <t>无线投屏器</t>
  </si>
  <si>
    <t>李定波、张文涛</t>
  </si>
  <si>
    <t>等人力释放</t>
  </si>
  <si>
    <t>无线相关问题排查</t>
  </si>
  <si>
    <t>2026全年</t>
  </si>
  <si>
    <t>无</t>
  </si>
  <si>
    <t>蔡忠忠</t>
  </si>
  <si>
    <t>林旭</t>
  </si>
  <si>
    <t>协作中</t>
  </si>
  <si>
    <t>整体人力甘特图</t>
  </si>
  <si>
    <t>团队人力</t>
  </si>
  <si>
    <t>2026年</t>
  </si>
  <si>
    <t>姓名</t>
  </si>
  <si>
    <t>方向</t>
  </si>
  <si>
    <t>岗位</t>
  </si>
  <si>
    <t>职称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</si>
  <si>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</si>
  <si>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</si>
  <si>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</si>
  <si>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</si>
  <si>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</si>
  <si>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</si>
  <si>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</si>
  <si>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</si>
  <si>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</si>
  <si>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</si>
  <si>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</si>
  <si>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</si>
  <si>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负责主价值领域</t>
  </si>
  <si>
    <t>曾志鹏</t>
  </si>
  <si>
    <t>主机系统&amp;协议</t>
  </si>
  <si>
    <t>T4</t>
  </si>
  <si>
    <t>质量3.6.2</t>
  </si>
  <si>
    <t>竞争力3.7.1</t>
  </si>
  <si>
    <t>主机&amp;BYOM稳定性</t>
  </si>
  <si>
    <t>黄俊</t>
  </si>
  <si>
    <t>主机&amp;客户端</t>
  </si>
  <si>
    <t>T3</t>
  </si>
  <si>
    <t>上攻3.8.1</t>
  </si>
  <si>
    <t>李大辉</t>
  </si>
  <si>
    <t>T6</t>
  </si>
  <si>
    <t>探索&amp;预研</t>
  </si>
  <si>
    <t>李浩铭</t>
  </si>
  <si>
    <t>客户端</t>
  </si>
  <si>
    <t>客户端&amp;投屏业务稳定</t>
  </si>
  <si>
    <t>连金槟</t>
  </si>
  <si>
    <t>主机&amp;云平台</t>
  </si>
  <si>
    <t>基础平台业务稳定</t>
  </si>
  <si>
    <t>林瀚</t>
  </si>
  <si>
    <t>客户端&amp;云&amp;主机</t>
  </si>
  <si>
    <t>T7</t>
  </si>
  <si>
    <t>腾讯3.6.5</t>
  </si>
  <si>
    <t>M6</t>
  </si>
  <si>
    <t>孙若淮</t>
  </si>
  <si>
    <t>T5</t>
  </si>
  <si>
    <t>王祥磊</t>
  </si>
  <si>
    <t>主机应用</t>
  </si>
  <si>
    <t>巫晓麒</t>
  </si>
  <si>
    <t>黄森宇</t>
  </si>
  <si>
    <t>规划</t>
  </si>
  <si>
    <t>P6</t>
  </si>
  <si>
    <t>离职待补</t>
  </si>
  <si>
    <t>T2</t>
  </si>
  <si>
    <t>莫裕</t>
  </si>
  <si>
    <t>外包</t>
  </si>
  <si>
    <t>魏其烘</t>
  </si>
  <si>
    <t>云平台</t>
  </si>
  <si>
    <t>罗大能</t>
  </si>
  <si>
    <t>杜菁华</t>
  </si>
  <si>
    <t>杨思衍</t>
  </si>
  <si>
    <t>版本</t>
  </si>
  <si>
    <t>意图</t>
  </si>
  <si>
    <t>里程碑时间</t>
  </si>
  <si>
    <t>人员</t>
  </si>
  <si>
    <t>1、质量版本&amp;交付改进
2、腾讯会议认证</t>
  </si>
  <si>
    <t>借助腾讯会议市场占有率提升拓展售卖场景</t>
  </si>
  <si>
    <t>1、长板更长，打造差异化竞争优势
2、清理历史债务
3、降低交付门槛</t>
  </si>
  <si>
    <t>会议极致稳定、行业上攻、补断腿</t>
  </si>
  <si>
    <t>快速响应</t>
  </si>
  <si>
    <t>-</t>
  </si>
  <si>
    <t>验证方案&amp;技术可行性</t>
  </si>
  <si>
    <t>开发汇总</t>
  </si>
  <si>
    <t>测试汇总</t>
  </si>
  <si>
    <t>管理汇总</t>
  </si>
  <si>
    <t>规划汇总</t>
  </si>
  <si>
    <t>目标维度</t>
  </si>
  <si>
    <t>(O)目标定义</t>
  </si>
  <si>
    <t>（KR）关键成果</t>
  </si>
  <si>
    <t>Action行动</t>
  </si>
  <si>
    <t>当前进展</t>
  </si>
  <si>
    <t>稳定交付</t>
  </si>
  <si>
    <t xml:space="preserve">O1 发布后，产品质量可以支撑主机的批量交付，消除售卖障碍，对产品质量提升有明显感知。
</t>
  </si>
  <si>
    <t xml:space="preserve">KR1: 聚焦！定义目标客户(筛选条件明确、出单确定性高)。  --核心思路：明确边界、聚焦客户、做透体验，先在小范围打透再复制扩张，保障交付成功率和客户口碑。
</t>
  </si>
  <si>
    <t>1、4月20号前明确客户画像，帮助重点区域筛选高转化的客户清单
2、关键项目研发和行销现场支撑，将演示+交付过程打通，达到标准化。
3、明确限制外设接入类型，和网络部署环境，不能大包大揽。</t>
  </si>
  <si>
    <t xml:space="preserve">KR2: 因产品场景满足，质量不满足导致的丢单低于5% ，客户回访平均满意度达到8分以上（满分10分）。
</t>
  </si>
  <si>
    <t>1、针对投屏、外设做深度质量修复，确保发布功能稳定的产品。
2、结合AI实现系统异常自感知能力</t>
  </si>
  <si>
    <t>1、投屏+BYOM问题已修复90%，剩余部分异常场景问题，目标4月20号发布，有风险。</t>
  </si>
  <si>
    <t xml:space="preserve">KR3: 持续提升产品端到端质量，摆脱被动质量提升，构建产品质量自感知能力，可主动发现并预警70%以上的线上问题。
</t>
  </si>
  <si>
    <t>产品竞争力</t>
  </si>
  <si>
    <t xml:space="preserve">O2：产品竞争力持续提升，在协作类会议室，整体方案没有明显差距，投屏及BYOM体验达行业头部水平，并在产品开会简单、All-in-One、无线一体化上做出差异化竞争力。
</t>
  </si>
  <si>
    <t xml:space="preserve">KR1：在会议主机基本功能（投屏及BYOM）上，追平业内头部品牌，无明显短板（亿联、maxhub）。
</t>
  </si>
  <si>
    <t>1、先用宝疆投屏器满足市场需求，按原策略发货量满足300台后，说明市场存在明确需求，启动自研投屏器。
2、持续投入30%人力在稳定运行和投屏、BYOM优化改进
3、安排专人探索AI与会议的结合场景</t>
  </si>
  <si>
    <t>1、放开销售后，从去年12月到目前销售数量91台，历史总销售122台。</t>
  </si>
  <si>
    <t xml:space="preserve">KR2：打磨已有功能，构建产品在细分场景（超融合、云电脑、会议系统对接等）的差异化构建竞争力。
</t>
  </si>
  <si>
    <t xml:space="preserve">KR3：探索会议产品AI能力落地场景，优先在开会更简单（代际式的变化）、会议室业务结合两个价值维度开展。
</t>
  </si>
  <si>
    <t>AI转型</t>
  </si>
  <si>
    <t xml:space="preserve">O3 AI-Native转型，构建AI时代极速研发能力（结合业务）
</t>
  </si>
  <si>
    <t xml:space="preserve">KR1：部门70%的新业务代码能够由AI coding完成，通过AI能力构建缺陷预防，消除80%的历史质量债务。 
</t>
  </si>
  <si>
    <t>关键事项：
1、知识库建立
2、CI门禁
3、AI debug
4、AI Coding SPEC流程内化</t>
  </si>
  <si>
    <t>1、当前已经完成核心业务的知识库搭建，和skill本地化，排障效率可翻倍。
2、客户端先行试点CI门禁，验证完向其他模块推广
3、之前很多疑难问题，目前借助AI的能力已经逐步攻克，其中包含很多非必现的疑难问题。这些问题解决后质量会迎来一次跨越</t>
  </si>
  <si>
    <t xml:space="preserve">KR2：在增加吞吐的情况下降低改动引发率到3%以下，BVT和发布项的AI自动化率达到70%以上。
</t>
  </si>
  <si>
    <t xml:space="preserve">KR3：开发流程AI-Native化，需求吞吐提升50%。
</t>
  </si>
  <si>
    <t>组织建设</t>
  </si>
  <si>
    <t>O4  打造能够攻坚克难，自驱型的组织</t>
  </si>
  <si>
    <t xml:space="preserve">KR1：围绕“会议稳定性”与“外设兼容性”两大方向，打造客户导向、结果导向的攻坚队伍，使两项能力的口碑达到业内领先水平。
</t>
  </si>
  <si>
    <t>1、将AI coding本地化落地，让AI理解业务（知识库、skillls、MCP）
2、以1-3人小队形式领需求，减少过程信息损耗沟通成本</t>
  </si>
  <si>
    <t xml:space="preserve">KR2: 通过AI赋能，将端到端业务交付的最小作战单元规模缩减至3人以内，并具备独立完成交付的能力。
</t>
  </si>
  <si>
    <t xml:space="preserve">KR3：关键岗位后备人选覆盖率达到1:2。
</t>
  </si>
  <si>
    <r>
      <rPr>
        <b val="false"/>
        <i val="false"/>
        <strike val="false"/>
        <color rgb="FF000000"/>
        <sz val="10"/>
        <u val="none"/>
      </rPr>
      <t>1、圈定客户范围：</t>
    </r>
    <r>
      <rPr>
        <b val="true"/>
        <i val="false"/>
        <strike val="false"/>
        <color rgb="FF000000"/>
        <sz val="10"/>
        <u val="none"/>
      </rPr>
      <t>数通和VDI</t>
    </r>
    <r>
      <rPr>
        <b val="false"/>
        <i val="false"/>
        <strike val="false"/>
        <color rgb="FF000000"/>
        <sz val="10"/>
        <u val="none"/>
      </rPr>
      <t>能触达的</t>
    </r>
    <r>
      <rPr>
        <b val="true"/>
        <i val="false"/>
        <strike val="false"/>
        <color rgb="FF000000"/>
        <sz val="10"/>
        <u val="none"/>
      </rPr>
      <t>商企+制造业</t>
    </r>
    <r>
      <rPr>
        <b val="false"/>
        <i val="false"/>
        <strike val="false"/>
        <color rgb="FF000000"/>
        <sz val="10"/>
        <u val="none"/>
      </rPr>
      <t>客户。
2、主打价值</t>
    </r>
    <r>
      <rPr>
        <b val="true"/>
        <i val="false"/>
        <strike val="false"/>
        <color rgb="FF000000"/>
        <sz val="10"/>
        <u val="none"/>
      </rPr>
      <t>会议设备统一管理、网络认证全覆盖，VDI覆盖，无线投屏+外设调用</t>
    </r>
  </si>
</sst>
</file>

<file path=xl/styles.xml><?xml version="1.0" encoding="utf-8"?>
<styleSheet xmlns="http://schemas.openxmlformats.org/spreadsheetml/2006/main">
  <numFmts count="5">
    <numFmt numFmtId="300" formatCode="#,##0.00_ "/>
    <numFmt numFmtId="301" formatCode="0.00_ "/>
    <numFmt numFmtId="302" formatCode="0.00_);[Red](0.00)"/>
    <numFmt numFmtId="303" formatCode="m&quot;月&quot;d&quot;号&quot;"/>
    <numFmt numFmtId="304" formatCode="0_);[Red](0)"/>
  </numFmts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name val="宋体"/>
      <color rgb="FFFF0000"/>
      <sz val="12"/>
    </font>
    <font>
      <name val="宋体"/>
      <sz val="11"/>
    </font>
    <font>
      <name val="宋体"/>
      <sz val="12"/>
    </font>
    <font>
      <name val="宋体"/>
      <b val="true"/>
      <sz val="12"/>
    </font>
    <font>
      <name val="宋体"/>
      <b val="true"/>
      <sz val="11"/>
    </font>
    <font>
      <sz val="10"/>
    </font>
    <font>
      <name val="等线"/>
      <b val="true"/>
    </font>
    <font>
      <name val="等线"/>
      <b val="true"/>
      <sz val="10"/>
    </font>
    <font>
      <name val="SimSun"/>
      <b val="true"/>
      <sz val="11"/>
    </font>
    <font>
      <b val="true"/>
    </font>
    <font>
      <name val="Microsoft YaHei"/>
      <b val="true"/>
    </font>
    <font/>
    <font/>
  </fonts>
  <fills count="12">
    <fill>
      <patternFill patternType="none"/>
    </fill>
    <fill>
      <patternFill patternType="gray125"/>
    </fill>
    <fill>
      <patternFill patternType="solid">
        <fgColor rgb="FFEAFAF1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FCC99"/>
        <bgColor auto="true"/>
      </patternFill>
    </fill>
    <fill>
      <patternFill patternType="solid">
        <fgColor rgb="FF99CCFF"/>
        <bgColor auto="true"/>
      </patternFill>
    </fill>
    <fill>
      <patternFill patternType="solid">
        <fgColor rgb="FFFFCC00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E270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FFCC"/>
        <bgColor auto="tru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CCFF"/>
      </left>
      <top style="thin">
        <color rgb="FF99CCFF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CC00"/>
      </top>
    </border>
    <border>
      <left style="thin">
        <color rgb="FF000000"/>
      </left>
      <top style="thin">
        <color rgb="FFFFCC00"/>
      </top>
    </border>
    <border/>
  </borders>
  <cellStyleXfs>
    <xf numFmtId="0" fontId="0" fillId="0" borderId="0" xfId="0">
      <alignment vertical="center"/>
    </xf>
  </cellStyleXfs>
  <cellXfs count="10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0" fontId="3" fillId="2" borderId="1" xfId="0">
      <alignment horizontal="center" vertical="center" textRotation="0" wrapText="true" indent="0" justifyLastLine="false" shrinkToFit="false"/>
    </xf>
    <xf numFmtId="300" fontId="3" fillId="2" borderId="1" xfId="0">
      <alignment horizontal="center" vertical="center" textRotation="0" indent="0" justifyLastLine="false" shrinkToFit="false"/>
    </xf>
    <xf numFmtId="0" fontId="0" fillId="0" borderId="1" xfId="0">
      <alignment vertical="center" textRotation="0" indent="0" justifyLastLine="false" shrinkToFit="false"/>
    </xf>
    <xf fontId="0" fillId="0" borderId="1" xfId="0">
      <alignment vertical="center"/>
    </xf>
    <xf numFmtId="0" fontId="0" fillId="0" borderId="1" xfId="0">
      <alignment horizontal="right" vertical="center" textRotation="0" indent="0" justifyLastLine="false" shrinkToFit="false"/>
    </xf>
    <xf numFmtId="0" fontId="0" fillId="0" borderId="1" xfId="0">
      <alignment vertical="center"/>
    </xf>
    <xf numFmtId="0" fontId="0" fillId="0" borderId="1" xfId="0">
      <alignment vertical="center" textRotation="0" wrapText="true" indent="0" justifyLastLine="false" shrinkToFit="false"/>
    </xf>
    <xf numFmtId="0" fontId="0" fillId="0" borderId="2" xfId="0">
      <alignment horizontal="right" vertical="center" textRotation="0" indent="0" justifyLastLine="false" shrinkToFit="false"/>
    </xf>
    <xf numFmtId="0" fontId="0" fillId="0" borderId="3" xfId="0">
      <alignment horizontal="right" vertical="center" textRotation="0" indent="0" justifyLastLine="false" shrinkToFit="false"/>
    </xf>
    <xf fontId="0" fillId="0" borderId="3" xfId="0">
      <alignment vertical="center"/>
    </xf>
    <xf numFmtId="49" fontId="4" fillId="3" borderId="1" xfId="0">
      <alignment horizontal="center" vertical="center" textRotation="0" wrapText="true" indent="0" justifyLastLine="false" shrinkToFit="false"/>
    </xf>
    <xf numFmtId="0" fontId="5" fillId="0" borderId="4" xfId="0">
      <alignment horizontal="center" vertical="center" textRotation="0" indent="0" justifyLastLine="false" shrinkToFit="false"/>
    </xf>
    <xf numFmtId="0" fontId="6" fillId="0" borderId="4" xfId="0">
      <alignment horizontal="center" vertical="center" textRotation="0" indent="0" justifyLastLine="false" shrinkToFit="false"/>
    </xf>
    <xf numFmtId="0" fontId="6" fillId="0" borderId="4" xfId="0">
      <alignment vertical="center" textRotation="0" indent="0" justifyLastLine="false" shrinkToFit="false"/>
    </xf>
    <xf fontId="5" fillId="0" borderId="4" xfId="0">
      <alignment horizontal="center" vertical="center" textRotation="0"/>
    </xf>
    <xf numFmtId="300" fontId="5" fillId="0" borderId="4" xfId="0">
      <alignment horizontal="center" vertical="center" textRotation="0" wrapText="true" indent="0" justifyLastLine="false" shrinkToFit="false"/>
    </xf>
    <xf numFmtId="0" fontId="6" fillId="0" borderId="1" xfId="0">
      <alignment horizontal="center" vertical="center" textRotation="0" wrapText="true" indent="0" justifyLastLine="false" shrinkToFit="false"/>
    </xf>
    <xf numFmtId="301" fontId="6" fillId="0" borderId="1" xfId="0">
      <alignment horizontal="center" vertical="center" textRotation="0" indent="0" justifyLastLine="false" shrinkToFit="false"/>
    </xf>
    <xf numFmtId="10" fontId="5" fillId="0" borderId="1" xfId="0">
      <alignment horizontal="center" vertical="center" textRotation="0" indent="0" justifyLastLine="false" shrinkToFit="false"/>
    </xf>
    <xf numFmtId="302" fontId="6" fillId="0" borderId="1" xfId="0">
      <alignment horizontal="left" vertical="center" textRotation="0" indent="0" justifyLastLine="false" shrinkToFit="false"/>
    </xf>
    <xf numFmtId="0" fontId="6" fillId="0" borderId="5" xfId="0">
      <alignment horizontal="center" vertical="center" textRotation="0" indent="0" justifyLastLine="false" shrinkToFit="false"/>
    </xf>
    <xf fontId="5" fillId="0" borderId="5" xfId="0">
      <alignment horizontal="center" vertical="center" textRotation="0"/>
    </xf>
    <xf numFmtId="302" fontId="5" fillId="0" borderId="1" xfId="0">
      <alignment horizontal="center" vertical="center" textRotation="0" indent="0" justifyLastLine="false" shrinkToFit="false"/>
    </xf>
    <xf fontId="5" fillId="0" borderId="6" xfId="0">
      <alignment horizontal="center" vertical="center" textRotation="0"/>
    </xf>
    <xf numFmtId="300" fontId="5" fillId="0" borderId="1" xfId="0">
      <alignment horizontal="center" vertical="center" textRotation="0"/>
    </xf>
    <xf numFmtId="302" fontId="6" fillId="0" borderId="5" xfId="0">
      <alignment horizontal="left" vertical="center" textRotation="0" indent="0" justifyLastLine="false" shrinkToFit="false"/>
    </xf>
    <xf numFmtId="0" fontId="6" fillId="0" borderId="1" xfId="0">
      <alignment horizontal="center" vertical="center" textRotation="0" indent="0" justifyLastLine="false" shrinkToFit="false"/>
    </xf>
    <xf fontId="6" fillId="0" borderId="1" xfId="0">
      <alignment horizontal="center" vertical="center" textRotation="0"/>
    </xf>
    <xf fontId="5" fillId="0" borderId="1" xfId="0">
      <alignment horizontal="center" vertical="center" textRotation="0"/>
    </xf>
    <xf numFmtId="0" fontId="7" fillId="0" borderId="1" xfId="0">
      <alignment horizontal="center" vertical="center" textRotation="0" indent="0" justifyLastLine="false" shrinkToFit="false"/>
    </xf>
    <xf numFmtId="301" fontId="7" fillId="0" borderId="1" xfId="0">
      <alignment horizontal="center" vertical="center" textRotation="0" indent="0" justifyLastLine="false" shrinkToFit="false"/>
    </xf>
    <xf fontId="8" fillId="0" borderId="1" xfId="0">
      <alignment horizontal="center" vertical="center" textRotation="0"/>
    </xf>
    <xf numFmtId="302" fontId="7" fillId="0" borderId="1" xfId="0">
      <alignment horizontal="left" vertical="center" textRotation="0" indent="0" justifyLastLine="false" shrinkToFit="false"/>
    </xf>
    <xf numFmtId="302" fontId="8" fillId="0" borderId="1" xfId="0">
      <alignment horizontal="center" vertical="center" textRotation="0" indent="0" justifyLastLine="false" shrinkToFit="false"/>
    </xf>
    <xf fontId="7" fillId="0" borderId="1" xfId="0">
      <alignment horizontal="center" vertical="center" textRotation="0"/>
    </xf>
    <xf numFmtId="302" fontId="8" fillId="0" borderId="1" xfId="0">
      <alignment horizontal="center" vertical="center" textRotation="0"/>
    </xf>
    <xf numFmtId="0" fontId="3" fillId="0" borderId="1" xfId="0">
      <alignment horizontal="center" vertical="center" textRotation="0" indent="0" justifyLastLine="false" shrinkToFit="false"/>
    </xf>
    <xf numFmtId="0" fontId="3" fillId="0" borderId="1" xfId="0">
      <alignment horizontal="center" vertical="center" textRotation="0" wrapText="true" indent="0" justifyLastLine="false" shrinkToFit="false"/>
    </xf>
    <xf fontId="0" fillId="0" borderId="1" xfId="0">
      <alignment vertical="center" wrapText="true"/>
    </xf>
    <xf numFmtId="0" fontId="9" fillId="0" borderId="1" xfId="0">
      <alignment vertical="center" textRotation="0" wrapText="true" indent="0" justifyLastLine="false" shrinkToFit="false"/>
    </xf>
    <xf numFmtId="0" fontId="9" fillId="0" borderId="1" xfId="0">
      <alignment horizontal="left" vertical="center" textRotation="0" wrapText="true" indent="0" justifyLastLine="false" shrinkToFit="false"/>
    </xf>
    <xf fontId="0" fillId="0" borderId="0" xfId="0">
      <alignment vertical="center"/>
    </xf>
    <xf fontId="0" fillId="0" borderId="0" xfId="0">
      <alignment vertical="center" wrapText="true"/>
    </xf>
    <xf numFmtId="0" fontId="10" fillId="4" borderId="1" xfId="0">
      <alignment horizontal="center" vertical="center" textRotation="0" wrapText="true" indent="0" justifyLastLine="false" shrinkToFit="false"/>
    </xf>
    <xf numFmtId="0" fontId="10" fillId="4" borderId="1" xfId="0">
      <alignment vertical="center" textRotation="0" wrapText="true" indent="0" justifyLastLine="false" shrinkToFit="false"/>
    </xf>
    <xf numFmtId="0" fontId="11" fillId="4" borderId="1" xfId="0">
      <alignment horizontal="center" vertical="center" textRotation="0" wrapText="true" indent="0" justifyLastLine="false" shrinkToFit="false"/>
    </xf>
    <xf numFmtId="0" fontId="0" fillId="0" borderId="0" xfId="0">
      <alignment vertical="center" textRotation="0" indent="0" justifyLastLine="false" shrinkToFit="false"/>
    </xf>
    <xf numFmtId="303" fontId="0" fillId="0" borderId="0" xfId="0">
      <alignment horizontal="right" vertical="center" textRotation="0" indent="0" justifyLastLine="false" shrinkToFit="false"/>
    </xf>
    <xf numFmtId="0" fontId="0" fillId="0" borderId="0" xfId="0">
      <alignment horizontal="center" vertical="center" textRotation="0" indent="0" justifyLastLine="false" shrinkToFit="false"/>
    </xf>
    <xf numFmtId="0" fontId="8" fillId="5" borderId="7" xfId="0">
      <alignment horizontal="center" vertical="center" textRotation="0" indent="0" justifyLastLine="false" shrinkToFit="false"/>
    </xf>
    <xf fontId="0" fillId="0" borderId="7" xfId="0">
      <alignment vertical="center"/>
    </xf>
    <xf fontId="5" fillId="0" borderId="0" xfId="0">
      <alignment horizontal="center" vertical="center" wrapText="true"/>
    </xf>
    <xf numFmtId="0" fontId="8" fillId="5" borderId="1" xfId="0">
      <alignment horizontal="center" vertical="center" textRotation="0" indent="0" justifyLastLine="false" shrinkToFit="false"/>
    </xf>
    <xf fontId="3" fillId="0" borderId="8" xfId="0">
      <alignment horizontal="center" vertical="center"/>
    </xf>
    <xf numFmtId="0" fontId="3" fillId="0" borderId="8" xfId="0">
      <alignment horizontal="center" vertical="center" textRotation="0" indent="0" justifyLastLine="false" shrinkToFit="false"/>
    </xf>
    <xf fontId="0" fillId="0" borderId="8" xfId="0">
      <alignment vertical="center"/>
    </xf>
    <xf numFmtId="0" fontId="8" fillId="6" borderId="9" xfId="0">
      <alignment horizontal="center" vertical="center" textRotation="0" indent="0" justifyLastLine="false" shrinkToFit="false"/>
    </xf>
    <xf numFmtId="0" fontId="12" fillId="6" borderId="9" xfId="0">
      <alignment horizontal="center" vertical="center" textRotation="0" indent="0" justifyLastLine="false" shrinkToFit="false"/>
    </xf>
    <xf numFmtId="0" fontId="12" fillId="6" borderId="9" xfId="0">
      <alignment horizontal="center" vertical="center" textRotation="0" wrapText="true" indent="0" justifyLastLine="false" shrinkToFit="false"/>
    </xf>
    <xf numFmtId="0" fontId="8" fillId="6" borderId="9" xfId="0">
      <alignment horizontal="center" vertical="center" textRotation="0" wrapText="true" indent="0" justifyLastLine="false" shrinkToFit="false"/>
    </xf>
    <xf numFmtId="0" fontId="8" fillId="6" borderId="10" xfId="0">
      <alignment horizontal="center" vertical="center" textRotation="0" wrapText="true" indent="0" justifyLastLine="false" shrinkToFit="false"/>
    </xf>
    <xf numFmtId="0" fontId="5" fillId="0" borderId="3" xfId="0">
      <alignment horizontal="center" vertical="center" textRotation="0" wrapText="true" indent="0" justifyLastLine="false" shrinkToFit="false"/>
    </xf>
    <xf numFmtId="0" fontId="0" fillId="0" borderId="0" xfId="0">
      <alignment vertical="center" textRotation="0" justifyLastLine="false" shrinkToFit="false"/>
    </xf>
    <xf fontId="0" fillId="0" borderId="0" xfId="0">
      <alignment vertical="center"/>
    </xf>
    <xf numFmtId="0" fontId="0" fillId="0" borderId="11" xfId="0">
      <alignment vertical="center" textRotation="0" indent="0" justifyLastLine="false" shrinkToFit="false"/>
    </xf>
    <xf fontId="0" fillId="0" borderId="0" xfId="0">
      <alignment vertical="center" justifyLastLine="false" shrinkToFit="false"/>
    </xf>
    <xf numFmtId="0" fontId="0" fillId="3" borderId="1" xfId="0">
      <alignment vertical="center" textRotation="0" indent="0" justifyLastLine="false" shrinkToFit="false"/>
    </xf>
    <xf numFmtId="0" fontId="13" fillId="3" borderId="1" xfId="0">
      <alignment vertical="center" textRotation="0" indent="0" justifyLastLine="false" shrinkToFit="false"/>
    </xf>
    <xf numFmtId="0" fontId="0" fillId="3" borderId="0" xfId="0">
      <alignment vertical="center" textRotation="0" indent="0" justifyLastLine="false" shrinkToFit="false"/>
    </xf>
    <xf numFmtId="303" fontId="9" fillId="3" borderId="0" xfId="0">
      <alignment horizontal="left" vertical="center" textRotation="0" wrapText="true" indent="0" justifyLastLine="false" shrinkToFit="false"/>
    </xf>
    <xf numFmtId="303" fontId="0" fillId="3" borderId="0" xfId="0">
      <alignment horizontal="right" vertical="center" textRotation="0" wrapText="true" indent="0" justifyLastLine="false" shrinkToFit="false"/>
    </xf>
    <xf numFmtId="0" fontId="0" fillId="7" borderId="0" xfId="0">
      <alignment vertical="center" textRotation="0" indent="0" justifyLastLine="false" shrinkToFit="false"/>
    </xf>
    <xf numFmtId="0" fontId="0" fillId="7" borderId="0" xfId="0">
      <alignment horizontal="right" vertical="center" textRotation="0" indent="0" justifyLastLine="false" shrinkToFit="false"/>
    </xf>
    <xf numFmtId="0" fontId="0" fillId="0" borderId="0" xfId="0">
      <alignment vertical="center"/>
    </xf>
    <xf numFmtId="0" fontId="0" fillId="8" borderId="0" xfId="0">
      <alignment vertical="center" textRotation="0" indent="0" justifyLastLine="false" shrinkToFit="false"/>
    </xf>
    <xf numFmtId="0" fontId="0" fillId="8" borderId="0" xfId="0">
      <alignment horizontal="right" vertical="center" textRotation="0" indent="0" justifyLastLine="false" shrinkToFit="false"/>
    </xf>
    <xf numFmtId="303" fontId="0" fillId="3" borderId="0" xfId="0">
      <alignment horizontal="left" vertical="center" textRotation="0" wrapText="true" indent="0" justifyLastLine="false" shrinkToFit="false"/>
    </xf>
    <xf numFmtId="0" fontId="5" fillId="0" borderId="11" xfId="0">
      <alignment horizontal="center" vertical="center" textRotation="0" justifyLastLine="false" shrinkToFit="false"/>
    </xf>
    <xf numFmtId="304" fontId="6" fillId="0" borderId="11" xfId="0">
      <alignment horizontal="center" vertical="center" textRotation="0" indent="0" justifyLastLine="false" shrinkToFit="false"/>
    </xf>
    <xf fontId="5" fillId="0" borderId="11" xfId="0">
      <alignment vertical="center" textRotation="0"/>
    </xf>
    <xf numFmtId="0" fontId="6" fillId="0" borderId="11" xfId="0">
      <alignment horizontal="center" vertical="center" textRotation="0" indent="0" justifyLastLine="false" shrinkToFit="false"/>
    </xf>
    <xf fontId="5" fillId="0" borderId="11" xfId="0">
      <alignment horizontal="center" vertical="center" textRotation="0"/>
    </xf>
    <xf numFmtId="303" fontId="0" fillId="3" borderId="0" xfId="0">
      <alignment horizontal="left" vertical="center" textRotation="0" indent="0" justifyLastLine="false" shrinkToFit="false"/>
    </xf>
    <xf numFmtId="303" fontId="0" fillId="3" borderId="0" xfId="0">
      <alignment horizontal="center" vertical="center" textRotation="0" wrapText="true" indent="0" justifyLastLine="false" shrinkToFit="false"/>
    </xf>
    <xf numFmtId="0" fontId="0" fillId="9" borderId="0" xfId="0">
      <alignment vertical="center" textRotation="0" indent="0" justifyLastLine="false" shrinkToFit="false"/>
    </xf>
    <xf numFmtId="303" fontId="0" fillId="9" borderId="0" xfId="0">
      <alignment vertical="center"/>
    </xf>
    <xf numFmtId="303" fontId="0" fillId="9" borderId="0" xfId="0">
      <alignment horizontal="center" vertical="center" textRotation="0" wrapText="true" indent="0" justifyLastLine="false" shrinkToFit="false"/>
    </xf>
    <xf numFmtId="0" fontId="0" fillId="10" borderId="0" xfId="0">
      <alignment vertical="center" textRotation="0" indent="0" justifyLastLine="false" shrinkToFit="false"/>
    </xf>
    <xf numFmtId="0" fontId="0" fillId="10" borderId="0" xfId="0">
      <alignment horizontal="right" vertical="center" textRotation="0" indent="0" justifyLastLine="false" shrinkToFit="false"/>
    </xf>
    <xf numFmtId="303" fontId="0" fillId="3" borderId="0" xfId="0">
      <alignment vertical="center"/>
    </xf>
    <xf numFmtId="0" fontId="0" fillId="0" borderId="0" xfId="0">
      <alignment horizontal="right" vertical="center" textRotation="0" indent="0" justifyLastLine="false" shrinkToFit="false"/>
    </xf>
    <xf numFmtId="0" fontId="5" fillId="0" borderId="1" xfId="0">
      <alignment horizontal="center" vertical="center" textRotation="0" indent="0" justifyLastLine="false" shrinkToFit="false"/>
    </xf>
    <xf numFmtId="302" fontId="6" fillId="0" borderId="1" xfId="0">
      <alignment horizontal="center" vertical="center" textRotation="0" indent="0" justifyLastLine="false" shrinkToFit="false"/>
    </xf>
    <xf numFmtId="0" fontId="5" fillId="0" borderId="1" xfId="0">
      <alignment vertical="center" textRotation="0" indent="0" justifyLastLine="false" shrinkToFit="false"/>
    </xf>
    <xf numFmtId="0" fontId="5" fillId="0" borderId="1" xfId="0">
      <alignment horizontal="center" vertical="center" textRotation="0" justifyLastLine="false" shrinkToFit="false"/>
    </xf>
    <xf numFmtId="10" fontId="5" fillId="0" borderId="1" xfId="0">
      <alignment horizontal="left" vertical="center" textRotation="0" indent="0" justifyLastLine="false" shrinkToFit="false"/>
    </xf>
    <xf numFmtId="301" fontId="6" fillId="0" borderId="1" xfId="0">
      <alignment horizontal="center" vertical="center" textRotation="0"/>
    </xf>
    <xf numFmtId="0" fontId="6" fillId="0" borderId="1" xfId="0">
      <alignment horizontal="center" vertical="center" textRotation="0" justifyLastLine="false" shrinkToFit="false"/>
    </xf>
    <xf fontId="5" fillId="0" borderId="1" xfId="0">
      <alignment vertical="center" textRotation="0"/>
    </xf>
    <xf fontId="14" fillId="11" borderId="1" xfId="0">
      <alignment horizontal="center" vertical="center" textRotation="0" wrapText="true" indent="0" justifyLastLine="false" shrinkToFit="false"/>
    </xf>
    <xf fontId="15" fillId="0" borderId="0" xfId="0">
      <alignment vertical="center" wrapText="true"/>
    </xf>
    <xf fontId="16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OKR"/>
  <dimension ref="C13"/>
  <sheetViews>
    <sheetView showGridLines="true" workbookViewId="0"/>
  </sheetViews>
  <cols>
    <col min="1" max="1" width="23.4727" customWidth="true"/>
    <col min="2" max="2" width="43.7031" customWidth="true"/>
    <col min="3" max="3" width="49.1016" customWidth="true"/>
    <col min="4" max="4" width="61.1016" customWidth="true"/>
    <col min="5" max="5" width="52.332" customWidth="true"/>
  </cols>
  <sheetData>
    <row r="1" spans="1:5">
      <c r="A1" s="105" t="s">
        <v>198</v>
      </c>
      <c r="B1" s="105" t="s">
        <v>199</v>
      </c>
      <c r="C1" s="105" t="s">
        <v>200</v>
      </c>
      <c r="D1" s="105" t="s">
        <v>201</v>
      </c>
      <c r="E1" s="105" t="s">
        <v>202</v>
      </c>
    </row>
    <row r="2" spans="1:5" ht="86.25" customHeight="true">
      <c r="A2" t="s">
        <v>203</v>
      </c>
      <c r="B2" s="48" t="s">
        <v>204</v>
      </c>
      <c r="C2" s="48" t="s">
        <v>205</v>
      </c>
      <c r="D2" s="48" t="s">
        <v>206</v>
      </c>
      <c r="E2" s="106" t="s">
        <v>231</v>
      </c>
    </row>
    <row r="3" spans="3:5" ht="39" customHeight="true">
      <c r="C3" s="48" t="s">
        <v>207</v>
      </c>
      <c r="D3" s="48" t="s">
        <v>208</v>
      </c>
      <c r="E3" s="107" t="s">
        <v>209</v>
      </c>
    </row>
    <row r="4" spans="3:3" ht="38.25" customHeight="true">
      <c r="C4" s="48" t="s">
        <v>210</v>
      </c>
    </row>
    <row r="5" spans="1:5" ht="64.5" customHeight="true">
      <c r="A5" t="s">
        <v>211</v>
      </c>
      <c r="B5" s="48" t="s">
        <v>212</v>
      </c>
      <c r="C5" s="48" t="s">
        <v>213</v>
      </c>
      <c r="D5" s="48" t="s">
        <v>214</v>
      </c>
      <c r="E5" s="48" t="s">
        <v>215</v>
      </c>
    </row>
    <row r="6" spans="3:3" ht="38.25" customHeight="true">
      <c r="C6" s="48" t="s">
        <v>216</v>
      </c>
    </row>
    <row r="7" spans="3:3" ht="38.25" customHeight="true">
      <c r="C7" s="48" t="s">
        <v>217</v>
      </c>
    </row>
    <row r="8" spans="1:5" ht="38.25" customHeight="true">
      <c r="A8" t="s">
        <v>218</v>
      </c>
      <c r="B8" s="48" t="s">
        <v>219</v>
      </c>
      <c r="C8" s="48" t="s">
        <v>220</v>
      </c>
      <c r="D8" s="48" t="s">
        <v>221</v>
      </c>
      <c r="E8" s="48" t="s">
        <v>222</v>
      </c>
    </row>
    <row r="9" spans="3:3" ht="38.25" customHeight="true">
      <c r="C9" s="48" t="s">
        <v>223</v>
      </c>
    </row>
    <row r="10" spans="3:3" ht="25.5" customHeight="true">
      <c r="C10" s="48" t="s">
        <v>224</v>
      </c>
    </row>
    <row r="11" spans="1:5" ht="51" customHeight="true">
      <c r="A11" t="s">
        <v>225</v>
      </c>
      <c r="B11" t="s">
        <v>226</v>
      </c>
      <c r="C11" s="48" t="s">
        <v>227</v>
      </c>
      <c r="D11" s="48" t="s">
        <v>228</v>
      </c>
      <c r="E11" t="s">
        <v>118</v>
      </c>
    </row>
    <row r="12" spans="3:3" ht="38.25" customHeight="true">
      <c r="C12" s="48" t="s">
        <v>229</v>
      </c>
    </row>
    <row r="13" spans="3:3" ht="25.5" customHeight="true">
      <c r="C13" s="48" t="s">
        <v>230</v>
      </c>
    </row>
  </sheetData>
  <mergeCells count="15">
    <mergeCell ref="B2:B4"/>
    <mergeCell ref="B8:B10"/>
    <mergeCell ref="A2:A4"/>
    <mergeCell ref="A5:A7"/>
    <mergeCell ref="A8:A10"/>
    <mergeCell ref="A11:A13"/>
    <mergeCell ref="B11:B13"/>
    <mergeCell ref="D3:D4"/>
    <mergeCell ref="E3:E4"/>
    <mergeCell ref="D5:D7"/>
    <mergeCell ref="E5:E7"/>
    <mergeCell ref="D8:D10"/>
    <mergeCell ref="E8:E10"/>
    <mergeCell ref="D11:D13"/>
    <mergeCell ref="E11:E13"/>
  </mergeCells>
</worksheet>
</file>

<file path=xl/worksheets/sheet2.xml><?xml version="1.0" encoding="utf-8"?>
<worksheet xmlns="http://schemas.openxmlformats.org/spreadsheetml/2006/main">
  <sheetPr codeName="人力甘特图">
    <tabColor/>
  </sheetPr>
  <dimension ref="G54"/>
  <sheetViews>
    <sheetView showGridLines="true" workbookViewId="0"/>
  </sheetViews>
  <sheetFormatPr baseColWidth="13" defaultRowHeight="18" customHeight="true"/>
  <cols>
    <col min="1" max="1" width="9.71094" customWidth="true"/>
    <col min="2" max="2" width="21.7109" customWidth="true"/>
    <col min="3" max="3" width="9.71094" customWidth="true"/>
    <col min="4" max="4" width="15.7109" customWidth="true"/>
    <col min="5" max="7" width="11.7109" customWidth="true"/>
    <col min="8" max="8" width="11.7109" customWidth="true"/>
    <col min="9" max="9" width="11.7109" customWidth="true"/>
    <col min="10" max="10" width="13.7109" customWidth="true"/>
    <col min="11" max="16" width="13.7109" customWidth="true"/>
    <col min="17" max="17" width="27.7109" customWidth="true"/>
  </cols>
  <sheetData>
    <row r="1" spans="1:17">
      <c r="A1" s="55" t="s">
        <v>122</v>
      </c>
      <c r="B1" s="56" t="s"/>
      <c r="C1" s="56" t="s"/>
      <c r="D1" s="56" t="s"/>
      <c r="E1" s="56" t="s"/>
      <c r="F1" s="56" t="s"/>
      <c r="G1" s="56" t="s"/>
      <c r="H1" s="56" t="s"/>
      <c r="I1" s="56" t="s"/>
      <c r="J1" s="56" t="s"/>
      <c r="K1" s="56" t="s"/>
      <c r="L1" s="56" t="s"/>
      <c r="M1" s="56" t="s"/>
      <c r="N1" s="56" t="s"/>
      <c r="O1" s="56" t="s"/>
      <c r="P1" s="56" t="s"/>
      <c r="Q1" s="57" t="s"/>
    </row>
    <row r="2" spans="1:17">
      <c r="A2" s="56" t="s"/>
      <c r="B2" s="56" t="s"/>
      <c r="C2" s="56" t="s"/>
      <c r="D2" s="56" t="s"/>
      <c r="E2" s="56" t="s"/>
      <c r="F2" s="56" t="s"/>
      <c r="G2" s="56" t="s"/>
      <c r="H2" s="56" t="s"/>
      <c r="I2" s="56" t="s"/>
      <c r="J2" s="56" t="s"/>
      <c r="K2" s="56" t="s"/>
      <c r="L2" s="56" t="s"/>
      <c r="M2" s="56" t="s"/>
      <c r="N2" s="56" t="s"/>
      <c r="O2" s="56" t="s"/>
      <c r="P2" s="56" t="s"/>
      <c r="Q2" s="57" t="s"/>
    </row>
    <row r="3" spans="1:17">
      <c r="A3" s="58" t="s">
        <v>123</v>
      </c>
      <c r="B3" s="5" t="s"/>
      <c r="C3" s="5" t="s"/>
      <c r="D3" s="5" t="s"/>
      <c r="E3" s="59" t="s"/>
      <c r="F3" s="59" t="s"/>
      <c r="G3" s="60" t="s">
        <v>124</v>
      </c>
      <c r="H3" s="61" t="s"/>
      <c r="I3" s="61" t="s"/>
      <c r="J3" s="61" t="s"/>
      <c r="K3" s="61" t="s"/>
      <c r="L3" s="61" t="s"/>
      <c r="M3" s="61" t="s"/>
      <c r="N3" s="61" t="s"/>
      <c r="O3" s="61" t="s"/>
      <c r="P3" s="61" t="s"/>
      <c r="Q3" s="57" t="s"/>
    </row>
    <row r="4" spans="1:17">
      <c r="A4" s="62" t="s">
        <v>125</v>
      </c>
      <c r="B4" s="62" t="s">
        <v>126</v>
      </c>
      <c r="C4" s="63" t="s">
        <v>127</v>
      </c>
      <c r="D4" s="63" t="s">
        <v>128</v>
      </c>
      <c r="E4" s="64" t="s">
        <v>129</v>
      </c>
      <c r="F4" s="64" t="s">
        <v>130</v>
      </c>
      <c r="G4" s="64" t="s">
        <v>131</v>
      </c>
      <c r="H4" s="64" t="s">
        <v>132</v>
      </c>
      <c r="I4" s="64" t="s">
        <v>133</v>
      </c>
      <c r="J4" s="64" t="s">
        <v>134</v>
      </c>
      <c r="K4" s="64" t="s">
        <v>135</v>
      </c>
      <c r="L4" s="65" t="s">
        <v>136</v>
      </c>
      <c r="M4" s="65" t="s">
        <v>137</v>
      </c>
      <c r="N4" s="65" t="s">
        <v>138</v>
      </c>
      <c r="O4" s="65" t="s">
        <v>139</v>
      </c>
      <c r="P4" s="66" t="s">
        <v>140</v>
      </c>
      <c r="Q4" s="67" t="s">
        <v>141</v>
      </c>
    </row>
    <row r="5" spans="1:17">
      <c r="A5" s="52" t="s">
        <v>142</v>
      </c>
      <c r="B5" s="52" t="s">
        <v>143</v>
      </c>
      <c r="C5" s="52" t="s">
        <v>51</v>
      </c>
      <c r="D5" s="47" t="s">
        <v>144</v>
      </c>
      <c r="E5" s="52" t="s">
        <v>145</v>
      </c>
      <c r="F5" s="68" t="s">
        <v>145</v>
      </c>
      <c r="G5" s="52" t="s">
        <v>145</v>
      </c>
      <c r="H5" s="52" t="s">
        <v>145</v>
      </c>
      <c r="I5" s="52" t="s">
        <v>145</v>
      </c>
      <c r="J5" s="52" t="s">
        <v>146</v>
      </c>
      <c r="K5" s="52" t="s">
        <v>44</v>
      </c>
      <c r="L5" s="52" t="s">
        <v>44</v>
      </c>
      <c r="M5" s="52" t="s">
        <v>44</v>
      </c>
      <c r="N5" s="52" t="s">
        <v>44</v>
      </c>
      <c r="O5" s="52" t="s">
        <v>44</v>
      </c>
      <c r="P5" s="52" t="s">
        <v>44</v>
      </c>
      <c r="Q5" s="52" t="s">
        <v>147</v>
      </c>
    </row>
    <row r="6" spans="1:17">
      <c r="A6" s="52" t="s">
        <v>148</v>
      </c>
      <c r="B6" s="52" t="s">
        <v>149</v>
      </c>
      <c r="C6" s="52" t="s">
        <v>51</v>
      </c>
      <c r="D6" s="47" t="s">
        <v>150</v>
      </c>
      <c r="E6" s="68" t="s">
        <v>145</v>
      </c>
      <c r="F6" s="68" t="s">
        <v>145</v>
      </c>
      <c r="G6" s="52" t="s">
        <v>145</v>
      </c>
      <c r="H6" s="52" t="s">
        <v>145</v>
      </c>
      <c r="I6" s="52" t="s">
        <v>146</v>
      </c>
      <c r="J6" s="52" t="s">
        <v>146</v>
      </c>
      <c r="K6" s="52" t="s">
        <v>146</v>
      </c>
      <c r="L6" s="52" t="s">
        <v>146</v>
      </c>
      <c r="M6" s="52" t="s">
        <v>151</v>
      </c>
      <c r="N6" s="52" t="s">
        <v>151</v>
      </c>
      <c r="O6" s="52" t="s">
        <v>151</v>
      </c>
      <c r="P6" s="52" t="s">
        <v>151</v>
      </c>
      <c r="Q6" s="52" t="s">
        <v>147</v>
      </c>
    </row>
    <row r="7" spans="1:17">
      <c r="A7" s="52" t="s">
        <v>152</v>
      </c>
      <c r="B7" s="52" t="s">
        <v>143</v>
      </c>
      <c r="C7" s="52" t="s">
        <v>51</v>
      </c>
      <c r="D7" s="47" t="s">
        <v>153</v>
      </c>
      <c r="E7" s="52" t="s">
        <v>145</v>
      </c>
      <c r="F7" s="52" t="s">
        <v>145</v>
      </c>
      <c r="G7" s="52" t="s">
        <v>145</v>
      </c>
      <c r="H7" s="52" t="s">
        <v>145</v>
      </c>
      <c r="I7" s="52" t="s">
        <v>145</v>
      </c>
      <c r="J7" s="52" t="s">
        <v>154</v>
      </c>
      <c r="K7" s="52" t="s">
        <v>154</v>
      </c>
      <c r="L7" s="52" t="s">
        <v>154</v>
      </c>
      <c r="M7" s="52" t="s">
        <v>154</v>
      </c>
      <c r="N7" s="52" t="s">
        <v>154</v>
      </c>
      <c r="O7" s="52" t="s">
        <v>154</v>
      </c>
      <c r="P7" s="52" t="s">
        <v>154</v>
      </c>
      <c r="Q7" s="52" t="s">
        <v>147</v>
      </c>
    </row>
    <row r="8" spans="1:17">
      <c r="A8" s="52" t="s">
        <v>155</v>
      </c>
      <c r="B8" s="52" t="s">
        <v>156</v>
      </c>
      <c r="C8" s="52" t="s">
        <v>51</v>
      </c>
      <c r="D8" s="47" t="s">
        <v>150</v>
      </c>
      <c r="E8" s="52" t="s">
        <v>145</v>
      </c>
      <c r="F8" s="52" t="s">
        <v>145</v>
      </c>
      <c r="G8" s="52" t="s">
        <v>145</v>
      </c>
      <c r="H8" s="52" t="s">
        <v>145</v>
      </c>
      <c r="I8" s="52" t="s">
        <v>145</v>
      </c>
      <c r="J8" s="52" t="s">
        <v>146</v>
      </c>
      <c r="K8" s="52" t="s">
        <v>146</v>
      </c>
      <c r="L8" s="52" t="s">
        <v>146</v>
      </c>
      <c r="M8" s="52" t="s">
        <v>151</v>
      </c>
      <c r="N8" s="52" t="s">
        <v>151</v>
      </c>
      <c r="O8" s="52" t="s">
        <v>151</v>
      </c>
      <c r="P8" s="52" t="s">
        <v>151</v>
      </c>
      <c r="Q8" s="52" t="s">
        <v>157</v>
      </c>
    </row>
    <row r="9" spans="1:17">
      <c r="A9" s="52" t="s">
        <v>158</v>
      </c>
      <c r="B9" s="52" t="s">
        <v>159</v>
      </c>
      <c r="C9" s="52" t="s">
        <v>51</v>
      </c>
      <c r="D9" s="47" t="s">
        <v>150</v>
      </c>
      <c r="E9" s="52" t="s">
        <v>145</v>
      </c>
      <c r="F9" s="52" t="s">
        <v>145</v>
      </c>
      <c r="G9" s="52" t="s">
        <v>145</v>
      </c>
      <c r="H9" s="52" t="s">
        <v>145</v>
      </c>
      <c r="I9" s="52" t="s">
        <v>145</v>
      </c>
      <c r="J9" s="52" t="s">
        <v>146</v>
      </c>
      <c r="K9" s="52" t="s">
        <v>146</v>
      </c>
      <c r="L9" s="52" t="s">
        <v>146</v>
      </c>
      <c r="M9" s="52" t="s">
        <v>151</v>
      </c>
      <c r="N9" s="52" t="s">
        <v>151</v>
      </c>
      <c r="O9" s="52" t="s">
        <v>151</v>
      </c>
      <c r="P9" s="52" t="s">
        <v>151</v>
      </c>
      <c r="Q9" s="52" t="s">
        <v>160</v>
      </c>
    </row>
    <row r="10" spans="1:17">
      <c r="A10" s="52" t="s">
        <v>161</v>
      </c>
      <c r="B10" s="52" t="s">
        <v>162</v>
      </c>
      <c r="C10" s="52" t="s">
        <v>51</v>
      </c>
      <c r="D10" s="47" t="s">
        <v>163</v>
      </c>
      <c r="E10" s="52" t="s">
        <v>145</v>
      </c>
      <c r="F10" s="52" t="s">
        <v>145</v>
      </c>
      <c r="G10" s="52" t="s">
        <v>145</v>
      </c>
      <c r="H10" s="52" t="s">
        <v>164</v>
      </c>
      <c r="I10" s="52" t="s">
        <v>164</v>
      </c>
      <c r="J10" s="52" t="s">
        <v>154</v>
      </c>
      <c r="K10" s="52" t="s">
        <v>154</v>
      </c>
      <c r="L10" s="52" t="s">
        <v>154</v>
      </c>
      <c r="M10" s="52" t="s">
        <v>154</v>
      </c>
      <c r="N10" s="52" t="s">
        <v>154</v>
      </c>
      <c r="O10" s="52" t="s">
        <v>154</v>
      </c>
      <c r="P10" s="52" t="s">
        <v>154</v>
      </c>
      <c r="Q10" s="52" t="s">
        <v>147</v>
      </c>
    </row>
    <row r="11" spans="1:17">
      <c r="A11" s="52" t="s">
        <v>120</v>
      </c>
      <c r="B11" s="52" t="s">
        <v>45</v>
      </c>
      <c r="C11" s="52" t="s">
        <v>45</v>
      </c>
      <c r="D11" s="47" t="s">
        <v>165</v>
      </c>
      <c r="E11" s="52" t="s">
        <v>45</v>
      </c>
      <c r="F11" s="52" t="s">
        <v>45</v>
      </c>
      <c r="G11" s="52" t="s">
        <v>45</v>
      </c>
      <c r="H11" s="52" t="s">
        <v>45</v>
      </c>
      <c r="I11" s="52" t="s">
        <v>45</v>
      </c>
      <c r="J11" s="52" t="s">
        <v>45</v>
      </c>
      <c r="K11" s="52" t="s">
        <v>45</v>
      </c>
      <c r="L11" s="52" t="s">
        <v>45</v>
      </c>
      <c r="M11" s="52" t="s">
        <v>45</v>
      </c>
      <c r="N11" s="52" t="s">
        <v>45</v>
      </c>
      <c r="O11" s="52" t="s">
        <v>45</v>
      </c>
      <c r="P11" s="52" t="s">
        <v>45</v>
      </c>
      <c r="Q11" s="47" t="s"/>
    </row>
    <row r="12" spans="1:17">
      <c r="A12" s="52" t="s">
        <v>166</v>
      </c>
      <c r="B12" s="52" t="s">
        <v>156</v>
      </c>
      <c r="C12" s="52" t="s">
        <v>51</v>
      </c>
      <c r="D12" s="47" t="s">
        <v>167</v>
      </c>
      <c r="E12" s="52" t="s">
        <v>145</v>
      </c>
      <c r="F12" s="52" t="s">
        <v>145</v>
      </c>
      <c r="G12" s="52" t="s">
        <v>145</v>
      </c>
      <c r="H12" s="52" t="s">
        <v>145</v>
      </c>
      <c r="I12" s="52" t="s">
        <v>146</v>
      </c>
      <c r="J12" s="52" t="s">
        <v>146</v>
      </c>
      <c r="K12" s="52" t="s">
        <v>146</v>
      </c>
      <c r="L12" s="52" t="s">
        <v>146</v>
      </c>
      <c r="M12" s="52" t="s">
        <v>151</v>
      </c>
      <c r="N12" s="52" t="s">
        <v>151</v>
      </c>
      <c r="O12" s="52" t="s">
        <v>151</v>
      </c>
      <c r="P12" s="52" t="s">
        <v>151</v>
      </c>
      <c r="Q12" s="52" t="s">
        <v>157</v>
      </c>
    </row>
    <row r="13" spans="1:17">
      <c r="A13" s="52" t="s">
        <v>168</v>
      </c>
      <c r="B13" s="52" t="s">
        <v>169</v>
      </c>
      <c r="C13" s="52" t="s">
        <v>51</v>
      </c>
      <c r="D13" s="47" t="s">
        <v>144</v>
      </c>
      <c r="E13" s="52" t="s">
        <v>145</v>
      </c>
      <c r="F13" s="52" t="s">
        <v>145</v>
      </c>
      <c r="G13" s="52" t="s">
        <v>145</v>
      </c>
      <c r="H13" s="52" t="s">
        <v>145</v>
      </c>
      <c r="I13" s="52" t="s">
        <v>145</v>
      </c>
      <c r="J13" s="52" t="s">
        <v>146</v>
      </c>
      <c r="K13" s="52" t="s">
        <v>146</v>
      </c>
      <c r="L13" s="52" t="s">
        <v>146</v>
      </c>
      <c r="M13" s="52" t="s">
        <v>151</v>
      </c>
      <c r="N13" s="52" t="s">
        <v>151</v>
      </c>
      <c r="O13" s="52" t="s">
        <v>151</v>
      </c>
      <c r="P13" s="52" t="s">
        <v>151</v>
      </c>
      <c r="Q13" s="52" t="s">
        <v>160</v>
      </c>
    </row>
    <row r="14" spans="1:17">
      <c r="A14" s="52" t="s">
        <v>170</v>
      </c>
      <c r="B14" s="52" t="s">
        <v>169</v>
      </c>
      <c r="C14" s="52" t="s">
        <v>51</v>
      </c>
      <c r="D14" s="47" t="s">
        <v>144</v>
      </c>
      <c r="E14" s="52" t="s">
        <v>44</v>
      </c>
      <c r="F14" s="52" t="s">
        <v>44</v>
      </c>
      <c r="G14" s="52" t="s">
        <v>44</v>
      </c>
      <c r="H14" s="52" t="s">
        <v>44</v>
      </c>
      <c r="I14" s="52" t="s">
        <v>44</v>
      </c>
      <c r="J14" s="52" t="s">
        <v>44</v>
      </c>
      <c r="K14" s="52" t="s">
        <v>146</v>
      </c>
      <c r="L14" s="52" t="s">
        <v>146</v>
      </c>
      <c r="M14" s="52" t="s">
        <v>151</v>
      </c>
      <c r="N14" s="52" t="s">
        <v>151</v>
      </c>
      <c r="O14" s="52" t="s">
        <v>151</v>
      </c>
      <c r="P14" s="52" t="s">
        <v>151</v>
      </c>
      <c r="Q14" s="52" t="s">
        <v>160</v>
      </c>
    </row>
    <row r="15" spans="1:17">
      <c r="A15" s="52" t="s">
        <v>171</v>
      </c>
      <c r="B15" s="52" t="s">
        <v>172</v>
      </c>
      <c r="C15" s="52" t="s">
        <v>172</v>
      </c>
      <c r="D15" s="47" t="s">
        <v>173</v>
      </c>
      <c r="E15" s="52" t="s">
        <v>172</v>
      </c>
      <c r="F15" s="52" t="s">
        <v>172</v>
      </c>
      <c r="G15" s="52" t="s">
        <v>172</v>
      </c>
      <c r="H15" s="52" t="s">
        <v>172</v>
      </c>
      <c r="I15" s="52" t="s">
        <v>172</v>
      </c>
      <c r="J15" s="52" t="s">
        <v>172</v>
      </c>
      <c r="K15" s="52" t="s">
        <v>172</v>
      </c>
      <c r="L15" s="52" t="s">
        <v>172</v>
      </c>
      <c r="M15" s="52" t="s">
        <v>172</v>
      </c>
      <c r="N15" s="52" t="s">
        <v>172</v>
      </c>
      <c r="O15" s="52" t="s">
        <v>172</v>
      </c>
      <c r="P15" s="52" t="s">
        <v>172</v>
      </c>
      <c r="Q15" s="47" t="s"/>
    </row>
    <row r="16" spans="1:17">
      <c r="A16" s="52" t="s">
        <v>174</v>
      </c>
      <c r="B16" s="52" t="s"/>
      <c r="C16" s="52" t="s">
        <v>51</v>
      </c>
      <c r="D16" s="47" t="s">
        <v>175</v>
      </c>
      <c r="E16" s="47" t="s"/>
      <c r="F16" s="47" t="s"/>
      <c r="G16" s="47" t="s"/>
      <c r="H16" s="47" t="s"/>
      <c r="I16" s="47" t="s"/>
      <c r="J16" s="47" t="s"/>
      <c r="K16" s="52" t="s">
        <v>146</v>
      </c>
      <c r="L16" s="52" t="s">
        <v>146</v>
      </c>
      <c r="M16" s="52" t="s">
        <v>146</v>
      </c>
      <c r="N16" s="52" t="s">
        <v>146</v>
      </c>
      <c r="O16" s="52" t="s">
        <v>146</v>
      </c>
      <c r="P16" s="52" t="s">
        <v>146</v>
      </c>
      <c r="Q16" s="47" t="s"/>
    </row>
    <row r="17" spans="1:17">
      <c r="A17" s="52" t="s">
        <v>176</v>
      </c>
      <c r="B17" s="52" t="s">
        <v>169</v>
      </c>
      <c r="C17" s="52" t="s">
        <v>51</v>
      </c>
      <c r="D17" s="47" t="s">
        <v>177</v>
      </c>
      <c r="E17" s="69" t="s"/>
      <c r="F17" s="69" t="s"/>
      <c r="G17" s="69" t="s"/>
      <c r="H17" s="69" t="s"/>
      <c r="I17" s="69" t="s"/>
      <c r="J17" s="69" t="s"/>
      <c r="K17" s="69" t="s"/>
      <c r="L17" s="69" t="s"/>
      <c r="M17" s="69" t="s"/>
      <c r="N17" s="69" t="s"/>
      <c r="O17" s="69" t="s"/>
      <c r="P17" s="69" t="s"/>
      <c r="Q17" s="47" t="s"/>
    </row>
    <row r="18" spans="1:17">
      <c r="A18" s="70" t="s">
        <v>178</v>
      </c>
      <c r="B18" s="52" t="s">
        <v>179</v>
      </c>
      <c r="C18" s="52" t="s">
        <v>51</v>
      </c>
      <c r="D18" s="47" t="s">
        <v>177</v>
      </c>
      <c r="E18" s="69" t="s"/>
      <c r="F18" s="69" t="s"/>
      <c r="G18" s="69" t="s"/>
      <c r="H18" s="69" t="s"/>
      <c r="I18" s="69" t="s"/>
      <c r="J18" s="69" t="s"/>
      <c r="K18" s="69" t="s"/>
      <c r="L18" s="69" t="s"/>
      <c r="M18" s="69" t="s"/>
      <c r="N18" s="69" t="s"/>
      <c r="O18" s="69" t="s"/>
      <c r="P18" s="69" t="s"/>
      <c r="Q18" s="47" t="s"/>
    </row>
    <row r="19" spans="1:17">
      <c r="A19" s="52" t="s">
        <v>180</v>
      </c>
      <c r="B19" s="52" t="s">
        <v>52</v>
      </c>
      <c r="C19" s="52" t="s">
        <v>52</v>
      </c>
      <c r="D19" s="47" t="s">
        <v>167</v>
      </c>
      <c r="E19" s="52" t="s">
        <v>145</v>
      </c>
      <c r="F19" s="52" t="s">
        <v>145</v>
      </c>
      <c r="G19" s="52" t="s">
        <v>145</v>
      </c>
      <c r="H19" s="52" t="s">
        <v>145</v>
      </c>
      <c r="I19" s="52" t="s">
        <v>145</v>
      </c>
      <c r="J19" s="52" t="s">
        <v>146</v>
      </c>
      <c r="K19" s="52" t="s">
        <v>146</v>
      </c>
      <c r="L19" s="52" t="s">
        <v>146</v>
      </c>
      <c r="M19" s="52" t="s">
        <v>151</v>
      </c>
      <c r="N19" s="52" t="s">
        <v>151</v>
      </c>
      <c r="O19" s="52" t="s">
        <v>151</v>
      </c>
      <c r="P19" s="52" t="s">
        <v>151</v>
      </c>
      <c r="Q19" s="47" t="s"/>
    </row>
    <row r="20" spans="1:17">
      <c r="A20" s="52" t="s">
        <v>181</v>
      </c>
      <c r="B20" s="52" t="s">
        <v>52</v>
      </c>
      <c r="C20" s="52" t="s">
        <v>52</v>
      </c>
      <c r="D20" s="47" t="s">
        <v>150</v>
      </c>
      <c r="E20" s="52" t="s">
        <v>145</v>
      </c>
      <c r="F20" s="52" t="s">
        <v>145</v>
      </c>
      <c r="G20" s="52" t="s">
        <v>145</v>
      </c>
      <c r="H20" s="52" t="s">
        <v>145</v>
      </c>
      <c r="I20" s="52" t="s">
        <v>145</v>
      </c>
      <c r="J20" s="52" t="s">
        <v>146</v>
      </c>
      <c r="K20" s="52" t="s">
        <v>146</v>
      </c>
      <c r="L20" s="52" t="s">
        <v>146</v>
      </c>
      <c r="M20" s="52" t="s">
        <v>151</v>
      </c>
      <c r="N20" s="52" t="s">
        <v>151</v>
      </c>
      <c r="O20" s="52" t="s">
        <v>151</v>
      </c>
      <c r="P20" s="52" t="s">
        <v>151</v>
      </c>
      <c r="Q20" s="47" t="s"/>
    </row>
    <row r="21" spans="1:17">
      <c r="A21" s="52" t="s">
        <v>182</v>
      </c>
      <c r="B21" s="52" t="s">
        <v>52</v>
      </c>
      <c r="C21" s="52" t="s">
        <v>52</v>
      </c>
      <c r="D21" s="47" t="s">
        <v>177</v>
      </c>
      <c r="E21" s="52" t="s">
        <v>145</v>
      </c>
      <c r="F21" s="52" t="s">
        <v>145</v>
      </c>
      <c r="G21" s="52" t="s">
        <v>145</v>
      </c>
      <c r="H21" s="52" t="s">
        <v>145</v>
      </c>
      <c r="I21" s="52" t="s">
        <v>164</v>
      </c>
      <c r="J21" s="52" t="s">
        <v>146</v>
      </c>
      <c r="K21" s="52" t="s">
        <v>146</v>
      </c>
      <c r="L21" s="52" t="s">
        <v>146</v>
      </c>
      <c r="M21" s="52" t="s">
        <v>151</v>
      </c>
      <c r="N21" s="52" t="s">
        <v>151</v>
      </c>
      <c r="O21" s="52" t="s">
        <v>151</v>
      </c>
      <c r="P21" s="52" t="s">
        <v>151</v>
      </c>
      <c r="Q21" s="47" t="s"/>
    </row>
    <row r="22" spans="1:17">
      <c r="A22" s="71" t="s"/>
      <c r="B22" s="71" t="s"/>
      <c r="C22" s="71" t="s"/>
      <c r="D22" s="47" t="s"/>
      <c r="E22" s="47" t="s"/>
      <c r="F22" s="47" t="s"/>
      <c r="G22" s="47" t="s"/>
      <c r="H22" s="47" t="s"/>
      <c r="I22" s="47" t="s"/>
      <c r="J22" s="47" t="s"/>
      <c r="K22" s="47" t="s"/>
      <c r="L22" s="47" t="s"/>
      <c r="M22" s="47" t="s"/>
      <c r="N22" s="47" t="s"/>
      <c r="O22" s="47" t="s"/>
      <c r="P22" s="47" t="s"/>
      <c r="Q22" s="47" t="s"/>
    </row>
    <row r="23" spans="1:17">
      <c r="A23" s="71" t="s"/>
      <c r="B23" s="71" t="s"/>
      <c r="C23" s="71" t="s"/>
      <c r="D23" s="47" t="s"/>
      <c r="E23" s="47" t="s"/>
      <c r="F23" s="47" t="s"/>
      <c r="G23" s="47" t="s"/>
      <c r="H23" s="47" t="s"/>
      <c r="I23" s="47" t="s"/>
      <c r="J23" s="47" t="s"/>
      <c r="K23" s="47" t="s"/>
      <c r="L23" s="47" t="s"/>
      <c r="M23" s="47" t="s"/>
      <c r="N23" s="47" t="s"/>
      <c r="O23" s="47" t="s"/>
      <c r="P23" s="47" t="s"/>
      <c r="Q23" s="47" t="s"/>
    </row>
    <row r="24" spans="1:17">
      <c r="A24" s="47" t="s"/>
      <c r="B24" s="47" t="s"/>
      <c r="C24" s="47" t="s"/>
      <c r="D24" s="47" t="s"/>
      <c r="E24" s="47" t="s"/>
      <c r="F24" s="47" t="s"/>
      <c r="G24" s="47" t="s"/>
      <c r="H24" s="47" t="s"/>
      <c r="I24" s="47" t="s"/>
      <c r="J24" s="47" t="s"/>
      <c r="K24" s="47" t="s"/>
      <c r="L24" s="47" t="s"/>
      <c r="M24" s="47" t="s"/>
      <c r="N24" s="47" t="s"/>
      <c r="O24" s="47" t="s"/>
      <c r="P24" s="47" t="s"/>
      <c r="Q24" s="47" t="s"/>
    </row>
    <row r="25" spans="1:17">
      <c r="A25" s="72" t="s">
        <v>183</v>
      </c>
      <c r="B25" s="72" t="s">
        <v>184</v>
      </c>
      <c r="C25" s="73" t="s">
        <v>185</v>
      </c>
      <c r="D25" s="73" t="s">
        <v>186</v>
      </c>
      <c r="E25" s="73" t="s">
        <v>129</v>
      </c>
      <c r="F25" s="73" t="s">
        <v>130</v>
      </c>
      <c r="G25" s="73" t="s">
        <v>131</v>
      </c>
      <c r="H25" s="73" t="s">
        <v>132</v>
      </c>
      <c r="I25" s="73" t="s">
        <v>133</v>
      </c>
      <c r="J25" s="73" t="s">
        <v>134</v>
      </c>
      <c r="K25" s="73" t="s">
        <v>135</v>
      </c>
      <c r="L25" s="73" t="s">
        <v>136</v>
      </c>
      <c r="M25" s="73" t="s">
        <v>137</v>
      </c>
      <c r="N25" s="73" t="s">
        <v>138</v>
      </c>
      <c r="O25" s="73" t="s">
        <v>139</v>
      </c>
      <c r="P25" s="73" t="s">
        <v>140</v>
      </c>
      <c r="Q25" s="47" t="s"/>
    </row>
    <row r="26" spans="1:17">
      <c r="A26" s="74" t="s">
        <v>145</v>
      </c>
      <c r="B26" s="75" t="s">
        <v>187</v>
      </c>
      <c r="C26" s="76">
        <v>46162</v>
      </c>
      <c r="D26" s="77" t="s">
        <v>51</v>
      </c>
      <c r="E26" s="78">
        <f>=COUNTIFS($C$5:$C$23,$D26,E$5:E$23,$A26)</f>
        <v>8</v>
      </c>
      <c r="F26" s="78">
        <f>=COUNTIFS($C$5:$C$23,$D26,F$5:F$23,$A26)</f>
        <v>8</v>
      </c>
      <c r="G26" s="78">
        <f>=COUNTIFS($C$5:$C$23,$D26,G$5:G$23,$A26)</f>
        <v>8</v>
      </c>
      <c r="H26" s="78">
        <f>=COUNTIFS($C$5:$C$23,$D26,H$5:H$23,$A26)</f>
        <v>7</v>
      </c>
      <c r="I26" s="78">
        <f>=COUNTIFS($C$5:$C$23,$D26,I$5:I$23,$A26)</f>
        <v>5</v>
      </c>
      <c r="J26" s="78">
        <f>=COUNTIFS($C$5:$C$23,$D26,J$5:J$23,$A26)</f>
        <v>0</v>
      </c>
      <c r="K26" s="78">
        <f>=COUNTIFS($C$5:$C$23,$D26,K$5:K$23,$A26)</f>
        <v>0</v>
      </c>
      <c r="L26" s="78">
        <f>=COUNTIFS($C$5:$C$23,$D26,L$5:L$23,$A26)</f>
        <v>0</v>
      </c>
      <c r="M26" s="78">
        <f>=COUNTIFS($C$5:$C$23,$D26,M$5:M$23,$A26)</f>
        <v>0</v>
      </c>
      <c r="N26" s="78">
        <f>=COUNTIFS($C$5:$C$23,$D26,N$5:N$23,$A26)</f>
        <v>0</v>
      </c>
      <c r="O26" s="78">
        <f>=COUNTIFS($C$5:$C$23,$D26,O$5:O$23,$A26)</f>
        <v>0</v>
      </c>
      <c r="P26" s="78">
        <f>=COUNTIFS($C$5:$C$23,$D26,P$5:P$23,$A26)</f>
        <v>0</v>
      </c>
      <c r="Q26" s="47" t="s"/>
    </row>
    <row r="27" spans="3:17">
      <c r="C27" s="79" t="s"/>
      <c r="D27" s="80" t="s">
        <v>52</v>
      </c>
      <c r="E27" s="81">
        <f>=COUNTIFS($C$5:$C$23,$D27,E$5:E$23,$A26)</f>
        <v>3</v>
      </c>
      <c r="F27" s="81">
        <f>=COUNTIFS($C$5:$C$23,$D27,F$5:F$23,$A26)</f>
        <v>3</v>
      </c>
      <c r="G27" s="81">
        <f>=COUNTIFS($C$5:$C$23,$D27,G$5:G$23,$A26)</f>
        <v>3</v>
      </c>
      <c r="H27" s="81">
        <f>=COUNTIFS($C$5:$C$23,$D27,H$5:H$23,$A26)</f>
        <v>3</v>
      </c>
      <c r="I27" s="81">
        <f>=COUNTIFS($C$5:$C$23,$D27,I$5:I$23,$A26)</f>
        <v>2</v>
      </c>
      <c r="J27" s="81">
        <f>=COUNTIFS($C$5:$C$23,$D27,J$5:J$23,$A26)</f>
        <v>0</v>
      </c>
      <c r="K27" s="81">
        <f>=COUNTIFS($C$5:$C$23,$D27,K$5:K$23,$A26)</f>
        <v>0</v>
      </c>
      <c r="L27" s="81">
        <f>=COUNTIFS($C$5:$C$23,$D27,L$5:L$23,$A26)</f>
        <v>0</v>
      </c>
      <c r="M27" s="81">
        <f>=COUNTIFS($C$5:$C$23,$D27,M$5:M$23,$A26)</f>
        <v>0</v>
      </c>
      <c r="N27" s="81">
        <f>=COUNTIFS($C$5:$C$23,$D27,N$5:N$23,$A26)</f>
        <v>0</v>
      </c>
      <c r="O27" s="81">
        <f>=COUNTIFS($C$5:$C$23,$D27,O$5:O$23,$A26)</f>
        <v>0</v>
      </c>
      <c r="P27" s="81">
        <f>=COUNTIFS($C$5:$C$23,$D27,P$5:P$23,$A26)</f>
        <v>0</v>
      </c>
      <c r="Q27" s="47" t="s"/>
    </row>
    <row r="28" spans="1:17">
      <c r="A28" s="74" t="s">
        <v>164</v>
      </c>
      <c r="B28" s="82" t="s">
        <v>188</v>
      </c>
      <c r="C28" s="76">
        <v>46203</v>
      </c>
      <c r="D28" s="77" t="s">
        <v>51</v>
      </c>
      <c r="E28" s="78">
        <f>=COUNTIFS($C$5:$C$23,$D28,E$5:E$23,$A28)</f>
        <v>0</v>
      </c>
      <c r="F28" s="78">
        <f>=COUNTIFS($C$5:$C$23,$D28,F$5:F$23,$A28)</f>
        <v>0</v>
      </c>
      <c r="G28" s="78">
        <f>=COUNTIFS($C$5:$C$23,$D28,G$5:G$23,$A28)</f>
        <v>0</v>
      </c>
      <c r="H28" s="78">
        <f>=COUNTIFS($C$5:$C$23,$D28,H$5:H$23,$A28)</f>
        <v>1</v>
      </c>
      <c r="I28" s="78">
        <f>=COUNTIFS($C$5:$C$23,$D28,I$5:I$23,$A28)</f>
        <v>1</v>
      </c>
      <c r="J28" s="78">
        <f>=COUNTIFS($C$5:$C$23,$D28,J$5:J$23,$A28)</f>
        <v>0</v>
      </c>
      <c r="K28" s="78">
        <f>=COUNTIFS($C$5:$C$23,$D28,K$5:K$23,$A28)</f>
        <v>0</v>
      </c>
      <c r="L28" s="78">
        <f>=COUNTIFS($C$5:$C$23,$D28,L$5:L$23,$A28)</f>
        <v>0</v>
      </c>
      <c r="M28" s="78">
        <f>=COUNTIFS($C$5:$C$23,$D28,M$5:M$23,$A28)</f>
        <v>0</v>
      </c>
      <c r="N28" s="78">
        <f>=COUNTIFS($C$5:$C$23,$D28,N$5:N$23,$A28)</f>
        <v>0</v>
      </c>
      <c r="O28" s="78">
        <f>=COUNTIFS($C$5:$C$23,$D28,O$5:O$23,$A28)</f>
        <v>0</v>
      </c>
      <c r="P28" s="78">
        <f>=COUNTIFS($C$5:$C$23,$D28,P$5:P$23,$A28)</f>
        <v>0</v>
      </c>
      <c r="Q28" s="47" t="s"/>
    </row>
    <row r="29" spans="3:17">
      <c r="C29" s="79" t="s"/>
      <c r="D29" s="80" t="s">
        <v>52</v>
      </c>
      <c r="E29" s="81">
        <f>=COUNTIFS($C$5:$C$23,$D29,E$5:E$23,$A28)</f>
        <v>0</v>
      </c>
      <c r="F29" s="81">
        <f>=COUNTIFS($C$5:$C$23,$D29,F$5:F$23,$A28)</f>
        <v>0</v>
      </c>
      <c r="G29" s="81">
        <f>=COUNTIFS($C$5:$C$23,$D29,G$5:G$23,$A28)</f>
        <v>0</v>
      </c>
      <c r="H29" s="81">
        <f>=COUNTIFS($C$5:$C$23,$D29,H$5:H$23,$A28)</f>
        <v>0</v>
      </c>
      <c r="I29" s="81">
        <f>=COUNTIFS($C$5:$C$23,$D29,I$5:I$23,$A28)</f>
        <v>1</v>
      </c>
      <c r="J29" s="81">
        <f>=COUNTIFS($C$5:$C$23,$D29,J$5:J$23,$A28)</f>
        <v>0</v>
      </c>
      <c r="K29" s="81">
        <f>=COUNTIFS($C$5:$C$23,$D29,K$5:K$23,$A28)</f>
        <v>0</v>
      </c>
      <c r="L29" s="81">
        <f>=COUNTIFS($C$5:$C$23,$D29,L$5:L$23,$A28)</f>
        <v>0</v>
      </c>
      <c r="M29" s="81">
        <f>=COUNTIFS($C$5:$C$23,$D29,M$5:M$23,$A28)</f>
        <v>0</v>
      </c>
      <c r="N29" s="81">
        <f>=COUNTIFS($C$5:$C$23,$D29,N$5:N$23,$A28)</f>
        <v>0</v>
      </c>
      <c r="O29" s="81">
        <f>=COUNTIFS($C$5:$C$23,$D29,O$5:O$23,$A28)</f>
        <v>0</v>
      </c>
      <c r="P29" s="81">
        <f>=COUNTIFS($C$5:$C$23,$D29,P$5:P$23,$A28)</f>
        <v>0</v>
      </c>
      <c r="Q29" s="47" t="s"/>
    </row>
    <row r="30" spans="1:23">
      <c r="A30" s="74" t="s">
        <v>146</v>
      </c>
      <c r="B30" s="75" t="s">
        <v>189</v>
      </c>
      <c r="C30" s="76">
        <v>46264</v>
      </c>
      <c r="D30" s="77" t="s">
        <v>51</v>
      </c>
      <c r="E30" s="78">
        <f>=COUNTIFS($C$5:$C$23,$D30,E$5:E$23,$A30)</f>
        <v>0</v>
      </c>
      <c r="F30" s="78">
        <f>=COUNTIFS($C$5:$C$23,$D30,F$5:F$23,$A30)</f>
        <v>0</v>
      </c>
      <c r="G30" s="78">
        <f>=COUNTIFS($C$5:$C$23,$D30,G$5:G$23,$A30)</f>
        <v>0</v>
      </c>
      <c r="H30" s="78">
        <f>=COUNTIFS($C$5:$C$23,$D30,H$5:H$23,$A30)</f>
        <v>0</v>
      </c>
      <c r="I30" s="78">
        <f>=COUNTIFS($C$5:$C$23,$D30,I$5:I$23,$A30)</f>
        <v>2</v>
      </c>
      <c r="J30" s="78">
        <f>=COUNTIFS($C$5:$C$23,$D30,J$5:J$23,$A30)</f>
        <v>6</v>
      </c>
      <c r="K30" s="78">
        <f>=COUNTIFS($C$5:$C$23,$D30,K$5:K$23,$A30)</f>
        <v>7</v>
      </c>
      <c r="L30" s="78">
        <f>=COUNTIFS($C$5:$C$23,$D30,L$5:L$23,$A30)</f>
        <v>7</v>
      </c>
      <c r="M30" s="78">
        <f>=COUNTIFS($C$5:$C$23,$D30,M$5:M$23,$A30)</f>
        <v>1</v>
      </c>
      <c r="N30" s="78">
        <f>=COUNTIFS($C$5:$C$23,$D30,N$5:N$23,$A30)</f>
        <v>1</v>
      </c>
      <c r="O30" s="78">
        <f>=COUNTIFS($C$5:$C$23,$D30,O$5:O$23,$A30)</f>
        <v>1</v>
      </c>
      <c r="P30" s="78">
        <f>=COUNTIFS($C$5:$C$23,$D30,P$5:P$23,$A30)</f>
        <v>1</v>
      </c>
      <c r="Q30" s="47" t="s"/>
      <c r="R30" s="83" t="s"/>
      <c r="S30" s="84" t="s"/>
      <c r="T30" s="85" t="s"/>
      <c r="U30" s="86" t="s"/>
      <c r="V30" s="86" t="s"/>
      <c r="W30" s="87" t="s"/>
    </row>
    <row r="31" spans="3:17">
      <c r="C31" s="79" t="s"/>
      <c r="D31" s="80" t="s">
        <v>52</v>
      </c>
      <c r="E31" s="81">
        <f>=COUNTIFS($C$5:$C$23,$D31,E$5:E$23,$A30)</f>
        <v>0</v>
      </c>
      <c r="F31" s="81">
        <f>=COUNTIFS($C$5:$C$23,$D31,F$5:F$23,$A30)</f>
        <v>0</v>
      </c>
      <c r="G31" s="81">
        <f>=COUNTIFS($C$5:$C$23,$D31,G$5:G$23,$A30)</f>
        <v>0</v>
      </c>
      <c r="H31" s="81">
        <f>=COUNTIFS($C$5:$C$23,$D31,H$5:H$23,$A30)</f>
        <v>0</v>
      </c>
      <c r="I31" s="81">
        <f>=COUNTIFS($C$5:$C$23,$D31,I$5:I$23,$A30)</f>
        <v>0</v>
      </c>
      <c r="J31" s="81">
        <f>=COUNTIFS($C$5:$C$23,$D31,J$5:J$23,$A30)</f>
        <v>3</v>
      </c>
      <c r="K31" s="81">
        <f>=COUNTIFS($C$5:$C$23,$D31,K$5:K$23,$A30)</f>
        <v>3</v>
      </c>
      <c r="L31" s="81">
        <f>=COUNTIFS($C$5:$C$23,$D31,L$5:L$23,$A30)</f>
        <v>3</v>
      </c>
      <c r="M31" s="81">
        <f>=COUNTIFS($C$5:$C$23,$D31,M$5:M$23,$A30)</f>
        <v>0</v>
      </c>
      <c r="N31" s="81">
        <f>=COUNTIFS($C$5:$C$23,$D31,N$5:N$23,$A30)</f>
        <v>0</v>
      </c>
      <c r="O31" s="81">
        <f>=COUNTIFS($C$5:$C$23,$D31,O$5:O$23,$A30)</f>
        <v>0</v>
      </c>
      <c r="P31" s="81">
        <f>=COUNTIFS($C$5:$C$23,$D31,P$5:P$23,$A30)</f>
        <v>0</v>
      </c>
      <c r="Q31" s="47" t="s"/>
    </row>
    <row r="32" spans="1:17">
      <c r="A32" s="74" t="s">
        <v>151</v>
      </c>
      <c r="B32" s="82" t="s">
        <v>190</v>
      </c>
      <c r="C32" s="76">
        <v>46356</v>
      </c>
      <c r="D32" s="77" t="s">
        <v>51</v>
      </c>
      <c r="E32" s="78">
        <f>=COUNTIFS($C$5:$C$23,$D32,E$5:E$23,$A32)</f>
        <v>0</v>
      </c>
      <c r="F32" s="78">
        <f>=COUNTIFS($C$5:$C$23,$D32,F$5:F$23,$A32)</f>
        <v>0</v>
      </c>
      <c r="G32" s="78">
        <f>=COUNTIFS($C$5:$C$23,$D32,G$5:G$23,$A32)</f>
        <v>0</v>
      </c>
      <c r="H32" s="78">
        <f>=COUNTIFS($C$5:$C$23,$D32,H$5:H$23,$A32)</f>
        <v>0</v>
      </c>
      <c r="I32" s="78">
        <f>=COUNTIFS($C$5:$C$23,$D32,I$5:I$23,$A32)</f>
        <v>0</v>
      </c>
      <c r="J32" s="78">
        <f>=COUNTIFS($C$5:$C$23,$D32,J$5:J$23,$A32)</f>
        <v>0</v>
      </c>
      <c r="K32" s="78">
        <f>=COUNTIFS($C$5:$C$23,$D32,K$5:K$23,$A32)</f>
        <v>0</v>
      </c>
      <c r="L32" s="78">
        <f>=COUNTIFS($C$5:$C$23,$D32,L$5:L$23,$A32)</f>
        <v>0</v>
      </c>
      <c r="M32" s="78">
        <f>=COUNTIFS($C$5:$C$23,$D32,M$5:M$23,$A32)</f>
        <v>6</v>
      </c>
      <c r="N32" s="78">
        <f>=COUNTIFS($C$5:$C$23,$D32,N$5:N$23,$A32)</f>
        <v>6</v>
      </c>
      <c r="O32" s="78">
        <f>=COUNTIFS($C$5:$C$23,$D32,O$5:O$23,$A32)</f>
        <v>6</v>
      </c>
      <c r="P32" s="78">
        <f>=COUNTIFS($C$5:$C$23,$D32,P$5:P$23,$A32)</f>
        <v>6</v>
      </c>
      <c r="Q32" s="47" t="s"/>
    </row>
    <row r="33" spans="3:17">
      <c r="C33" s="79" t="s"/>
      <c r="D33" s="80" t="s">
        <v>52</v>
      </c>
      <c r="E33" s="81">
        <f>=COUNTIFS($C$5:$C$23,$D33,E$5:E$23,$A32)</f>
        <v>0</v>
      </c>
      <c r="F33" s="81">
        <f>=COUNTIFS($C$5:$C$23,$D33,F$5:F$23,$A32)</f>
        <v>0</v>
      </c>
      <c r="G33" s="81">
        <f>=COUNTIFS($C$5:$C$23,$D33,G$5:G$23,$A32)</f>
        <v>0</v>
      </c>
      <c r="H33" s="81">
        <f>=COUNTIFS($C$5:$C$23,$D33,H$5:H$23,$A32)</f>
        <v>0</v>
      </c>
      <c r="I33" s="81">
        <f>=COUNTIFS($C$5:$C$23,$D33,I$5:I$23,$A32)</f>
        <v>0</v>
      </c>
      <c r="J33" s="81">
        <f>=COUNTIFS($C$5:$C$23,$D33,J$5:J$23,$A32)</f>
        <v>0</v>
      </c>
      <c r="K33" s="81">
        <f>=COUNTIFS($C$5:$C$23,$D33,K$5:K$23,$A32)</f>
        <v>0</v>
      </c>
      <c r="L33" s="81">
        <f>=COUNTIFS($C$5:$C$23,$D33,L$5:L$23,$A32)</f>
        <v>0</v>
      </c>
      <c r="M33" s="81">
        <f>=COUNTIFS($C$5:$C$23,$D33,M$5:M$23,$A32)</f>
        <v>3</v>
      </c>
      <c r="N33" s="81">
        <f>=COUNTIFS($C$5:$C$23,$D33,N$5:N$23,$A32)</f>
        <v>3</v>
      </c>
      <c r="O33" s="81">
        <f>=COUNTIFS($C$5:$C$23,$D33,O$5:O$23,$A32)</f>
        <v>3</v>
      </c>
      <c r="P33" s="81">
        <f>=COUNTIFS($C$5:$C$23,$D33,P$5:P$23,$A32)</f>
        <v>3</v>
      </c>
      <c r="Q33" s="47" t="s"/>
    </row>
    <row r="34" spans="1:17">
      <c r="A34" s="74" t="s">
        <v>44</v>
      </c>
      <c r="B34" s="88" t="s">
        <v>191</v>
      </c>
      <c r="C34" s="89" t="s">
        <v>192</v>
      </c>
      <c r="D34" s="77" t="s">
        <v>51</v>
      </c>
      <c r="E34" s="78">
        <f>=COUNTIFS($C$5:$C$23,$D34,E$5:E$23,$A34)</f>
        <v>1</v>
      </c>
      <c r="F34" s="78">
        <f>=COUNTIFS($C$5:$C$23,$D34,F$5:F$23,$A34)</f>
        <v>1</v>
      </c>
      <c r="G34" s="78">
        <f>=COUNTIFS($C$5:$C$23,$D34,G$5:G$23,$A34)</f>
        <v>1</v>
      </c>
      <c r="H34" s="78">
        <f>=COUNTIFS($C$5:$C$23,$D34,H$5:H$23,$A34)</f>
        <v>1</v>
      </c>
      <c r="I34" s="78">
        <f>=COUNTIFS($C$5:$C$23,$D34,I$5:I$23,$A34)</f>
        <v>1</v>
      </c>
      <c r="J34" s="78">
        <f>=COUNTIFS($C$5:$C$23,$D34,J$5:J$23,$A34)</f>
        <v>1</v>
      </c>
      <c r="K34" s="78">
        <f>=COUNTIFS($C$5:$C$23,$D34,K$5:K$23,$A34)</f>
        <v>1</v>
      </c>
      <c r="L34" s="78">
        <f>=COUNTIFS($C$5:$C$23,$D34,L$5:L$23,$A34)</f>
        <v>1</v>
      </c>
      <c r="M34" s="78">
        <f>=COUNTIFS($C$5:$C$23,$D34,M$5:M$23,$A34)</f>
        <v>1</v>
      </c>
      <c r="N34" s="78">
        <f>=COUNTIFS($C$5:$C$23,$D34,N$5:N$23,$A34)</f>
        <v>1</v>
      </c>
      <c r="O34" s="78">
        <f>=COUNTIFS($C$5:$C$23,$D34,O$5:O$23,$A34)</f>
        <v>1</v>
      </c>
      <c r="P34" s="78">
        <f>=COUNTIFS($C$5:$C$23,$D34,P$5:P$23,$A34)</f>
        <v>1</v>
      </c>
      <c r="Q34" s="47" t="s"/>
    </row>
    <row r="35" spans="4:17">
      <c r="D35" s="80" t="s">
        <v>52</v>
      </c>
      <c r="E35" s="81">
        <f>=COUNTIFS($C$5:$C$23,$D35,E$5:E$23,$A34)</f>
        <v>0</v>
      </c>
      <c r="F35" s="81">
        <f>=COUNTIFS($C$5:$C$23,$D35,F$5:F$23,$A34)</f>
        <v>0</v>
      </c>
      <c r="G35" s="81">
        <f>=COUNTIFS($C$5:$C$23,$D35,G$5:G$23,$A34)</f>
        <v>0</v>
      </c>
      <c r="H35" s="81">
        <f>=COUNTIFS($C$5:$C$23,$D35,H$5:H$23,$A34)</f>
        <v>0</v>
      </c>
      <c r="I35" s="81">
        <f>=COUNTIFS($C$5:$C$23,$D35,I$5:I$23,$A34)</f>
        <v>0</v>
      </c>
      <c r="J35" s="81">
        <f>=COUNTIFS($C$5:$C$23,$D35,J$5:J$23,$A34)</f>
        <v>0</v>
      </c>
      <c r="K35" s="81">
        <f>=COUNTIFS($C$5:$C$23,$D35,K$5:K$23,$A34)</f>
        <v>0</v>
      </c>
      <c r="L35" s="81">
        <f>=COUNTIFS($C$5:$C$23,$D35,L$5:L$23,$A34)</f>
        <v>0</v>
      </c>
      <c r="M35" s="81">
        <f>=COUNTIFS($C$5:$C$23,$D35,M$5:M$23,$A34)</f>
        <v>0</v>
      </c>
      <c r="N35" s="81">
        <f>=COUNTIFS($C$5:$C$23,$D35,N$5:N$23,$A34)</f>
        <v>0</v>
      </c>
      <c r="O35" s="81">
        <f>=COUNTIFS($C$5:$C$23,$D35,O$5:O$23,$A34)</f>
        <v>0</v>
      </c>
      <c r="P35" s="81">
        <f>=COUNTIFS($C$5:$C$23,$D35,P$5:P$23,$A34)</f>
        <v>0</v>
      </c>
      <c r="Q35" s="47" t="s"/>
    </row>
    <row r="36" spans="1:17">
      <c r="A36" s="90" t="s">
        <v>154</v>
      </c>
      <c r="B36" s="91" t="s">
        <v>193</v>
      </c>
      <c r="C36" s="92" t="s"/>
      <c r="D36" s="93" t="s">
        <v>51</v>
      </c>
      <c r="E36" s="94">
        <f>=COUNTIFS($C$5:$C$23,$D36,E$5:E$23,$A36)</f>
        <v>0</v>
      </c>
      <c r="F36" s="94">
        <f>=COUNTIFS($C$5:$C$23,$D36,F$5:F$23,$A36)</f>
        <v>0</v>
      </c>
      <c r="G36" s="94">
        <f>=COUNTIFS($C$5:$C$23,$D36,G$5:G$23,$A36)</f>
        <v>0</v>
      </c>
      <c r="H36" s="94">
        <f>=COUNTIFS($C$5:$C$23,$D36,H$5:H$23,$A36)</f>
        <v>0</v>
      </c>
      <c r="I36" s="94">
        <f>=COUNTIFS($C$5:$C$23,$D36,I$5:I$23,$A36)</f>
        <v>0</v>
      </c>
      <c r="J36" s="94">
        <f>=COUNTIFS($C$5:$C$23,$D36,J$5:J$23,$A36)</f>
        <v>2</v>
      </c>
      <c r="K36" s="94">
        <f>=COUNTIFS($C$5:$C$23,$D36,K$5:K$23,$A36)</f>
        <v>2</v>
      </c>
      <c r="L36" s="94">
        <f>=COUNTIFS($C$5:$C$23,$D36,L$5:L$23,$A36)</f>
        <v>2</v>
      </c>
      <c r="M36" s="94">
        <f>=COUNTIFS($C$5:$C$23,$D36,M$5:M$23,$A36)</f>
        <v>2</v>
      </c>
      <c r="N36" s="94">
        <f>=COUNTIFS($C$5:$C$23,$D36,N$5:N$23,$A36)</f>
        <v>2</v>
      </c>
      <c r="O36" s="94">
        <f>=COUNTIFS($C$5:$C$23,$D36,O$5:O$23,$A36)</f>
        <v>2</v>
      </c>
      <c r="P36" s="94">
        <f>=COUNTIFS($C$5:$C$23,$D36,P$5:P$23,$A36)</f>
        <v>2</v>
      </c>
      <c r="Q36" s="47" t="s"/>
    </row>
    <row r="37" spans="1:17">
      <c r="A37" s="90" t="s">
        <v>172</v>
      </c>
      <c r="B37" s="91" t="s"/>
      <c r="C37" s="92" t="s"/>
      <c r="D37" s="93" t="s">
        <v>172</v>
      </c>
      <c r="E37" s="94">
        <f>=COUNTIFS($C$5:$C$23,$D37,E$5:E$23,$A37)</f>
        <v>1</v>
      </c>
      <c r="F37" s="94">
        <f>=COUNTIFS($C$5:$C$23,$D37,F$5:F$23,$A37)</f>
        <v>1</v>
      </c>
      <c r="G37" s="94">
        <f>=COUNTIFS($C$5:$C$23,$D37,G$5:G$23,$A37)</f>
        <v>1</v>
      </c>
      <c r="H37" s="94">
        <f>=COUNTIFS($C$5:$C$23,$D37,H$5:H$23,$A37)</f>
        <v>1</v>
      </c>
      <c r="I37" s="94">
        <f>=COUNTIFS($C$5:$C$23,$D37,I$5:I$23,$A37)</f>
        <v>1</v>
      </c>
      <c r="J37" s="94">
        <f>=COUNTIFS($C$5:$C$23,$D37,J$5:J$23,$A37)</f>
        <v>1</v>
      </c>
      <c r="K37" s="94">
        <f>=COUNTIFS($C$5:$C$23,$D37,K$5:K$23,$A37)</f>
        <v>1</v>
      </c>
      <c r="L37" s="94">
        <f>=COUNTIFS($C$5:$C$23,$D37,L$5:L$23,$A37)</f>
        <v>1</v>
      </c>
      <c r="M37" s="94">
        <f>=COUNTIFS($C$5:$C$23,$D37,M$5:M$23,$A37)</f>
        <v>1</v>
      </c>
      <c r="N37" s="94">
        <f>=COUNTIFS($C$5:$C$23,$D37,N$5:N$23,$A37)</f>
        <v>1</v>
      </c>
      <c r="O37" s="94">
        <f>=COUNTIFS($C$5:$C$23,$D37,O$5:O$23,$A37)</f>
        <v>1</v>
      </c>
      <c r="P37" s="94">
        <f>=COUNTIFS($C$5:$C$23,$D37,P$5:P$23,$A37)</f>
        <v>1</v>
      </c>
      <c r="Q37" s="47" t="s"/>
    </row>
    <row r="38" spans="1:17">
      <c r="A38" s="74" t="s">
        <v>45</v>
      </c>
      <c r="B38" s="95" t="s"/>
      <c r="C38" s="89" t="s">
        <v>192</v>
      </c>
      <c r="D38" s="77" t="s">
        <v>45</v>
      </c>
      <c r="E38" s="78">
        <f>=COUNTIFS($C$5:$C$23,$D38,E$5:E$23,$A38)</f>
        <v>1</v>
      </c>
      <c r="F38" s="78">
        <f>=COUNTIFS($C$5:$C$23,$D38,F$5:F$23,$A38)</f>
        <v>1</v>
      </c>
      <c r="G38" s="78">
        <f>=COUNTIFS($C$5:$C$23,$D38,G$5:G$23,$A38)</f>
        <v>1</v>
      </c>
      <c r="H38" s="78">
        <f>=COUNTIFS($C$5:$C$23,$D38,H$5:H$23,$A38)</f>
        <v>1</v>
      </c>
      <c r="I38" s="78">
        <f>=COUNTIFS($C$5:$C$23,$D38,I$5:I$23,$A38)</f>
        <v>1</v>
      </c>
      <c r="J38" s="78">
        <f>=COUNTIFS($C$5:$C$23,$D38,J$5:J$23,$A38)</f>
        <v>1</v>
      </c>
      <c r="K38" s="78">
        <f>=COUNTIFS($C$5:$C$23,$D38,K$5:K$23,$A38)</f>
        <v>1</v>
      </c>
      <c r="L38" s="78">
        <f>=COUNTIFS($C$5:$C$23,$D38,L$5:L$23,$A38)</f>
        <v>1</v>
      </c>
      <c r="M38" s="78">
        <f>=COUNTIFS($C$5:$C$23,$D38,M$5:M$23,$A38)</f>
        <v>1</v>
      </c>
      <c r="N38" s="78">
        <f>=COUNTIFS($C$5:$C$23,$D38,N$5:N$23,$A38)</f>
        <v>1</v>
      </c>
      <c r="O38" s="78">
        <f>=COUNTIFS($C$5:$C$23,$D38,O$5:O$23,$A38)</f>
        <v>1</v>
      </c>
      <c r="P38" s="78">
        <f>=COUNTIFS($C$5:$C$23,$D38,P$5:P$23,$A38)</f>
        <v>1</v>
      </c>
      <c r="Q38" s="47" t="s"/>
    </row>
    <row r="39" spans="1:17">
      <c r="A39" s="47" t="s"/>
      <c r="B39" s="47" t="s"/>
      <c r="C39" s="47" t="s"/>
      <c r="D39" s="52" t="s">
        <v>194</v>
      </c>
      <c r="E39" s="96">
        <f>=SUMIF($D:$D,"开发",E:E)</f>
        <v>9</v>
      </c>
      <c r="F39" s="96">
        <f>=SUMIF($D:$D,"开发",F:F)</f>
        <v>9</v>
      </c>
      <c r="G39" s="96">
        <f>=SUMIF($D:$D,"开发",G:G)</f>
        <v>9</v>
      </c>
      <c r="H39" s="96">
        <f>=SUMIF($D:$D,"开发",H:H)</f>
        <v>9</v>
      </c>
      <c r="I39" s="96">
        <f>=SUMIF($D:$D,"开发",I:I)</f>
        <v>9</v>
      </c>
      <c r="J39" s="96">
        <f>=SUMIF($D:$D,"开发",J:J)</f>
        <v>9</v>
      </c>
      <c r="K39" s="96">
        <f>=SUMIF($D:$D,"开发",K:K)</f>
        <v>10</v>
      </c>
      <c r="L39" s="96">
        <f>=SUMIF($D:$D,"开发",L:L)</f>
        <v>10</v>
      </c>
      <c r="M39" s="96">
        <f>=SUMIF($D:$D,"开发",M:M)</f>
        <v>10</v>
      </c>
      <c r="N39" s="96">
        <f>=SUMIF($D:$D,"开发",N:N)</f>
        <v>10</v>
      </c>
      <c r="O39" s="96">
        <f>=SUMIF($D:$D,"开发",O:O)</f>
        <v>10</v>
      </c>
      <c r="P39" s="96">
        <f>=SUMIF($D:$D,"开发",P:P)</f>
        <v>10</v>
      </c>
      <c r="Q39" s="47" t="s"/>
    </row>
    <row r="40" spans="1:17">
      <c r="A40" s="47" t="s"/>
      <c r="B40" s="47" t="s"/>
      <c r="C40" s="47" t="s"/>
      <c r="D40" s="52" t="s">
        <v>195</v>
      </c>
      <c r="E40" s="96">
        <f>=SUMIF($D:$D,"测试",E:E)</f>
        <v>3</v>
      </c>
      <c r="F40" s="96">
        <f>=SUMIF($D:$D,"测试",F:F)</f>
        <v>3</v>
      </c>
      <c r="G40" s="96">
        <f>=SUMIF($D:$D,"测试",G:G)</f>
        <v>3</v>
      </c>
      <c r="H40" s="96">
        <f>=SUMIF($D:$D,"测试",H:H)</f>
        <v>3</v>
      </c>
      <c r="I40" s="96">
        <f>=SUMIF($D:$D,"测试",I:I)</f>
        <v>3</v>
      </c>
      <c r="J40" s="96">
        <f>=SUMIF($D:$D,"测试",J:J)</f>
        <v>3</v>
      </c>
      <c r="K40" s="96">
        <f>=SUMIF($D:$D,"测试",K:K)</f>
        <v>3</v>
      </c>
      <c r="L40" s="96">
        <f>=SUMIF($D:$D,"测试",L:L)</f>
        <v>3</v>
      </c>
      <c r="M40" s="96">
        <f>=SUMIF($D:$D,"测试",M:M)</f>
        <v>3</v>
      </c>
      <c r="N40" s="96">
        <f>=SUMIF($D:$D,"测试",N:N)</f>
        <v>3</v>
      </c>
      <c r="O40" s="96">
        <f>=SUMIF($D:$D,"测试",O:O)</f>
        <v>3</v>
      </c>
      <c r="P40" s="96">
        <f>=SUMIF($D:$D,"测试",P:P)</f>
        <v>3</v>
      </c>
      <c r="Q40" s="47" t="s"/>
    </row>
    <row r="41" spans="1:17">
      <c r="A41" s="47" t="s"/>
      <c r="B41" s="47" t="s"/>
      <c r="C41" s="47" t="s"/>
      <c r="D41" s="47" t="s">
        <v>196</v>
      </c>
      <c r="E41" s="96">
        <f>=SUMIF($D:$D,"管理",E:E)</f>
        <v>1</v>
      </c>
      <c r="F41" s="96">
        <f>=SUMIF($D:$D,"管理",F:F)</f>
        <v>1</v>
      </c>
      <c r="G41" s="96">
        <f>=SUMIF($D:$D,"管理",G:G)</f>
        <v>1</v>
      </c>
      <c r="H41" s="96">
        <f>=SUMIF($D:$D,"管理",H:H)</f>
        <v>1</v>
      </c>
      <c r="I41" s="96">
        <f>=SUMIF($D:$D,"管理",I:I)</f>
        <v>1</v>
      </c>
      <c r="J41" s="96">
        <f>=SUMIF($D:$D,"管理",J:J)</f>
        <v>1</v>
      </c>
      <c r="K41" s="96">
        <f>=SUMIF($D:$D,"管理",K:K)</f>
        <v>1</v>
      </c>
      <c r="L41" s="96">
        <f>=SUMIF($D:$D,"管理",L:L)</f>
        <v>1</v>
      </c>
      <c r="M41" s="96">
        <f>=SUMIF($D:$D,"管理",M:M)</f>
        <v>1</v>
      </c>
      <c r="N41" s="96">
        <f>=SUMIF($D:$D,"管理",N:N)</f>
        <v>1</v>
      </c>
      <c r="O41" s="96">
        <f>=SUMIF($D:$D,"管理",O:O)</f>
        <v>1</v>
      </c>
      <c r="P41" s="96">
        <f>=SUMIF($D:$D,"管理",P:P)</f>
        <v>1</v>
      </c>
      <c r="Q41" s="47" t="s"/>
    </row>
    <row r="42" spans="1:17">
      <c r="A42" s="47" t="s"/>
      <c r="B42" s="47" t="s"/>
      <c r="C42" s="47" t="s"/>
      <c r="D42" s="47" t="s">
        <v>197</v>
      </c>
      <c r="E42" s="96">
        <f>=SUMIF($D:$D,"规划",E:E)</f>
        <v>1</v>
      </c>
      <c r="F42" s="96">
        <f>=SUMIF($D:$D,"规划",F:F)</f>
        <v>1</v>
      </c>
      <c r="G42" s="96">
        <f>=SUMIF($D:$D,"规划",G:G)</f>
        <v>1</v>
      </c>
      <c r="H42" s="96">
        <f>=SUMIF($D:$D,"规划",H:H)</f>
        <v>1</v>
      </c>
      <c r="I42" s="96">
        <f>=SUMIF($D:$D,"规划",I:I)</f>
        <v>1</v>
      </c>
      <c r="J42" s="96">
        <f>=SUMIF($D:$D,"规划",J:J)</f>
        <v>1</v>
      </c>
      <c r="K42" s="96">
        <f>=SUMIF($D:$D,"规划",K:K)</f>
        <v>1</v>
      </c>
      <c r="L42" s="96">
        <f>=SUMIF($D:$D,"规划",L:L)</f>
        <v>1</v>
      </c>
      <c r="M42" s="96">
        <f>=SUMIF($D:$D,"规划",M:M)</f>
        <v>1</v>
      </c>
      <c r="N42" s="96">
        <f>=SUMIF($D:$D,"规划",N:N)</f>
        <v>1</v>
      </c>
      <c r="O42" s="96">
        <f>=SUMIF($D:$D,"规划",O:O)</f>
        <v>1</v>
      </c>
      <c r="P42" s="96">
        <f>=SUMIF($D:$D,"规划",P:P)</f>
        <v>1</v>
      </c>
      <c r="Q42" s="47" t="s"/>
    </row>
    <row r="44" spans="2:7">
      <c r="B44" s="16" t="s">
        <v>47</v>
      </c>
      <c r="C44" s="5" t="s"/>
      <c r="D44" s="5" t="s"/>
      <c r="E44" s="5" t="s"/>
      <c r="F44" s="5" t="s"/>
      <c r="G44" s="5" t="s"/>
    </row>
    <row r="45" spans="2:7">
      <c r="B45" s="97" t="s"/>
      <c r="C45" s="98" t="s">
        <v>49</v>
      </c>
      <c r="D45" s="99" t="s">
        <v>50</v>
      </c>
      <c r="E45" s="32" t="s">
        <v>51</v>
      </c>
      <c r="F45" s="32" t="s">
        <v>52</v>
      </c>
      <c r="G45" s="34" t="s"/>
    </row>
    <row r="46" spans="2:7">
      <c r="B46" s="100" t="s">
        <v>145</v>
      </c>
      <c r="C46" s="98">
        <f>=SUM(E46:F46)</f>
        <v>4.16666666666667</v>
      </c>
      <c r="D46" s="101">
        <f>=C46/C54</f>
        <v>0.287356321839081</v>
      </c>
      <c r="E46" s="23">
        <f>=SUM(E26:P26)/12</f>
        <v>3</v>
      </c>
      <c r="F46" s="23">
        <f>=SUM(E27:P27)/12</f>
        <v>1.16666666666667</v>
      </c>
      <c r="G46" s="34" t="s"/>
    </row>
    <row r="47" spans="2:7">
      <c r="B47" s="97" t="s">
        <v>164</v>
      </c>
      <c r="C47" s="98">
        <f>=SUM(E47:F47)</f>
        <v>0.25</v>
      </c>
      <c r="D47" s="101">
        <f>=C47/C54</f>
        <v>0.0172413793103448</v>
      </c>
      <c r="E47" s="23">
        <f>=SUM(E28:P28)/12</f>
        <v>0.166666666666667</v>
      </c>
      <c r="F47" s="23">
        <f>=SUM(E29:P29)/12</f>
        <v>0.0833333333333333</v>
      </c>
      <c r="G47" s="34" t="s"/>
    </row>
    <row r="48" spans="2:7">
      <c r="B48" s="100" t="s">
        <v>146</v>
      </c>
      <c r="C48" s="98">
        <f>=SUM(E48:F48)</f>
        <v>2.91666666666667</v>
      </c>
      <c r="D48" s="101">
        <f>=C48/C54</f>
        <v>0.201149425287356</v>
      </c>
      <c r="E48" s="23">
        <f>=SUM(E30:P30)/12</f>
        <v>2.16666666666667</v>
      </c>
      <c r="F48" s="102">
        <f>=SUM(E31:P31)/12</f>
        <v>0.75</v>
      </c>
      <c r="G48" s="34" t="s"/>
    </row>
    <row r="49" spans="2:7">
      <c r="B49" s="97" t="s">
        <v>151</v>
      </c>
      <c r="C49" s="98">
        <f>=SUM(E49:F49)</f>
        <v>3</v>
      </c>
      <c r="D49" s="101">
        <f>=C49/C54</f>
        <v>0.206896551724138</v>
      </c>
      <c r="E49" s="23">
        <f>=SUM(E32:P32)/12</f>
        <v>2</v>
      </c>
      <c r="F49" s="23">
        <f>=SUM(E33:P33)/12</f>
        <v>1</v>
      </c>
      <c r="G49" s="34" t="s"/>
    </row>
    <row r="50" spans="2:7">
      <c r="B50" s="100" t="s">
        <v>44</v>
      </c>
      <c r="C50" s="98">
        <f>=SUM(E50:F50)</f>
        <v>1</v>
      </c>
      <c r="D50" s="101">
        <f>=C50/C54</f>
        <v>0.0689655172413793</v>
      </c>
      <c r="E50" s="23">
        <f>=SUM(E34:P34)/12</f>
        <v>1</v>
      </c>
      <c r="F50" s="23" t="s"/>
      <c r="G50" s="34" t="s"/>
    </row>
    <row r="51" spans="2:5">
      <c r="B51" s="100" t="s">
        <v>154</v>
      </c>
      <c r="C51" s="98">
        <f>=SUM(E51:F51)</f>
        <v>1.16666666666667</v>
      </c>
      <c r="D51" s="101">
        <f>=C51/C54</f>
        <v>0.0804597701149426</v>
      </c>
      <c r="E51" s="23">
        <f>=SUM(E36:P36)/12</f>
        <v>1.16666666666667</v>
      </c>
    </row>
    <row r="52" spans="2:7">
      <c r="B52" s="97" t="s">
        <v>172</v>
      </c>
      <c r="C52" s="98">
        <f>=SUM(E52:F52)</f>
        <v>1</v>
      </c>
      <c r="D52" s="101">
        <f>=C52/C54</f>
        <v>0.0689655172413793</v>
      </c>
      <c r="E52" s="23">
        <f>=SUM(E37:P37)/12</f>
        <v>1</v>
      </c>
      <c r="F52" s="102" t="s"/>
      <c r="G52" s="34" t="s"/>
    </row>
    <row r="53" spans="2:7">
      <c r="B53" s="103" t="s">
        <v>45</v>
      </c>
      <c r="C53" s="98">
        <f>=SUM(E53:F53)</f>
        <v>1</v>
      </c>
      <c r="D53" s="101">
        <f>=C53/C54</f>
        <v>0.0689655172413793</v>
      </c>
      <c r="E53" s="23">
        <f>=SUM(E38:P38)/12</f>
        <v>1</v>
      </c>
      <c r="F53" s="102" t="s"/>
      <c r="G53" s="34" t="s"/>
    </row>
    <row r="54" spans="2:7">
      <c r="B54" s="97" t="s">
        <v>56</v>
      </c>
      <c r="C54" s="98">
        <f>=SUM(E54:F54)</f>
        <v>14.5</v>
      </c>
      <c r="D54" s="104" t="s"/>
      <c r="E54" s="23">
        <f>=SUM(E46:E53)</f>
        <v>11.5</v>
      </c>
      <c r="F54" s="23">
        <f>=SUM(F46:F51)</f>
        <v>3</v>
      </c>
      <c r="G54" s="34" t="s"/>
    </row>
  </sheetData>
  <autoFilter ref="I4:I21">
    <sortState ref="I5:I21"/>
  </autoFilter>
  <mergeCells count="19">
    <mergeCell ref="A1:P2"/>
    <mergeCell ref="A3:D3"/>
    <mergeCell ref="G3:P3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B44:G44"/>
  </mergeCells>
</worksheet>
</file>

<file path=xl/worksheets/sheet3.xml><?xml version="1.0" encoding="utf-8"?>
<worksheet xmlns="http://schemas.openxmlformats.org/spreadsheetml/2006/main">
  <sheetPr codeName="业务投资地图">
    <tabColor/>
  </sheetPr>
  <dimension ref="I29"/>
  <sheetViews>
    <sheetView showGridLines="true" workbookViewId="0"/>
  </sheetViews>
  <sheetFormatPr baseColWidth="13" defaultRowHeight="18" customHeight="true"/>
  <cols>
    <col min="1" max="1" width="22.7109" customWidth="true"/>
    <col min="2" max="2" width="10.7109" customWidth="true"/>
    <col min="3" max="3" width="7.71094" customWidth="true"/>
    <col min="4" max="4" width="27.7109" customWidth="true"/>
    <col min="5" max="5" width="12.7109" customWidth="true"/>
    <col min="6" max="6" width="15.7109" customWidth="true"/>
    <col min="7" max="7" width="54.7109" customWidth="true"/>
    <col min="8" max="8" width="15.7109" customWidth="true"/>
    <col min="9" max="9" width="16.7109" customWidth="true"/>
  </cols>
  <sheetData>
    <row r="1" spans="1:9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</row>
    <row r="2" spans="1:9">
      <c r="A2" s="6" t="s">
        <v>2</v>
      </c>
      <c r="B2" s="6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7" t="s">
        <v>10</v>
      </c>
    </row>
    <row r="3" spans="1:9">
      <c r="A3" s="8" t="s">
        <v>11</v>
      </c>
      <c r="B3" s="9" t="s"/>
      <c r="C3" s="9" t="s"/>
      <c r="D3" s="8" t="s">
        <v>12</v>
      </c>
      <c r="E3" s="8" t="s">
        <v>13</v>
      </c>
      <c r="F3" s="8" t="s">
        <v>14</v>
      </c>
      <c r="G3" s="8" t="s">
        <v>15</v>
      </c>
      <c r="H3" s="10">
        <f>=3*5</f>
        <v>15</v>
      </c>
      <c r="I3" s="10">
        <v>5</v>
      </c>
    </row>
    <row r="4" spans="1:9">
      <c r="A4" s="5" t="s"/>
      <c r="B4" s="9" t="s"/>
      <c r="C4" s="9" t="s"/>
      <c r="D4" s="5" t="s"/>
      <c r="E4" s="5" t="s"/>
      <c r="F4" s="5" t="s"/>
      <c r="G4" s="8" t="s">
        <v>16</v>
      </c>
      <c r="H4" s="11">
        <f>=5*5</f>
        <v>25</v>
      </c>
      <c r="I4" s="11">
        <v>8</v>
      </c>
    </row>
    <row r="5" spans="1:9">
      <c r="A5" s="5" t="s"/>
      <c r="B5" s="9" t="s"/>
      <c r="C5" s="9" t="s"/>
      <c r="D5" s="5" t="s"/>
      <c r="E5" s="5" t="s"/>
      <c r="F5" s="5" t="s"/>
      <c r="G5" s="8" t="s">
        <v>17</v>
      </c>
      <c r="H5" s="11">
        <f>=2*5</f>
        <v>10</v>
      </c>
      <c r="I5" s="11">
        <v>2</v>
      </c>
    </row>
    <row r="6" spans="1:9">
      <c r="A6" s="8" t="s">
        <v>18</v>
      </c>
      <c r="B6" s="9" t="s"/>
      <c r="C6" s="9" t="s"/>
      <c r="D6" s="8" t="s">
        <v>19</v>
      </c>
      <c r="E6" s="8" t="s">
        <v>20</v>
      </c>
      <c r="F6" s="8" t="s">
        <v>21</v>
      </c>
      <c r="G6" s="8" t="s">
        <v>22</v>
      </c>
      <c r="H6" s="10">
        <f>=2*3</f>
        <v>6</v>
      </c>
      <c r="I6" s="10">
        <v>2</v>
      </c>
    </row>
    <row r="7" spans="1:9">
      <c r="A7" s="5" t="s"/>
      <c r="B7" s="9" t="s"/>
      <c r="C7" s="9" t="s"/>
      <c r="D7" s="8" t="s">
        <v>23</v>
      </c>
      <c r="E7" s="8" t="s">
        <v>24</v>
      </c>
      <c r="F7" s="8" t="s">
        <v>25</v>
      </c>
      <c r="G7" s="9" t="s"/>
      <c r="H7" s="10">
        <f>=2*3</f>
        <v>6</v>
      </c>
      <c r="I7" s="10">
        <v>2</v>
      </c>
    </row>
    <row r="8" spans="1:9">
      <c r="A8" s="5" t="s"/>
      <c r="B8" s="9" t="s"/>
      <c r="C8" s="9" t="s"/>
      <c r="D8" s="8" t="s">
        <v>26</v>
      </c>
      <c r="E8" s="8" t="s">
        <v>27</v>
      </c>
      <c r="F8" s="8" t="s">
        <v>28</v>
      </c>
      <c r="G8" s="8" t="s">
        <v>29</v>
      </c>
      <c r="H8" s="10">
        <f>=3*3</f>
        <v>9</v>
      </c>
      <c r="I8" s="10">
        <v>3</v>
      </c>
    </row>
    <row r="9" spans="1:9">
      <c r="A9" s="5" t="s"/>
      <c r="B9" s="9" t="s"/>
      <c r="C9" s="9" t="s"/>
      <c r="D9" s="12" t="s">
        <v>30</v>
      </c>
      <c r="E9" s="8" t="s">
        <v>24</v>
      </c>
      <c r="F9" s="8" t="s">
        <v>25</v>
      </c>
      <c r="G9" s="8" t="s">
        <v>31</v>
      </c>
      <c r="H9" s="10">
        <f>=2*5</f>
        <v>10</v>
      </c>
      <c r="I9" s="10">
        <v>5</v>
      </c>
    </row>
    <row r="10" spans="1:9">
      <c r="A10" s="5" t="s"/>
      <c r="B10" s="9" t="s"/>
      <c r="C10" s="9" t="s"/>
      <c r="D10" s="12" t="s">
        <v>32</v>
      </c>
      <c r="E10" s="8" t="s">
        <v>27</v>
      </c>
      <c r="F10" s="8" t="s">
        <v>28</v>
      </c>
      <c r="G10" s="8" t="s">
        <v>33</v>
      </c>
      <c r="H10" s="10">
        <f>=2*4</f>
        <v>8</v>
      </c>
      <c r="I10" s="10">
        <v>1</v>
      </c>
    </row>
    <row r="11" spans="1:9">
      <c r="A11" s="8" t="s">
        <v>34</v>
      </c>
      <c r="B11" s="9" t="s"/>
      <c r="C11" s="9" t="s"/>
      <c r="D11" s="8" t="s">
        <v>35</v>
      </c>
      <c r="E11" s="8" t="s">
        <v>27</v>
      </c>
      <c r="F11" s="8" t="s">
        <v>28</v>
      </c>
      <c r="G11" s="8" t="s">
        <v>36</v>
      </c>
      <c r="H11" s="10">
        <f>=3*5</f>
        <v>15</v>
      </c>
      <c r="I11" s="10">
        <v>5</v>
      </c>
    </row>
    <row r="12" spans="1:9">
      <c r="A12" s="5" t="s"/>
      <c r="B12" s="9" t="s"/>
      <c r="C12" s="9" t="s"/>
      <c r="D12" s="8" t="s">
        <v>37</v>
      </c>
      <c r="E12" s="8" t="s">
        <v>24</v>
      </c>
      <c r="F12" s="8" t="s">
        <v>25</v>
      </c>
      <c r="G12" s="8" t="s">
        <v>38</v>
      </c>
      <c r="H12" s="10">
        <v>2</v>
      </c>
      <c r="I12" s="10">
        <v>1</v>
      </c>
    </row>
    <row r="13" spans="1:9">
      <c r="A13" s="5" t="s"/>
      <c r="B13" s="9" t="s"/>
      <c r="C13" s="9" t="s"/>
      <c r="D13" s="8" t="s">
        <v>39</v>
      </c>
      <c r="E13" s="8" t="s">
        <v>27</v>
      </c>
      <c r="F13" s="8" t="s">
        <v>28</v>
      </c>
      <c r="G13" s="8" t="s">
        <v>40</v>
      </c>
      <c r="H13" s="13">
        <v>3</v>
      </c>
      <c r="I13" s="13">
        <v>1</v>
      </c>
    </row>
    <row r="14" spans="1:9">
      <c r="A14" s="8" t="s">
        <v>41</v>
      </c>
      <c r="B14" s="9" t="s"/>
      <c r="C14" s="9" t="s"/>
      <c r="D14" s="8" t="s">
        <v>41</v>
      </c>
      <c r="E14" s="9" t="s"/>
      <c r="F14" s="9" t="s"/>
      <c r="G14" s="8" t="s">
        <v>42</v>
      </c>
      <c r="H14" s="14">
        <v>6</v>
      </c>
      <c r="I14" s="15" t="s"/>
    </row>
    <row r="15" spans="1:9">
      <c r="A15" s="8" t="s">
        <v>43</v>
      </c>
      <c r="B15" s="9" t="s"/>
      <c r="C15" s="9" t="s"/>
      <c r="D15" s="8" t="s">
        <v>44</v>
      </c>
      <c r="E15" s="9" t="s"/>
      <c r="F15" s="9" t="s"/>
      <c r="G15" s="8" t="s"/>
      <c r="H15" s="14">
        <v>8</v>
      </c>
      <c r="I15" s="15" t="s"/>
    </row>
    <row r="16" spans="1:9">
      <c r="A16" s="8" t="s">
        <v>45</v>
      </c>
      <c r="B16" s="9" t="s"/>
      <c r="C16" s="9" t="s"/>
      <c r="D16" s="8" t="s">
        <v>46</v>
      </c>
      <c r="E16" s="9" t="s"/>
      <c r="F16" s="9" t="s"/>
      <c r="G16" s="8" t="s">
        <v>46</v>
      </c>
      <c r="H16" s="10">
        <f>=1*12</f>
        <v>12</v>
      </c>
      <c r="I16" s="9" t="s"/>
    </row>
    <row r="20" spans="1:9">
      <c r="A20" s="16" t="s">
        <v>47</v>
      </c>
      <c r="B20" s="5" t="s"/>
      <c r="C20" s="5" t="s"/>
      <c r="D20" s="5" t="s"/>
      <c r="E20" s="5" t="s"/>
      <c r="F20" s="5" t="s"/>
      <c r="G20" s="5" t="s"/>
      <c r="H20" s="5" t="s"/>
      <c r="I20" s="5" t="s"/>
    </row>
    <row r="21" spans="1:9">
      <c r="A21" s="17" t="s">
        <v>48</v>
      </c>
      <c r="B21" s="18" t="s">
        <v>49</v>
      </c>
      <c r="C21" s="17" t="s">
        <v>50</v>
      </c>
      <c r="D21" s="19" t="s">
        <v>51</v>
      </c>
      <c r="E21" s="18" t="s">
        <v>52</v>
      </c>
      <c r="F21" s="20" t="s"/>
      <c r="G21" s="17" t="s">
        <v>53</v>
      </c>
      <c r="H21" s="17" t="s">
        <v>54</v>
      </c>
      <c r="I21" s="21" t="s">
        <v>55</v>
      </c>
    </row>
    <row r="22" spans="1:9">
      <c r="A22" s="22" t="s">
        <v>11</v>
      </c>
      <c r="B22" s="23">
        <f>=SUM(D22:E22)</f>
        <v>5.16666666666667</v>
      </c>
      <c r="C22" s="24">
        <f>=B22/$B$28</f>
        <v>0.362573099415205</v>
      </c>
      <c r="D22" s="25">
        <f>=SUM(H3:H5)/12</f>
        <v>4.16666666666667</v>
      </c>
      <c r="E22" s="26">
        <v>1</v>
      </c>
      <c r="F22" s="27" t="s"/>
      <c r="G22" s="28">
        <f>=SUM(D22:E22)</f>
        <v>5.16666666666667</v>
      </c>
      <c r="H22" s="29" t="s"/>
      <c r="I22" s="30" t="s"/>
    </row>
    <row r="23" spans="1:9">
      <c r="A23" s="22" t="s">
        <v>18</v>
      </c>
      <c r="B23" s="23">
        <f>=SUM(D23:E23)</f>
        <v>4.25</v>
      </c>
      <c r="C23" s="24">
        <f>=B23/$B$28</f>
        <v>0.298245614035088</v>
      </c>
      <c r="D23" s="31">
        <f>=SUM(H6:H10)/12</f>
        <v>3.25</v>
      </c>
      <c r="E23" s="26">
        <v>1</v>
      </c>
      <c r="F23" s="27" t="s"/>
      <c r="G23" s="28">
        <f>=SUM(D23:E23)</f>
        <v>4.25</v>
      </c>
      <c r="H23" s="29" t="s"/>
      <c r="I23" s="30" t="s"/>
    </row>
    <row r="24" spans="1:9">
      <c r="A24" s="32" t="s">
        <v>34</v>
      </c>
      <c r="B24" s="23">
        <f>=SUM(D24:E24)</f>
        <v>2.66666666666667</v>
      </c>
      <c r="C24" s="24">
        <f>=B24/$B$28</f>
        <v>0.187134502923977</v>
      </c>
      <c r="D24" s="31">
        <f>=SUM(H11:H13)/12</f>
        <v>1.66666666666667</v>
      </c>
      <c r="E24" s="26">
        <v>1</v>
      </c>
      <c r="F24" s="27" t="s"/>
      <c r="G24" s="28">
        <f>=SUM(D24:E24)</f>
        <v>2.66666666666667</v>
      </c>
      <c r="H24" s="29" t="s"/>
      <c r="I24" s="30" t="s"/>
    </row>
    <row r="25" spans="1:9">
      <c r="A25" s="32" t="s">
        <v>41</v>
      </c>
      <c r="B25" s="23">
        <f>=SUM(D25:E25)</f>
        <v>0.5</v>
      </c>
      <c r="C25" s="24">
        <f>=B25/$B$28</f>
        <v>0.0350877192982456</v>
      </c>
      <c r="D25" s="31">
        <f>=SUM(H14)/12</f>
        <v>0.5</v>
      </c>
      <c r="E25" s="33" t="s"/>
      <c r="F25" s="34" t="s"/>
      <c r="G25" s="28">
        <f>=SUM(D25:E25)</f>
        <v>0.5</v>
      </c>
      <c r="H25" s="34" t="s"/>
      <c r="I25" s="30" t="s"/>
    </row>
    <row r="26" spans="1:9">
      <c r="A26" s="32" t="s">
        <v>43</v>
      </c>
      <c r="B26" s="23">
        <f>=SUM(D26:E26)</f>
        <v>0.666666666666667</v>
      </c>
      <c r="C26" s="24">
        <f>=B26/$B$28</f>
        <v>0.0467836257309942</v>
      </c>
      <c r="D26" s="31">
        <f>=SUM(H15)/12</f>
        <v>0.666666666666667</v>
      </c>
      <c r="E26" s="33" t="s"/>
      <c r="F26" s="34" t="s"/>
      <c r="G26" s="28">
        <f>=SUM(D26:E26)</f>
        <v>0.666666666666667</v>
      </c>
      <c r="H26" s="34" t="s"/>
      <c r="I26" s="30" t="s"/>
    </row>
    <row r="27" spans="1:9">
      <c r="A27" s="32" t="s">
        <v>45</v>
      </c>
      <c r="B27" s="23">
        <f>=SUM(D27:E27)</f>
        <v>1</v>
      </c>
      <c r="C27" s="24">
        <f>=B27/$B$28</f>
        <v>0.0701754385964912</v>
      </c>
      <c r="D27" s="31">
        <f>=SUM(H16)/12</f>
        <v>1</v>
      </c>
      <c r="E27" s="33" t="s"/>
      <c r="F27" s="34" t="s"/>
      <c r="G27" s="28">
        <f>=SUM(D27:E27)</f>
        <v>1</v>
      </c>
      <c r="H27" s="34" t="s"/>
      <c r="I27" s="30" t="s"/>
    </row>
    <row r="28" spans="1:9">
      <c r="A28" s="35" t="s">
        <v>56</v>
      </c>
      <c r="B28" s="36">
        <f>=SUM(B22:B27)</f>
        <v>14.25</v>
      </c>
      <c r="C28" s="37" t="s"/>
      <c r="D28" s="38">
        <f>=SUM(D22:D27)</f>
        <v>11.25</v>
      </c>
      <c r="E28" s="35">
        <f>=SUM(E22:E27)</f>
        <v>3</v>
      </c>
      <c r="F28" s="37" t="s"/>
      <c r="G28" s="39">
        <f>=SUM(G22:G27)</f>
        <v>14.25</v>
      </c>
      <c r="H28" s="34" t="s"/>
      <c r="I28" s="30" t="s"/>
    </row>
    <row r="29" spans="1:9">
      <c r="A29" s="35" t="s">
        <v>57</v>
      </c>
      <c r="B29" s="40" t="s"/>
      <c r="C29" s="37" t="s"/>
      <c r="D29" s="38">
        <v>11</v>
      </c>
      <c r="E29" s="35">
        <v>3</v>
      </c>
      <c r="F29" s="37" t="s"/>
      <c r="G29" s="41" t="s"/>
      <c r="H29" s="34" t="s"/>
      <c r="I29" s="30" t="s"/>
    </row>
  </sheetData>
  <mergeCells count="8">
    <mergeCell ref="A1:I1"/>
    <mergeCell ref="A3:A5"/>
    <mergeCell ref="D3:D5"/>
    <mergeCell ref="E3:E5"/>
    <mergeCell ref="F3:F5"/>
    <mergeCell ref="A6:A10"/>
    <mergeCell ref="A11:A13"/>
    <mergeCell ref="A20:I20"/>
  </mergeCells>
</worksheet>
</file>

<file path=xl/worksheets/sheet4.xml><?xml version="1.0" encoding="utf-8"?>
<worksheet xmlns="http://schemas.openxmlformats.org/spreadsheetml/2006/main">
  <sheetPr codeName="责任田分析">
    <tabColor/>
  </sheetPr>
  <dimension ref="F211"/>
  <sheetViews>
    <sheetView showGridLines="true" workbookViewId="0"/>
  </sheetViews>
  <sheetFormatPr baseColWidth="13" defaultRowHeight="18" customHeight="true"/>
  <cols>
    <col min="1" max="1" width="13.7109" customWidth="true"/>
    <col min="2" max="2" width="15.7109" customWidth="true"/>
    <col min="3" max="3" width="17.7109" customWidth="true"/>
    <col min="4" max="4" width="16.7109" customWidth="true"/>
    <col min="5" max="5" width="42.7109" customWidth="true"/>
    <col min="6" max="6" width="55.7109" customWidth="true"/>
  </cols>
  <sheetData>
    <row r="1" spans="1:6">
      <c r="A1" s="42" t="s">
        <v>58</v>
      </c>
      <c r="B1" s="42" t="s">
        <v>59</v>
      </c>
      <c r="C1" s="43" t="s">
        <v>60</v>
      </c>
      <c r="D1" s="42" t="s">
        <v>61</v>
      </c>
      <c r="E1" s="42" t="s">
        <v>62</v>
      </c>
      <c r="F1" s="42" t="s">
        <v>63</v>
      </c>
    </row>
    <row r="2" spans="1:6" hidden="true">
      <c r="A2" s="8" t="s">
        <v>64</v>
      </c>
      <c r="B2" s="8" t="s">
        <v>65</v>
      </c>
      <c r="C2" s="44" t="s"/>
      <c r="D2" s="9" t="s"/>
      <c r="E2" s="9" t="s"/>
      <c r="F2" s="9" t="s"/>
    </row>
    <row r="3" spans="1:4" hidden="true">
      <c r="A3" s="44" t="s"/>
      <c r="B3" s="9" t="s"/>
      <c r="C3" s="9" t="s"/>
      <c r="D3" s="9" t="s"/>
    </row>
    <row r="4" spans="1:4" hidden="true">
      <c r="A4" s="44" t="s"/>
      <c r="B4" s="9" t="s"/>
      <c r="C4" s="9" t="s"/>
      <c r="D4" s="9" t="s"/>
    </row>
    <row r="5" spans="1:4" hidden="true">
      <c r="A5" s="44" t="s"/>
      <c r="B5" s="9" t="s"/>
      <c r="C5" s="9" t="s"/>
      <c r="D5" s="9" t="s"/>
    </row>
    <row r="6" spans="1:4" hidden="true">
      <c r="A6" s="44" t="s"/>
      <c r="B6" s="9" t="s"/>
      <c r="C6" s="9" t="s"/>
      <c r="D6" s="9" t="s"/>
    </row>
    <row r="7" spans="1:6">
      <c r="A7" s="8" t="s">
        <v>66</v>
      </c>
      <c r="B7" s="45" t="s">
        <v>67</v>
      </c>
      <c r="C7" s="12" t="s">
        <v>68</v>
      </c>
      <c r="D7" s="8" t="s">
        <v>69</v>
      </c>
      <c r="E7" s="8" t="s">
        <v>70</v>
      </c>
      <c r="F7" s="8" t="s">
        <v>71</v>
      </c>
    </row>
    <row r="8" spans="1:6">
      <c r="A8" s="5" t="s"/>
      <c r="B8" s="5" t="s"/>
      <c r="C8" s="5" t="s"/>
      <c r="D8" s="8" t="s">
        <v>72</v>
      </c>
      <c r="E8" s="8" t="s">
        <v>73</v>
      </c>
      <c r="F8" s="9" t="s"/>
    </row>
    <row r="9" spans="1:6">
      <c r="A9" s="5" t="s"/>
      <c r="B9" s="5" t="s"/>
      <c r="C9" s="5" t="s"/>
      <c r="D9" s="8" t="s">
        <v>74</v>
      </c>
      <c r="E9" s="8" t="s">
        <v>75</v>
      </c>
      <c r="F9" s="8" t="s">
        <v>76</v>
      </c>
    </row>
    <row r="10" spans="1:6" ht="51.75" customHeight="true">
      <c r="A10" s="5" t="s"/>
      <c r="B10" s="5" t="s"/>
      <c r="C10" s="5" t="s"/>
      <c r="D10" s="8" t="s">
        <v>77</v>
      </c>
      <c r="E10" s="45" t="s">
        <v>78</v>
      </c>
      <c r="F10" s="9" t="s"/>
    </row>
    <row r="11" spans="1:6">
      <c r="A11" s="5" t="s"/>
      <c r="B11" s="5" t="s"/>
      <c r="C11" s="12" t="s">
        <v>79</v>
      </c>
      <c r="D11" s="8" t="s">
        <v>80</v>
      </c>
      <c r="E11" s="9" t="s"/>
      <c r="F11" s="9" t="s"/>
    </row>
    <row r="12" spans="1:6">
      <c r="A12" s="5" t="s"/>
      <c r="B12" s="5" t="s"/>
      <c r="C12" s="5" t="s"/>
      <c r="D12" s="8" t="s">
        <v>81</v>
      </c>
      <c r="E12" s="45" t="s">
        <v>82</v>
      </c>
      <c r="F12" s="9" t="s"/>
    </row>
    <row r="13" spans="1:6">
      <c r="A13" s="5" t="s"/>
      <c r="B13" s="5" t="s"/>
      <c r="C13" s="5" t="s"/>
      <c r="D13" s="9" t="s"/>
      <c r="E13" s="9" t="s"/>
      <c r="F13" s="9" t="s"/>
    </row>
    <row r="14" spans="1:6">
      <c r="A14" s="5" t="s"/>
      <c r="B14" s="5" t="s"/>
      <c r="C14" s="5" t="s"/>
      <c r="D14" s="9" t="s"/>
      <c r="E14" s="9" t="s"/>
      <c r="F14" s="9" t="s"/>
    </row>
    <row r="15" spans="1:6">
      <c r="A15" s="5" t="s"/>
      <c r="B15" s="5" t="s"/>
      <c r="C15" s="5" t="s"/>
      <c r="D15" s="9" t="s"/>
      <c r="E15" s="9" t="s"/>
      <c r="F15" s="9" t="s"/>
    </row>
    <row r="16" spans="1:6">
      <c r="A16" s="5" t="s"/>
      <c r="B16" s="5" t="s"/>
      <c r="C16" s="44" t="s"/>
      <c r="D16" s="9" t="s"/>
      <c r="E16" s="9" t="s"/>
      <c r="F16" s="9" t="s"/>
    </row>
    <row r="17" spans="1:6">
      <c r="A17" s="5" t="s"/>
      <c r="B17" s="5" t="s"/>
      <c r="C17" s="44" t="s"/>
      <c r="D17" s="9" t="s"/>
      <c r="E17" s="9" t="s"/>
      <c r="F17" s="9" t="s"/>
    </row>
    <row r="18" spans="1:6">
      <c r="A18" s="8" t="s">
        <v>83</v>
      </c>
      <c r="B18" s="45" t="s">
        <v>84</v>
      </c>
      <c r="C18" s="44" t="s"/>
      <c r="D18" s="8" t="s">
        <v>85</v>
      </c>
      <c r="E18" s="46" t="s">
        <v>86</v>
      </c>
      <c r="F18" s="8" t="s">
        <v>87</v>
      </c>
    </row>
    <row r="19" spans="1:6">
      <c r="A19" s="5" t="s"/>
      <c r="B19" s="5" t="s"/>
      <c r="C19" s="44" t="s"/>
      <c r="D19" s="8" t="s">
        <v>88</v>
      </c>
      <c r="E19" s="9" t="s"/>
      <c r="F19" s="9" t="s"/>
    </row>
    <row r="20" spans="1:6">
      <c r="A20" s="5" t="s"/>
      <c r="B20" s="5" t="s"/>
      <c r="C20" s="44" t="s"/>
      <c r="D20" s="8" t="s">
        <v>89</v>
      </c>
      <c r="E20" s="9" t="s"/>
      <c r="F20" s="9" t="s"/>
    </row>
    <row r="21" spans="1:6">
      <c r="A21" s="5" t="s"/>
      <c r="B21" s="5" t="s"/>
      <c r="C21" s="44" t="s"/>
      <c r="D21" s="9" t="s"/>
      <c r="E21" s="9" t="s"/>
      <c r="F21" s="9" t="s"/>
    </row>
    <row r="22" spans="1:6">
      <c r="A22" s="5" t="s"/>
      <c r="B22" s="5" t="s"/>
      <c r="C22" s="44" t="s"/>
      <c r="D22" s="9" t="s"/>
      <c r="E22" s="9" t="s"/>
      <c r="F22" s="9" t="s"/>
    </row>
    <row r="23" spans="1:6">
      <c r="A23" s="8" t="s">
        <v>90</v>
      </c>
      <c r="B23" s="45" t="s">
        <v>91</v>
      </c>
      <c r="C23" s="44" t="s"/>
      <c r="D23" s="9" t="s"/>
      <c r="E23" s="9" t="s"/>
      <c r="F23" s="9" t="s"/>
    </row>
    <row r="24" spans="1:6">
      <c r="A24" s="5" t="s"/>
      <c r="B24" s="5" t="s"/>
      <c r="C24" s="44" t="s"/>
      <c r="D24" s="9" t="s"/>
      <c r="E24" s="9" t="s"/>
      <c r="F24" s="9" t="s"/>
    </row>
    <row r="25" spans="1:6">
      <c r="A25" s="5" t="s"/>
      <c r="B25" s="5" t="s"/>
      <c r="C25" s="44" t="s"/>
      <c r="D25" s="9" t="s"/>
      <c r="E25" s="9" t="s"/>
      <c r="F25" s="9" t="s"/>
    </row>
    <row r="26" spans="1:6">
      <c r="A26" s="5" t="s"/>
      <c r="B26" s="5" t="s"/>
      <c r="C26" s="44" t="s"/>
      <c r="D26" s="9" t="s"/>
      <c r="E26" s="9" t="s"/>
      <c r="F26" s="9" t="s"/>
    </row>
    <row r="27" spans="1:6">
      <c r="A27" s="5" t="s"/>
      <c r="B27" s="5" t="s"/>
      <c r="C27" s="44" t="s"/>
      <c r="D27" s="9" t="s"/>
      <c r="E27" s="9" t="s"/>
      <c r="F27" s="9" t="s"/>
    </row>
    <row r="28" spans="1:6">
      <c r="A28" s="47" t="s"/>
      <c r="B28" s="47" t="s"/>
      <c r="C28" s="48" t="s"/>
      <c r="D28" s="47" t="s"/>
      <c r="E28" s="47" t="s"/>
      <c r="F28" s="47" t="s"/>
    </row>
    <row r="29" spans="1:6">
      <c r="A29" s="47" t="s"/>
      <c r="B29" s="47" t="s"/>
      <c r="C29" s="48" t="s"/>
      <c r="D29" s="47" t="s"/>
      <c r="E29" s="47" t="s"/>
      <c r="F29" s="47" t="s"/>
    </row>
    <row r="30" spans="1:6">
      <c r="A30" s="47" t="s"/>
      <c r="B30" s="47" t="s"/>
      <c r="C30" s="48" t="s"/>
      <c r="D30" s="47" t="s"/>
      <c r="E30" s="47" t="s"/>
      <c r="F30" s="47" t="s"/>
    </row>
    <row r="31" spans="1:6">
      <c r="A31" s="47" t="s"/>
      <c r="B31" s="47" t="s"/>
      <c r="C31" s="48" t="s"/>
      <c r="D31" s="47" t="s"/>
      <c r="E31" s="47" t="s"/>
      <c r="F31" s="47" t="s"/>
    </row>
    <row r="32" spans="1:6">
      <c r="A32" s="47" t="s"/>
      <c r="B32" s="47" t="s"/>
      <c r="C32" s="48" t="s"/>
      <c r="D32" s="47" t="s"/>
      <c r="E32" s="47" t="s"/>
      <c r="F32" s="47" t="s"/>
    </row>
    <row r="33" spans="1:6">
      <c r="A33" s="47" t="s"/>
      <c r="B33" s="47" t="s"/>
      <c r="C33" s="48" t="s"/>
      <c r="D33" s="47" t="s"/>
      <c r="E33" s="47" t="s"/>
      <c r="F33" s="47" t="s"/>
    </row>
    <row r="34" spans="1:6">
      <c r="A34" s="47" t="s"/>
      <c r="B34" s="47" t="s"/>
      <c r="C34" s="48" t="s"/>
      <c r="D34" s="47" t="s"/>
      <c r="E34" s="47" t="s"/>
      <c r="F34" s="47" t="s"/>
    </row>
    <row r="35" spans="1:6">
      <c r="A35" s="47" t="s"/>
      <c r="B35" s="47" t="s"/>
      <c r="C35" s="48" t="s"/>
      <c r="D35" s="47" t="s"/>
      <c r="E35" s="47" t="s"/>
      <c r="F35" s="47" t="s"/>
    </row>
    <row r="36" spans="1:6">
      <c r="A36" s="47" t="s"/>
      <c r="B36" s="47" t="s"/>
      <c r="C36" s="48" t="s"/>
      <c r="D36" s="47" t="s"/>
      <c r="E36" s="47" t="s"/>
      <c r="F36" s="47" t="s"/>
    </row>
    <row r="37" spans="1:6">
      <c r="A37" s="47" t="s"/>
      <c r="B37" s="47" t="s"/>
      <c r="C37" s="48" t="s"/>
      <c r="D37" s="47" t="s"/>
      <c r="E37" s="47" t="s"/>
      <c r="F37" s="47" t="s"/>
    </row>
    <row r="38" spans="1:6">
      <c r="A38" s="47" t="s"/>
      <c r="B38" s="47" t="s"/>
      <c r="C38" s="48" t="s"/>
      <c r="D38" s="47" t="s"/>
      <c r="E38" s="47" t="s"/>
      <c r="F38" s="47" t="s"/>
    </row>
    <row r="39" spans="1:6">
      <c r="A39" s="47" t="s"/>
      <c r="B39" s="47" t="s"/>
      <c r="C39" s="48" t="s"/>
      <c r="D39" s="47" t="s"/>
      <c r="E39" s="47" t="s"/>
      <c r="F39" s="47" t="s"/>
    </row>
    <row r="40" spans="1:6">
      <c r="A40" s="47" t="s"/>
      <c r="B40" s="47" t="s"/>
      <c r="C40" s="48" t="s"/>
      <c r="D40" s="47" t="s"/>
      <c r="E40" s="47" t="s"/>
      <c r="F40" s="47" t="s"/>
    </row>
    <row r="41" spans="1:6">
      <c r="A41" s="47" t="s"/>
      <c r="B41" s="47" t="s"/>
      <c r="C41" s="48" t="s"/>
      <c r="D41" s="47" t="s"/>
      <c r="E41" s="47" t="s"/>
      <c r="F41" s="47" t="s"/>
    </row>
    <row r="42" spans="1:6">
      <c r="A42" s="47" t="s"/>
      <c r="B42" s="47" t="s"/>
      <c r="C42" s="48" t="s"/>
      <c r="D42" s="47" t="s"/>
      <c r="E42" s="47" t="s"/>
      <c r="F42" s="47" t="s"/>
    </row>
    <row r="43" spans="1:6">
      <c r="A43" s="47" t="s"/>
      <c r="B43" s="47" t="s"/>
      <c r="C43" s="48" t="s"/>
      <c r="D43" s="47" t="s"/>
      <c r="E43" s="47" t="s"/>
      <c r="F43" s="47" t="s"/>
    </row>
    <row r="44" spans="1:6">
      <c r="A44" s="47" t="s"/>
      <c r="B44" s="47" t="s"/>
      <c r="C44" s="48" t="s"/>
      <c r="D44" s="47" t="s"/>
      <c r="E44" s="47" t="s"/>
      <c r="F44" s="47" t="s"/>
    </row>
    <row r="45" spans="1:6">
      <c r="A45" s="47" t="s"/>
      <c r="B45" s="47" t="s"/>
      <c r="C45" s="48" t="s"/>
      <c r="D45" s="47" t="s"/>
      <c r="E45" s="47" t="s"/>
      <c r="F45" s="47" t="s"/>
    </row>
    <row r="46" spans="1:6">
      <c r="A46" s="47" t="s"/>
      <c r="B46" s="47" t="s"/>
      <c r="C46" s="48" t="s"/>
      <c r="D46" s="47" t="s"/>
      <c r="E46" s="47" t="s"/>
      <c r="F46" s="47" t="s"/>
    </row>
    <row r="47" spans="1:6">
      <c r="A47" s="47" t="s"/>
      <c r="B47" s="47" t="s"/>
      <c r="C47" s="48" t="s"/>
      <c r="D47" s="47" t="s"/>
      <c r="E47" s="47" t="s"/>
      <c r="F47" s="47" t="s"/>
    </row>
    <row r="48" spans="1:6">
      <c r="A48" s="47" t="s"/>
      <c r="B48" s="47" t="s"/>
      <c r="C48" s="48" t="s"/>
      <c r="D48" s="47" t="s"/>
      <c r="E48" s="47" t="s"/>
      <c r="F48" s="47" t="s"/>
    </row>
    <row r="49" spans="1:6">
      <c r="A49" s="47" t="s"/>
      <c r="B49" s="47" t="s"/>
      <c r="C49" s="48" t="s"/>
      <c r="D49" s="47" t="s"/>
      <c r="E49" s="47" t="s"/>
      <c r="F49" s="47" t="s"/>
    </row>
    <row r="50" spans="1:6">
      <c r="A50" s="47" t="s"/>
      <c r="B50" s="47" t="s"/>
      <c r="C50" s="48" t="s"/>
      <c r="D50" s="47" t="s"/>
      <c r="E50" s="47" t="s"/>
      <c r="F50" s="47" t="s"/>
    </row>
    <row r="51" spans="1:6">
      <c r="A51" s="47" t="s"/>
      <c r="B51" s="47" t="s"/>
      <c r="C51" s="48" t="s"/>
      <c r="D51" s="47" t="s"/>
      <c r="E51" s="47" t="s"/>
      <c r="F51" s="47" t="s"/>
    </row>
    <row r="52" spans="1:6">
      <c r="A52" s="47" t="s"/>
      <c r="B52" s="47" t="s"/>
      <c r="C52" s="48" t="s"/>
      <c r="D52" s="47" t="s"/>
      <c r="E52" s="47" t="s"/>
      <c r="F52" s="47" t="s"/>
    </row>
    <row r="53" spans="1:6">
      <c r="A53" s="47" t="s"/>
      <c r="B53" s="47" t="s"/>
      <c r="C53" s="48" t="s"/>
      <c r="D53" s="47" t="s"/>
      <c r="E53" s="47" t="s"/>
      <c r="F53" s="47" t="s"/>
    </row>
    <row r="54" spans="1:6">
      <c r="A54" s="47" t="s"/>
      <c r="B54" s="47" t="s"/>
      <c r="C54" s="48" t="s"/>
      <c r="D54" s="47" t="s"/>
      <c r="E54" s="47" t="s"/>
      <c r="F54" s="47" t="s"/>
    </row>
    <row r="55" spans="1:6">
      <c r="A55" s="47" t="s"/>
      <c r="B55" s="47" t="s"/>
      <c r="C55" s="48" t="s"/>
      <c r="D55" s="47" t="s"/>
      <c r="E55" s="47" t="s"/>
      <c r="F55" s="47" t="s"/>
    </row>
    <row r="56" spans="1:6">
      <c r="A56" s="47" t="s"/>
      <c r="B56" s="47" t="s"/>
      <c r="C56" s="48" t="s"/>
      <c r="D56" s="47" t="s"/>
      <c r="E56" s="47" t="s"/>
      <c r="F56" s="47" t="s"/>
    </row>
    <row r="57" spans="1:6">
      <c r="A57" s="47" t="s"/>
      <c r="B57" s="47" t="s"/>
      <c r="C57" s="48" t="s"/>
      <c r="D57" s="47" t="s"/>
      <c r="E57" s="47" t="s"/>
      <c r="F57" s="47" t="s"/>
    </row>
    <row r="58" spans="1:6">
      <c r="A58" s="47" t="s"/>
      <c r="B58" s="47" t="s"/>
      <c r="C58" s="48" t="s"/>
      <c r="D58" s="47" t="s"/>
      <c r="E58" s="47" t="s"/>
      <c r="F58" s="47" t="s"/>
    </row>
    <row r="59" spans="1:6">
      <c r="A59" s="47" t="s"/>
      <c r="B59" s="47" t="s"/>
      <c r="C59" s="48" t="s"/>
      <c r="D59" s="47" t="s"/>
      <c r="E59" s="47" t="s"/>
      <c r="F59" s="47" t="s"/>
    </row>
    <row r="60" spans="1:6">
      <c r="A60" s="47" t="s"/>
      <c r="B60" s="47" t="s"/>
      <c r="C60" s="48" t="s"/>
      <c r="D60" s="47" t="s"/>
      <c r="E60" s="47" t="s"/>
      <c r="F60" s="47" t="s"/>
    </row>
    <row r="61" spans="1:6">
      <c r="A61" s="47" t="s"/>
      <c r="B61" s="47" t="s"/>
      <c r="C61" s="48" t="s"/>
      <c r="D61" s="47" t="s"/>
      <c r="E61" s="47" t="s"/>
      <c r="F61" s="47" t="s"/>
    </row>
    <row r="62" spans="1:6">
      <c r="A62" s="47" t="s"/>
      <c r="B62" s="47" t="s"/>
      <c r="C62" s="48" t="s"/>
      <c r="D62" s="47" t="s"/>
      <c r="E62" s="47" t="s"/>
      <c r="F62" s="47" t="s"/>
    </row>
    <row r="63" spans="1:6">
      <c r="A63" s="47" t="s"/>
      <c r="B63" s="47" t="s"/>
      <c r="C63" s="48" t="s"/>
      <c r="D63" s="47" t="s"/>
      <c r="E63" s="47" t="s"/>
      <c r="F63" s="47" t="s"/>
    </row>
    <row r="64" spans="1:6">
      <c r="A64" s="47" t="s"/>
      <c r="B64" s="47" t="s"/>
      <c r="C64" s="48" t="s"/>
      <c r="D64" s="47" t="s"/>
      <c r="E64" s="47" t="s"/>
      <c r="F64" s="47" t="s"/>
    </row>
    <row r="65" spans="1:6">
      <c r="A65" s="47" t="s"/>
      <c r="B65" s="47" t="s"/>
      <c r="C65" s="48" t="s"/>
      <c r="D65" s="47" t="s"/>
      <c r="E65" s="47" t="s"/>
      <c r="F65" s="47" t="s"/>
    </row>
    <row r="66" spans="1:6">
      <c r="A66" s="47" t="s"/>
      <c r="B66" s="47" t="s"/>
      <c r="C66" s="48" t="s"/>
      <c r="D66" s="47" t="s"/>
      <c r="E66" s="47" t="s"/>
      <c r="F66" s="47" t="s"/>
    </row>
    <row r="67" spans="1:6">
      <c r="A67" s="47" t="s"/>
      <c r="B67" s="47" t="s"/>
      <c r="C67" s="48" t="s"/>
      <c r="D67" s="47" t="s"/>
      <c r="E67" s="47" t="s"/>
      <c r="F67" s="47" t="s"/>
    </row>
    <row r="68" spans="1:6">
      <c r="A68" s="47" t="s"/>
      <c r="B68" s="47" t="s"/>
      <c r="C68" s="48" t="s"/>
      <c r="D68" s="47" t="s"/>
      <c r="E68" s="47" t="s"/>
      <c r="F68" s="47" t="s"/>
    </row>
    <row r="69" spans="1:6">
      <c r="A69" s="47" t="s"/>
      <c r="B69" s="47" t="s"/>
      <c r="C69" s="48" t="s"/>
      <c r="D69" s="47" t="s"/>
      <c r="E69" s="47" t="s"/>
      <c r="F69" s="47" t="s"/>
    </row>
    <row r="70" spans="1:6">
      <c r="A70" s="47" t="s"/>
      <c r="B70" s="47" t="s"/>
      <c r="C70" s="48" t="s"/>
      <c r="D70" s="47" t="s"/>
      <c r="E70" s="47" t="s"/>
      <c r="F70" s="47" t="s"/>
    </row>
    <row r="71" spans="1:6">
      <c r="A71" s="47" t="s"/>
      <c r="B71" s="47" t="s"/>
      <c r="C71" s="48" t="s"/>
      <c r="D71" s="47" t="s"/>
      <c r="E71" s="47" t="s"/>
      <c r="F71" s="47" t="s"/>
    </row>
    <row r="72" spans="1:6">
      <c r="A72" s="47" t="s"/>
      <c r="B72" s="47" t="s"/>
      <c r="C72" s="48" t="s"/>
      <c r="D72" s="47" t="s"/>
      <c r="E72" s="47" t="s"/>
      <c r="F72" s="47" t="s"/>
    </row>
    <row r="73" spans="1:6">
      <c r="A73" s="47" t="s"/>
      <c r="B73" s="47" t="s"/>
      <c r="C73" s="48" t="s"/>
      <c r="D73" s="47" t="s"/>
      <c r="E73" s="47" t="s"/>
      <c r="F73" s="47" t="s"/>
    </row>
    <row r="74" spans="1:6">
      <c r="A74" s="47" t="s"/>
      <c r="B74" s="47" t="s"/>
      <c r="C74" s="48" t="s"/>
      <c r="D74" s="47" t="s"/>
      <c r="E74" s="47" t="s"/>
      <c r="F74" s="47" t="s"/>
    </row>
    <row r="75" spans="1:6">
      <c r="A75" s="47" t="s"/>
      <c r="B75" s="47" t="s"/>
      <c r="C75" s="48" t="s"/>
      <c r="D75" s="47" t="s"/>
      <c r="E75" s="47" t="s"/>
      <c r="F75" s="47" t="s"/>
    </row>
    <row r="76" spans="1:6">
      <c r="A76" s="47" t="s"/>
      <c r="B76" s="47" t="s"/>
      <c r="C76" s="48" t="s"/>
      <c r="D76" s="47" t="s"/>
      <c r="E76" s="47" t="s"/>
      <c r="F76" s="47" t="s"/>
    </row>
    <row r="77" spans="1:6">
      <c r="A77" s="47" t="s"/>
      <c r="B77" s="47" t="s"/>
      <c r="C77" s="48" t="s"/>
      <c r="D77" s="47" t="s"/>
      <c r="E77" s="47" t="s"/>
      <c r="F77" s="47" t="s"/>
    </row>
    <row r="78" spans="1:6">
      <c r="A78" s="47" t="s"/>
      <c r="B78" s="47" t="s"/>
      <c r="C78" s="48" t="s"/>
      <c r="D78" s="47" t="s"/>
      <c r="E78" s="47" t="s"/>
      <c r="F78" s="47" t="s"/>
    </row>
    <row r="79" spans="1:6">
      <c r="A79" s="47" t="s"/>
      <c r="B79" s="47" t="s"/>
      <c r="C79" s="48" t="s"/>
      <c r="D79" s="47" t="s"/>
      <c r="E79" s="47" t="s"/>
      <c r="F79" s="47" t="s"/>
    </row>
    <row r="80" spans="1:6">
      <c r="A80" s="47" t="s"/>
      <c r="B80" s="47" t="s"/>
      <c r="C80" s="48" t="s"/>
      <c r="D80" s="47" t="s"/>
      <c r="E80" s="47" t="s"/>
      <c r="F80" s="47" t="s"/>
    </row>
    <row r="81" spans="1:6">
      <c r="A81" s="47" t="s"/>
      <c r="B81" s="47" t="s"/>
      <c r="C81" s="48" t="s"/>
      <c r="D81" s="47" t="s"/>
      <c r="E81" s="47" t="s"/>
      <c r="F81" s="47" t="s"/>
    </row>
    <row r="82" spans="1:6">
      <c r="A82" s="47" t="s"/>
      <c r="B82" s="47" t="s"/>
      <c r="C82" s="48" t="s"/>
      <c r="D82" s="47" t="s"/>
      <c r="E82" s="47" t="s"/>
      <c r="F82" s="47" t="s"/>
    </row>
    <row r="83" spans="1:6">
      <c r="A83" s="47" t="s"/>
      <c r="B83" s="47" t="s"/>
      <c r="C83" s="48" t="s"/>
      <c r="D83" s="47" t="s"/>
      <c r="E83" s="47" t="s"/>
      <c r="F83" s="47" t="s"/>
    </row>
    <row r="84" spans="1:6">
      <c r="A84" s="47" t="s"/>
      <c r="B84" s="47" t="s"/>
      <c r="C84" s="48" t="s"/>
      <c r="D84" s="47" t="s"/>
      <c r="E84" s="47" t="s"/>
      <c r="F84" s="47" t="s"/>
    </row>
    <row r="85" spans="1:6">
      <c r="A85" s="47" t="s"/>
      <c r="B85" s="47" t="s"/>
      <c r="C85" s="48" t="s"/>
      <c r="D85" s="47" t="s"/>
      <c r="E85" s="47" t="s"/>
      <c r="F85" s="47" t="s"/>
    </row>
    <row r="86" spans="1:6">
      <c r="A86" s="47" t="s"/>
      <c r="B86" s="47" t="s"/>
      <c r="C86" s="48" t="s"/>
      <c r="D86" s="47" t="s"/>
      <c r="E86" s="47" t="s"/>
      <c r="F86" s="47" t="s"/>
    </row>
    <row r="87" spans="1:6">
      <c r="A87" s="47" t="s"/>
      <c r="B87" s="47" t="s"/>
      <c r="C87" s="48" t="s"/>
      <c r="D87" s="47" t="s"/>
      <c r="E87" s="47" t="s"/>
      <c r="F87" s="47" t="s"/>
    </row>
    <row r="88" spans="1:6">
      <c r="A88" s="47" t="s"/>
      <c r="B88" s="47" t="s"/>
      <c r="C88" s="48" t="s"/>
      <c r="D88" s="47" t="s"/>
      <c r="E88" s="47" t="s"/>
      <c r="F88" s="47" t="s"/>
    </row>
    <row r="89" spans="1:6">
      <c r="A89" s="47" t="s"/>
      <c r="B89" s="47" t="s"/>
      <c r="C89" s="48" t="s"/>
      <c r="D89" s="47" t="s"/>
      <c r="E89" s="47" t="s"/>
      <c r="F89" s="47" t="s"/>
    </row>
    <row r="90" spans="1:6">
      <c r="A90" s="47" t="s"/>
      <c r="B90" s="47" t="s"/>
      <c r="C90" s="48" t="s"/>
      <c r="D90" s="47" t="s"/>
      <c r="E90" s="47" t="s"/>
      <c r="F90" s="47" t="s"/>
    </row>
    <row r="91" spans="1:6">
      <c r="A91" s="47" t="s"/>
      <c r="B91" s="47" t="s"/>
      <c r="C91" s="48" t="s"/>
      <c r="D91" s="47" t="s"/>
      <c r="E91" s="47" t="s"/>
      <c r="F91" s="47" t="s"/>
    </row>
    <row r="92" spans="1:6">
      <c r="A92" s="47" t="s"/>
      <c r="B92" s="47" t="s"/>
      <c r="C92" s="48" t="s"/>
      <c r="D92" s="47" t="s"/>
      <c r="E92" s="47" t="s"/>
      <c r="F92" s="47" t="s"/>
    </row>
    <row r="93" spans="1:6">
      <c r="A93" s="47" t="s"/>
      <c r="B93" s="47" t="s"/>
      <c r="C93" s="48" t="s"/>
      <c r="D93" s="47" t="s"/>
      <c r="E93" s="47" t="s"/>
      <c r="F93" s="47" t="s"/>
    </row>
    <row r="94" spans="1:6">
      <c r="A94" s="47" t="s"/>
      <c r="B94" s="47" t="s"/>
      <c r="C94" s="48" t="s"/>
      <c r="D94" s="47" t="s"/>
      <c r="E94" s="47" t="s"/>
      <c r="F94" s="47" t="s"/>
    </row>
    <row r="95" spans="1:6">
      <c r="A95" s="47" t="s"/>
      <c r="B95" s="47" t="s"/>
      <c r="C95" s="48" t="s"/>
      <c r="D95" s="47" t="s"/>
      <c r="E95" s="47" t="s"/>
      <c r="F95" s="47" t="s"/>
    </row>
    <row r="96" spans="1:6">
      <c r="A96" s="47" t="s"/>
      <c r="B96" s="47" t="s"/>
      <c r="C96" s="48" t="s"/>
      <c r="D96" s="47" t="s"/>
      <c r="E96" s="47" t="s"/>
      <c r="F96" s="47" t="s"/>
    </row>
    <row r="97" spans="1:6">
      <c r="A97" s="47" t="s"/>
      <c r="B97" s="47" t="s"/>
      <c r="C97" s="48" t="s"/>
      <c r="D97" s="47" t="s"/>
      <c r="E97" s="47" t="s"/>
      <c r="F97" s="47" t="s"/>
    </row>
    <row r="98" spans="1:6">
      <c r="A98" s="47" t="s"/>
      <c r="B98" s="47" t="s"/>
      <c r="C98" s="48" t="s"/>
      <c r="D98" s="47" t="s"/>
      <c r="E98" s="47" t="s"/>
      <c r="F98" s="47" t="s"/>
    </row>
    <row r="99" spans="1:6">
      <c r="A99" s="47" t="s"/>
      <c r="B99" s="47" t="s"/>
      <c r="C99" s="48" t="s"/>
      <c r="D99" s="47" t="s"/>
      <c r="E99" s="47" t="s"/>
      <c r="F99" s="47" t="s"/>
    </row>
    <row r="100" spans="1:6">
      <c r="A100" s="47" t="s"/>
      <c r="B100" s="47" t="s"/>
      <c r="C100" s="48" t="s"/>
      <c r="D100" s="47" t="s"/>
      <c r="E100" s="47" t="s"/>
      <c r="F100" s="47" t="s"/>
    </row>
    <row r="101" spans="1:6">
      <c r="A101" s="47" t="s"/>
      <c r="B101" s="47" t="s"/>
      <c r="C101" s="48" t="s"/>
      <c r="D101" s="47" t="s"/>
      <c r="E101" s="47" t="s"/>
      <c r="F101" s="47" t="s"/>
    </row>
    <row r="102" spans="1:6">
      <c r="A102" s="47" t="s"/>
      <c r="B102" s="47" t="s"/>
      <c r="C102" s="48" t="s"/>
      <c r="D102" s="47" t="s"/>
      <c r="E102" s="47" t="s"/>
      <c r="F102" s="47" t="s"/>
    </row>
    <row r="103" spans="1:6">
      <c r="A103" s="47" t="s"/>
      <c r="B103" s="47" t="s"/>
      <c r="C103" s="48" t="s"/>
      <c r="D103" s="47" t="s"/>
      <c r="E103" s="47" t="s"/>
      <c r="F103" s="47" t="s"/>
    </row>
    <row r="104" spans="1:6">
      <c r="A104" s="47" t="s"/>
      <c r="B104" s="47" t="s"/>
      <c r="C104" s="48" t="s"/>
      <c r="D104" s="47" t="s"/>
      <c r="E104" s="47" t="s"/>
      <c r="F104" s="47" t="s"/>
    </row>
    <row r="105" spans="1:6">
      <c r="A105" s="47" t="s"/>
      <c r="B105" s="47" t="s"/>
      <c r="C105" s="48" t="s"/>
      <c r="D105" s="47" t="s"/>
      <c r="E105" s="47" t="s"/>
      <c r="F105" s="47" t="s"/>
    </row>
    <row r="106" spans="1:6">
      <c r="A106" s="47" t="s"/>
      <c r="B106" s="47" t="s"/>
      <c r="C106" s="48" t="s"/>
      <c r="D106" s="47" t="s"/>
      <c r="E106" s="47" t="s"/>
      <c r="F106" s="47" t="s"/>
    </row>
    <row r="107" spans="1:6">
      <c r="A107" s="47" t="s"/>
      <c r="B107" s="47" t="s"/>
      <c r="C107" s="48" t="s"/>
      <c r="D107" s="47" t="s"/>
      <c r="E107" s="47" t="s"/>
      <c r="F107" s="47" t="s"/>
    </row>
    <row r="108" spans="1:6">
      <c r="A108" s="47" t="s"/>
      <c r="B108" s="47" t="s"/>
      <c r="C108" s="48" t="s"/>
      <c r="D108" s="47" t="s"/>
      <c r="E108" s="47" t="s"/>
      <c r="F108" s="47" t="s"/>
    </row>
    <row r="109" spans="1:6">
      <c r="A109" s="47" t="s"/>
      <c r="B109" s="47" t="s"/>
      <c r="C109" s="48" t="s"/>
      <c r="D109" s="47" t="s"/>
      <c r="E109" s="47" t="s"/>
      <c r="F109" s="47" t="s"/>
    </row>
    <row r="110" spans="1:6">
      <c r="A110" s="47" t="s"/>
      <c r="B110" s="47" t="s"/>
      <c r="C110" s="48" t="s"/>
      <c r="D110" s="47" t="s"/>
      <c r="E110" s="47" t="s"/>
      <c r="F110" s="47" t="s"/>
    </row>
    <row r="111" spans="1:6">
      <c r="A111" s="47" t="s"/>
      <c r="B111" s="47" t="s"/>
      <c r="C111" s="48" t="s"/>
      <c r="D111" s="47" t="s"/>
      <c r="E111" s="47" t="s"/>
      <c r="F111" s="47" t="s"/>
    </row>
    <row r="112" spans="1:6">
      <c r="A112" s="47" t="s"/>
      <c r="B112" s="47" t="s"/>
      <c r="C112" s="48" t="s"/>
      <c r="D112" s="47" t="s"/>
      <c r="E112" s="47" t="s"/>
      <c r="F112" s="47" t="s"/>
    </row>
    <row r="113" spans="1:6">
      <c r="A113" s="47" t="s"/>
      <c r="B113" s="47" t="s"/>
      <c r="C113" s="48" t="s"/>
      <c r="D113" s="47" t="s"/>
      <c r="E113" s="47" t="s"/>
      <c r="F113" s="47" t="s"/>
    </row>
    <row r="114" spans="1:6">
      <c r="A114" s="47" t="s"/>
      <c r="B114" s="47" t="s"/>
      <c r="C114" s="48" t="s"/>
      <c r="D114" s="47" t="s"/>
      <c r="E114" s="47" t="s"/>
      <c r="F114" s="47" t="s"/>
    </row>
    <row r="115" spans="1:6">
      <c r="A115" s="47" t="s"/>
      <c r="B115" s="47" t="s"/>
      <c r="C115" s="48" t="s"/>
      <c r="D115" s="47" t="s"/>
      <c r="E115" s="47" t="s"/>
      <c r="F115" s="47" t="s"/>
    </row>
    <row r="116" spans="1:6">
      <c r="A116" s="47" t="s"/>
      <c r="B116" s="47" t="s"/>
      <c r="C116" s="48" t="s"/>
      <c r="D116" s="47" t="s"/>
      <c r="E116" s="47" t="s"/>
      <c r="F116" s="47" t="s"/>
    </row>
    <row r="117" spans="1:6">
      <c r="A117" s="47" t="s"/>
      <c r="B117" s="47" t="s"/>
      <c r="C117" s="48" t="s"/>
      <c r="D117" s="47" t="s"/>
      <c r="E117" s="47" t="s"/>
      <c r="F117" s="47" t="s"/>
    </row>
    <row r="118" spans="1:6">
      <c r="A118" s="47" t="s"/>
      <c r="B118" s="47" t="s"/>
      <c r="C118" s="48" t="s"/>
      <c r="D118" s="47" t="s"/>
      <c r="E118" s="47" t="s"/>
      <c r="F118" s="47" t="s"/>
    </row>
    <row r="119" spans="1:6">
      <c r="A119" s="47" t="s"/>
      <c r="B119" s="47" t="s"/>
      <c r="C119" s="48" t="s"/>
      <c r="D119" s="47" t="s"/>
      <c r="E119" s="47" t="s"/>
      <c r="F119" s="47" t="s"/>
    </row>
    <row r="120" spans="1:6">
      <c r="A120" s="47" t="s"/>
      <c r="B120" s="47" t="s"/>
      <c r="C120" s="48" t="s"/>
      <c r="D120" s="47" t="s"/>
      <c r="E120" s="47" t="s"/>
      <c r="F120" s="47" t="s"/>
    </row>
    <row r="121" spans="1:6">
      <c r="A121" s="47" t="s"/>
      <c r="B121" s="47" t="s"/>
      <c r="C121" s="48" t="s"/>
      <c r="D121" s="47" t="s"/>
      <c r="E121" s="47" t="s"/>
      <c r="F121" s="47" t="s"/>
    </row>
    <row r="122" spans="1:6">
      <c r="A122" s="47" t="s"/>
      <c r="B122" s="47" t="s"/>
      <c r="C122" s="48" t="s"/>
      <c r="D122" s="47" t="s"/>
      <c r="E122" s="47" t="s"/>
      <c r="F122" s="47" t="s"/>
    </row>
    <row r="123" spans="1:6">
      <c r="A123" s="47" t="s"/>
      <c r="B123" s="47" t="s"/>
      <c r="C123" s="48" t="s"/>
      <c r="D123" s="47" t="s"/>
      <c r="E123" s="47" t="s"/>
      <c r="F123" s="47" t="s"/>
    </row>
    <row r="124" spans="1:6">
      <c r="A124" s="47" t="s"/>
      <c r="B124" s="47" t="s"/>
      <c r="C124" s="48" t="s"/>
      <c r="D124" s="47" t="s"/>
      <c r="E124" s="47" t="s"/>
      <c r="F124" s="47" t="s"/>
    </row>
    <row r="125" spans="1:6">
      <c r="A125" s="47" t="s"/>
      <c r="B125" s="47" t="s"/>
      <c r="C125" s="48" t="s"/>
      <c r="D125" s="47" t="s"/>
      <c r="E125" s="47" t="s"/>
      <c r="F125" s="47" t="s"/>
    </row>
    <row r="126" spans="1:6">
      <c r="A126" s="47" t="s"/>
      <c r="B126" s="47" t="s"/>
      <c r="C126" s="48" t="s"/>
      <c r="D126" s="47" t="s"/>
      <c r="E126" s="47" t="s"/>
      <c r="F126" s="47" t="s"/>
    </row>
    <row r="127" spans="1:6">
      <c r="A127" s="47" t="s"/>
      <c r="B127" s="47" t="s"/>
      <c r="C127" s="48" t="s"/>
      <c r="D127" s="47" t="s"/>
      <c r="E127" s="47" t="s"/>
      <c r="F127" s="47" t="s"/>
    </row>
    <row r="128" spans="1:6">
      <c r="A128" s="47" t="s"/>
      <c r="B128" s="47" t="s"/>
      <c r="C128" s="48" t="s"/>
      <c r="D128" s="47" t="s"/>
      <c r="E128" s="47" t="s"/>
      <c r="F128" s="47" t="s"/>
    </row>
    <row r="129" spans="1:6">
      <c r="A129" s="47" t="s"/>
      <c r="B129" s="47" t="s"/>
      <c r="C129" s="48" t="s"/>
      <c r="D129" s="47" t="s"/>
      <c r="E129" s="47" t="s"/>
      <c r="F129" s="47" t="s"/>
    </row>
    <row r="130" spans="1:6">
      <c r="A130" s="47" t="s"/>
      <c r="B130" s="47" t="s"/>
      <c r="C130" s="48" t="s"/>
      <c r="D130" s="47" t="s"/>
      <c r="E130" s="47" t="s"/>
      <c r="F130" s="47" t="s"/>
    </row>
    <row r="131" spans="1:6">
      <c r="A131" s="47" t="s"/>
      <c r="B131" s="47" t="s"/>
      <c r="C131" s="48" t="s"/>
      <c r="D131" s="47" t="s"/>
      <c r="E131" s="47" t="s"/>
      <c r="F131" s="47" t="s"/>
    </row>
    <row r="132" spans="1:6">
      <c r="A132" s="47" t="s"/>
      <c r="B132" s="47" t="s"/>
      <c r="C132" s="48" t="s"/>
      <c r="D132" s="47" t="s"/>
      <c r="E132" s="47" t="s"/>
      <c r="F132" s="47" t="s"/>
    </row>
    <row r="133" spans="1:6">
      <c r="A133" s="47" t="s"/>
      <c r="B133" s="47" t="s"/>
      <c r="C133" s="48" t="s"/>
      <c r="D133" s="47" t="s"/>
      <c r="E133" s="47" t="s"/>
      <c r="F133" s="47" t="s"/>
    </row>
    <row r="134" spans="1:6">
      <c r="A134" s="47" t="s"/>
      <c r="B134" s="47" t="s"/>
      <c r="C134" s="48" t="s"/>
      <c r="D134" s="47" t="s"/>
      <c r="E134" s="47" t="s"/>
      <c r="F134" s="47" t="s"/>
    </row>
    <row r="135" spans="1:6">
      <c r="A135" s="47" t="s"/>
      <c r="B135" s="47" t="s"/>
      <c r="C135" s="48" t="s"/>
      <c r="D135" s="47" t="s"/>
      <c r="E135" s="47" t="s"/>
      <c r="F135" s="47" t="s"/>
    </row>
    <row r="136" spans="1:6">
      <c r="A136" s="47" t="s"/>
      <c r="B136" s="47" t="s"/>
      <c r="C136" s="48" t="s"/>
      <c r="D136" s="47" t="s"/>
      <c r="E136" s="47" t="s"/>
      <c r="F136" s="47" t="s"/>
    </row>
    <row r="137" spans="1:6">
      <c r="A137" s="47" t="s"/>
      <c r="B137" s="47" t="s"/>
      <c r="C137" s="48" t="s"/>
      <c r="D137" s="47" t="s"/>
      <c r="E137" s="47" t="s"/>
      <c r="F137" s="47" t="s"/>
    </row>
    <row r="138" spans="1:6">
      <c r="A138" s="47" t="s"/>
      <c r="B138" s="47" t="s"/>
      <c r="C138" s="48" t="s"/>
      <c r="D138" s="47" t="s"/>
      <c r="E138" s="47" t="s"/>
      <c r="F138" s="47" t="s"/>
    </row>
    <row r="139" spans="1:6">
      <c r="A139" s="47" t="s"/>
      <c r="B139" s="47" t="s"/>
      <c r="C139" s="48" t="s"/>
      <c r="D139" s="47" t="s"/>
      <c r="E139" s="47" t="s"/>
      <c r="F139" s="47" t="s"/>
    </row>
    <row r="140" spans="1:6">
      <c r="A140" s="47" t="s"/>
      <c r="B140" s="47" t="s"/>
      <c r="C140" s="48" t="s"/>
      <c r="D140" s="47" t="s"/>
      <c r="E140" s="47" t="s"/>
      <c r="F140" s="47" t="s"/>
    </row>
    <row r="141" spans="1:6">
      <c r="A141" s="47" t="s"/>
      <c r="B141" s="47" t="s"/>
      <c r="C141" s="48" t="s"/>
      <c r="D141" s="47" t="s"/>
      <c r="E141" s="47" t="s"/>
      <c r="F141" s="47" t="s"/>
    </row>
    <row r="142" spans="1:6">
      <c r="A142" s="47" t="s"/>
      <c r="B142" s="47" t="s"/>
      <c r="C142" s="48" t="s"/>
      <c r="D142" s="47" t="s"/>
      <c r="E142" s="47" t="s"/>
      <c r="F142" s="47" t="s"/>
    </row>
    <row r="143" spans="1:6">
      <c r="A143" s="47" t="s"/>
      <c r="B143" s="47" t="s"/>
      <c r="C143" s="48" t="s"/>
      <c r="D143" s="47" t="s"/>
      <c r="E143" s="47" t="s"/>
      <c r="F143" s="47" t="s"/>
    </row>
    <row r="144" spans="1:6">
      <c r="A144" s="47" t="s"/>
      <c r="B144" s="47" t="s"/>
      <c r="C144" s="48" t="s"/>
      <c r="D144" s="47" t="s"/>
      <c r="E144" s="47" t="s"/>
      <c r="F144" s="47" t="s"/>
    </row>
    <row r="145" spans="1:6">
      <c r="A145" s="47" t="s"/>
      <c r="B145" s="47" t="s"/>
      <c r="C145" s="48" t="s"/>
      <c r="D145" s="47" t="s"/>
      <c r="E145" s="47" t="s"/>
      <c r="F145" s="47" t="s"/>
    </row>
    <row r="146" spans="1:6">
      <c r="A146" s="47" t="s"/>
      <c r="B146" s="47" t="s"/>
      <c r="C146" s="48" t="s"/>
      <c r="D146" s="47" t="s"/>
      <c r="E146" s="47" t="s"/>
      <c r="F146" s="47" t="s"/>
    </row>
    <row r="147" spans="1:6">
      <c r="A147" s="47" t="s"/>
      <c r="B147" s="47" t="s"/>
      <c r="C147" s="48" t="s"/>
      <c r="D147" s="47" t="s"/>
      <c r="E147" s="47" t="s"/>
      <c r="F147" s="47" t="s"/>
    </row>
    <row r="148" spans="1:6">
      <c r="A148" s="47" t="s"/>
      <c r="B148" s="47" t="s"/>
      <c r="C148" s="48" t="s"/>
      <c r="D148" s="47" t="s"/>
      <c r="E148" s="47" t="s"/>
      <c r="F148" s="47" t="s"/>
    </row>
    <row r="149" spans="1:6">
      <c r="A149" s="47" t="s"/>
      <c r="B149" s="47" t="s"/>
      <c r="C149" s="48" t="s"/>
      <c r="D149" s="47" t="s"/>
      <c r="E149" s="47" t="s"/>
      <c r="F149" s="47" t="s"/>
    </row>
    <row r="150" spans="1:6">
      <c r="A150" s="47" t="s"/>
      <c r="B150" s="47" t="s"/>
      <c r="C150" s="48" t="s"/>
      <c r="D150" s="47" t="s"/>
      <c r="E150" s="47" t="s"/>
      <c r="F150" s="47" t="s"/>
    </row>
    <row r="151" spans="1:6">
      <c r="A151" s="47" t="s"/>
      <c r="B151" s="47" t="s"/>
      <c r="C151" s="48" t="s"/>
      <c r="D151" s="47" t="s"/>
      <c r="E151" s="47" t="s"/>
      <c r="F151" s="47" t="s"/>
    </row>
    <row r="152" spans="1:6">
      <c r="A152" s="47" t="s"/>
      <c r="B152" s="47" t="s"/>
      <c r="C152" s="48" t="s"/>
      <c r="D152" s="47" t="s"/>
      <c r="E152" s="47" t="s"/>
      <c r="F152" s="47" t="s"/>
    </row>
    <row r="153" spans="1:6">
      <c r="A153" s="47" t="s"/>
      <c r="B153" s="47" t="s"/>
      <c r="C153" s="48" t="s"/>
      <c r="D153" s="47" t="s"/>
      <c r="E153" s="47" t="s"/>
      <c r="F153" s="47" t="s"/>
    </row>
    <row r="154" spans="1:6">
      <c r="A154" s="47" t="s"/>
      <c r="B154" s="47" t="s"/>
      <c r="C154" s="48" t="s"/>
      <c r="D154" s="47" t="s"/>
      <c r="E154" s="47" t="s"/>
      <c r="F154" s="47" t="s"/>
    </row>
    <row r="155" spans="1:6">
      <c r="A155" s="47" t="s"/>
      <c r="B155" s="47" t="s"/>
      <c r="C155" s="48" t="s"/>
      <c r="D155" s="47" t="s"/>
      <c r="E155" s="47" t="s"/>
      <c r="F155" s="47" t="s"/>
    </row>
    <row r="156" spans="1:6">
      <c r="A156" s="47" t="s"/>
      <c r="B156" s="47" t="s"/>
      <c r="C156" s="48" t="s"/>
      <c r="D156" s="47" t="s"/>
      <c r="E156" s="47" t="s"/>
      <c r="F156" s="47" t="s"/>
    </row>
    <row r="157" spans="1:6">
      <c r="A157" s="47" t="s"/>
      <c r="B157" s="47" t="s"/>
      <c r="C157" s="48" t="s"/>
      <c r="D157" s="47" t="s"/>
      <c r="E157" s="47" t="s"/>
      <c r="F157" s="47" t="s"/>
    </row>
    <row r="158" spans="1:6">
      <c r="A158" s="47" t="s"/>
      <c r="B158" s="47" t="s"/>
      <c r="C158" s="48" t="s"/>
      <c r="D158" s="47" t="s"/>
      <c r="E158" s="47" t="s"/>
      <c r="F158" s="47" t="s"/>
    </row>
    <row r="159" spans="1:6">
      <c r="A159" s="47" t="s"/>
      <c r="B159" s="47" t="s"/>
      <c r="C159" s="48" t="s"/>
      <c r="D159" s="47" t="s"/>
      <c r="E159" s="47" t="s"/>
      <c r="F159" s="47" t="s"/>
    </row>
    <row r="160" spans="1:6">
      <c r="A160" s="47" t="s"/>
      <c r="B160" s="47" t="s"/>
      <c r="C160" s="48" t="s"/>
      <c r="D160" s="47" t="s"/>
      <c r="E160" s="47" t="s"/>
      <c r="F160" s="47" t="s"/>
    </row>
    <row r="161" spans="1:6">
      <c r="A161" s="47" t="s"/>
      <c r="B161" s="47" t="s"/>
      <c r="C161" s="48" t="s"/>
      <c r="D161" s="47" t="s"/>
      <c r="E161" s="47" t="s"/>
      <c r="F161" s="47" t="s"/>
    </row>
    <row r="162" spans="1:6">
      <c r="A162" s="47" t="s"/>
      <c r="B162" s="47" t="s"/>
      <c r="C162" s="48" t="s"/>
      <c r="D162" s="47" t="s"/>
      <c r="E162" s="47" t="s"/>
      <c r="F162" s="47" t="s"/>
    </row>
    <row r="163" spans="1:6">
      <c r="A163" s="47" t="s"/>
      <c r="B163" s="47" t="s"/>
      <c r="C163" s="48" t="s"/>
      <c r="D163" s="47" t="s"/>
      <c r="E163" s="47" t="s"/>
      <c r="F163" s="47" t="s"/>
    </row>
    <row r="164" spans="1:6">
      <c r="A164" s="47" t="s"/>
      <c r="B164" s="47" t="s"/>
      <c r="C164" s="48" t="s"/>
      <c r="D164" s="47" t="s"/>
      <c r="E164" s="47" t="s"/>
      <c r="F164" s="47" t="s"/>
    </row>
    <row r="165" spans="1:6">
      <c r="A165" s="47" t="s"/>
      <c r="B165" s="47" t="s"/>
      <c r="C165" s="48" t="s"/>
      <c r="D165" s="47" t="s"/>
      <c r="E165" s="47" t="s"/>
      <c r="F165" s="47" t="s"/>
    </row>
    <row r="166" spans="1:6">
      <c r="A166" s="47" t="s"/>
      <c r="B166" s="47" t="s"/>
      <c r="C166" s="48" t="s"/>
      <c r="D166" s="47" t="s"/>
      <c r="E166" s="47" t="s"/>
      <c r="F166" s="47" t="s"/>
    </row>
    <row r="167" spans="1:6">
      <c r="A167" s="47" t="s"/>
      <c r="B167" s="47" t="s"/>
      <c r="C167" s="48" t="s"/>
      <c r="D167" s="47" t="s"/>
      <c r="E167" s="47" t="s"/>
      <c r="F167" s="47" t="s"/>
    </row>
    <row r="168" spans="1:6">
      <c r="A168" s="47" t="s"/>
      <c r="B168" s="47" t="s"/>
      <c r="C168" s="48" t="s"/>
      <c r="D168" s="47" t="s"/>
      <c r="E168" s="47" t="s"/>
      <c r="F168" s="47" t="s"/>
    </row>
    <row r="169" spans="1:6">
      <c r="A169" s="47" t="s"/>
      <c r="B169" s="47" t="s"/>
      <c r="C169" s="48" t="s"/>
      <c r="D169" s="47" t="s"/>
      <c r="E169" s="47" t="s"/>
      <c r="F169" s="47" t="s"/>
    </row>
    <row r="170" spans="1:6">
      <c r="A170" s="47" t="s"/>
      <c r="B170" s="47" t="s"/>
      <c r="C170" s="48" t="s"/>
      <c r="D170" s="47" t="s"/>
      <c r="E170" s="47" t="s"/>
      <c r="F170" s="47" t="s"/>
    </row>
    <row r="171" spans="1:6">
      <c r="A171" s="47" t="s"/>
      <c r="B171" s="47" t="s"/>
      <c r="C171" s="48" t="s"/>
      <c r="D171" s="47" t="s"/>
      <c r="E171" s="47" t="s"/>
      <c r="F171" s="47" t="s"/>
    </row>
    <row r="172" spans="1:6">
      <c r="A172" s="47" t="s"/>
      <c r="B172" s="47" t="s"/>
      <c r="C172" s="48" t="s"/>
      <c r="D172" s="47" t="s"/>
      <c r="E172" s="47" t="s"/>
      <c r="F172" s="47" t="s"/>
    </row>
    <row r="173" spans="1:6">
      <c r="A173" s="47" t="s"/>
      <c r="B173" s="47" t="s"/>
      <c r="C173" s="48" t="s"/>
      <c r="D173" s="47" t="s"/>
      <c r="E173" s="47" t="s"/>
      <c r="F173" s="47" t="s"/>
    </row>
    <row r="174" spans="1:6">
      <c r="A174" s="47" t="s"/>
      <c r="B174" s="47" t="s"/>
      <c r="C174" s="48" t="s"/>
      <c r="D174" s="47" t="s"/>
      <c r="E174" s="47" t="s"/>
      <c r="F174" s="47" t="s"/>
    </row>
    <row r="175" spans="1:6">
      <c r="A175" s="47" t="s"/>
      <c r="B175" s="47" t="s"/>
      <c r="C175" s="48" t="s"/>
      <c r="D175" s="47" t="s"/>
      <c r="E175" s="47" t="s"/>
      <c r="F175" s="47" t="s"/>
    </row>
    <row r="176" spans="1:6">
      <c r="A176" s="47" t="s"/>
      <c r="B176" s="47" t="s"/>
      <c r="C176" s="48" t="s"/>
      <c r="D176" s="47" t="s"/>
      <c r="E176" s="47" t="s"/>
      <c r="F176" s="47" t="s"/>
    </row>
    <row r="177" spans="1:6">
      <c r="A177" s="47" t="s"/>
      <c r="B177" s="47" t="s"/>
      <c r="C177" s="48" t="s"/>
      <c r="D177" s="47" t="s"/>
      <c r="E177" s="47" t="s"/>
      <c r="F177" s="47" t="s"/>
    </row>
    <row r="178" spans="1:6">
      <c r="A178" s="47" t="s"/>
      <c r="B178" s="47" t="s"/>
      <c r="C178" s="48" t="s"/>
      <c r="D178" s="47" t="s"/>
      <c r="E178" s="47" t="s"/>
      <c r="F178" s="47" t="s"/>
    </row>
    <row r="179" spans="1:6">
      <c r="A179" s="47" t="s"/>
      <c r="B179" s="47" t="s"/>
      <c r="C179" s="48" t="s"/>
      <c r="D179" s="47" t="s"/>
      <c r="E179" s="47" t="s"/>
      <c r="F179" s="47" t="s"/>
    </row>
    <row r="180" spans="1:6">
      <c r="A180" s="47" t="s"/>
      <c r="B180" s="47" t="s"/>
      <c r="C180" s="48" t="s"/>
      <c r="D180" s="47" t="s"/>
      <c r="E180" s="47" t="s"/>
      <c r="F180" s="47" t="s"/>
    </row>
    <row r="181" spans="1:6">
      <c r="A181" s="47" t="s"/>
      <c r="B181" s="47" t="s"/>
      <c r="C181" s="48" t="s"/>
      <c r="D181" s="47" t="s"/>
      <c r="E181" s="47" t="s"/>
      <c r="F181" s="47" t="s"/>
    </row>
    <row r="182" spans="1:6">
      <c r="A182" s="47" t="s"/>
      <c r="B182" s="47" t="s"/>
      <c r="C182" s="48" t="s"/>
      <c r="D182" s="47" t="s"/>
      <c r="E182" s="47" t="s"/>
      <c r="F182" s="47" t="s"/>
    </row>
    <row r="183" spans="1:6">
      <c r="A183" s="47" t="s"/>
      <c r="B183" s="47" t="s"/>
      <c r="C183" s="48" t="s"/>
      <c r="D183" s="47" t="s"/>
      <c r="E183" s="47" t="s"/>
      <c r="F183" s="47" t="s"/>
    </row>
    <row r="184" spans="1:6">
      <c r="A184" s="47" t="s"/>
      <c r="B184" s="47" t="s"/>
      <c r="C184" s="48" t="s"/>
      <c r="D184" s="47" t="s"/>
      <c r="E184" s="47" t="s"/>
      <c r="F184" s="47" t="s"/>
    </row>
    <row r="185" spans="1:6">
      <c r="A185" s="47" t="s"/>
      <c r="B185" s="47" t="s"/>
      <c r="C185" s="48" t="s"/>
      <c r="D185" s="47" t="s"/>
      <c r="E185" s="47" t="s"/>
      <c r="F185" s="47" t="s"/>
    </row>
    <row r="186" spans="1:6">
      <c r="A186" s="47" t="s"/>
      <c r="B186" s="47" t="s"/>
      <c r="C186" s="48" t="s"/>
      <c r="D186" s="47" t="s"/>
      <c r="E186" s="47" t="s"/>
      <c r="F186" s="47" t="s"/>
    </row>
    <row r="187" spans="1:6">
      <c r="A187" s="47" t="s"/>
      <c r="B187" s="47" t="s"/>
      <c r="C187" s="48" t="s"/>
      <c r="D187" s="47" t="s"/>
      <c r="E187" s="47" t="s"/>
      <c r="F187" s="47" t="s"/>
    </row>
    <row r="188" spans="1:6">
      <c r="A188" s="47" t="s"/>
      <c r="B188" s="47" t="s"/>
      <c r="C188" s="48" t="s"/>
      <c r="D188" s="47" t="s"/>
      <c r="E188" s="47" t="s"/>
      <c r="F188" s="47" t="s"/>
    </row>
    <row r="189" spans="1:6">
      <c r="A189" s="47" t="s"/>
      <c r="B189" s="47" t="s"/>
      <c r="C189" s="48" t="s"/>
      <c r="D189" s="47" t="s"/>
      <c r="E189" s="47" t="s"/>
      <c r="F189" s="47" t="s"/>
    </row>
    <row r="190" spans="1:6">
      <c r="A190" s="47" t="s"/>
      <c r="B190" s="47" t="s"/>
      <c r="C190" s="48" t="s"/>
      <c r="D190" s="47" t="s"/>
      <c r="E190" s="47" t="s"/>
      <c r="F190" s="47" t="s"/>
    </row>
    <row r="191" spans="1:6">
      <c r="A191" s="47" t="s"/>
      <c r="B191" s="47" t="s"/>
      <c r="C191" s="48" t="s"/>
      <c r="D191" s="47" t="s"/>
      <c r="E191" s="47" t="s"/>
      <c r="F191" s="47" t="s"/>
    </row>
    <row r="192" spans="1:6">
      <c r="A192" s="47" t="s"/>
      <c r="B192" s="47" t="s"/>
      <c r="C192" s="48" t="s"/>
      <c r="D192" s="47" t="s"/>
      <c r="E192" s="47" t="s"/>
      <c r="F192" s="47" t="s"/>
    </row>
    <row r="193" spans="1:6">
      <c r="A193" s="47" t="s"/>
      <c r="B193" s="47" t="s"/>
      <c r="C193" s="48" t="s"/>
      <c r="D193" s="47" t="s"/>
      <c r="E193" s="47" t="s"/>
      <c r="F193" s="47" t="s"/>
    </row>
    <row r="194" spans="1:6">
      <c r="A194" s="47" t="s"/>
      <c r="B194" s="47" t="s"/>
      <c r="C194" s="48" t="s"/>
      <c r="D194" s="47" t="s"/>
      <c r="E194" s="47" t="s"/>
      <c r="F194" s="47" t="s"/>
    </row>
    <row r="195" spans="1:6">
      <c r="A195" s="47" t="s"/>
      <c r="B195" s="47" t="s"/>
      <c r="C195" s="48" t="s"/>
      <c r="D195" s="47" t="s"/>
      <c r="E195" s="47" t="s"/>
      <c r="F195" s="47" t="s"/>
    </row>
    <row r="196" spans="1:6">
      <c r="A196" s="47" t="s"/>
      <c r="B196" s="47" t="s"/>
      <c r="C196" s="48" t="s"/>
      <c r="D196" s="47" t="s"/>
      <c r="E196" s="47" t="s"/>
      <c r="F196" s="47" t="s"/>
    </row>
    <row r="197" spans="1:6">
      <c r="A197" s="47" t="s"/>
      <c r="B197" s="47" t="s"/>
      <c r="C197" s="48" t="s"/>
      <c r="D197" s="47" t="s"/>
      <c r="E197" s="47" t="s"/>
      <c r="F197" s="47" t="s"/>
    </row>
    <row r="198" spans="1:6">
      <c r="A198" s="47" t="s"/>
      <c r="B198" s="47" t="s"/>
      <c r="C198" s="48" t="s"/>
      <c r="D198" s="47" t="s"/>
      <c r="E198" s="47" t="s"/>
      <c r="F198" s="47" t="s"/>
    </row>
    <row r="199" spans="1:6">
      <c r="A199" s="47" t="s"/>
      <c r="B199" s="47" t="s"/>
      <c r="C199" s="48" t="s"/>
      <c r="D199" s="47" t="s"/>
      <c r="E199" s="47" t="s"/>
      <c r="F199" s="47" t="s"/>
    </row>
    <row r="200" spans="1:6">
      <c r="A200" s="47" t="s"/>
      <c r="B200" s="47" t="s"/>
      <c r="C200" s="48" t="s"/>
      <c r="D200" s="47" t="s"/>
      <c r="E200" s="47" t="s"/>
      <c r="F200" s="47" t="s"/>
    </row>
    <row r="201" spans="1:6">
      <c r="A201" s="47" t="s"/>
      <c r="B201" s="47" t="s"/>
      <c r="C201" s="48" t="s"/>
      <c r="D201" s="47" t="s"/>
      <c r="E201" s="47" t="s"/>
      <c r="F201" s="47" t="s"/>
    </row>
    <row r="202" spans="1:6">
      <c r="A202" s="47" t="s"/>
      <c r="B202" s="47" t="s"/>
      <c r="C202" s="48" t="s"/>
      <c r="D202" s="47" t="s"/>
      <c r="E202" s="47" t="s"/>
      <c r="F202" s="47" t="s"/>
    </row>
    <row r="203" spans="1:6">
      <c r="A203" s="47" t="s"/>
      <c r="B203" s="47" t="s"/>
      <c r="C203" s="48" t="s"/>
      <c r="D203" s="47" t="s"/>
      <c r="E203" s="47" t="s"/>
      <c r="F203" s="47" t="s"/>
    </row>
    <row r="204" spans="1:6">
      <c r="A204" s="47" t="s"/>
      <c r="B204" s="47" t="s"/>
      <c r="C204" s="48" t="s"/>
      <c r="D204" s="47" t="s"/>
      <c r="E204" s="47" t="s"/>
      <c r="F204" s="47" t="s"/>
    </row>
    <row r="205" spans="1:6">
      <c r="A205" s="47" t="s"/>
      <c r="B205" s="47" t="s"/>
      <c r="C205" s="48" t="s"/>
      <c r="D205" s="47" t="s"/>
      <c r="E205" s="47" t="s"/>
      <c r="F205" s="47" t="s"/>
    </row>
    <row r="206" spans="1:6">
      <c r="A206" s="47" t="s"/>
      <c r="B206" s="47" t="s"/>
      <c r="C206" s="48" t="s"/>
      <c r="D206" s="47" t="s"/>
      <c r="E206" s="47" t="s"/>
      <c r="F206" s="47" t="s"/>
    </row>
    <row r="207" spans="1:6">
      <c r="A207" s="47" t="s"/>
      <c r="B207" s="47" t="s"/>
      <c r="C207" s="48" t="s"/>
      <c r="D207" s="47" t="s"/>
      <c r="E207" s="47" t="s"/>
      <c r="F207" s="47" t="s"/>
    </row>
    <row r="208" spans="1:6">
      <c r="A208" s="47" t="s"/>
      <c r="B208" s="47" t="s"/>
      <c r="C208" s="48" t="s"/>
      <c r="D208" s="47" t="s"/>
      <c r="E208" s="47" t="s"/>
      <c r="F208" s="47" t="s"/>
    </row>
    <row r="209" spans="1:6">
      <c r="A209" s="47" t="s"/>
      <c r="B209" s="47" t="s"/>
      <c r="C209" s="48" t="s"/>
      <c r="D209" s="47" t="s"/>
      <c r="E209" s="47" t="s"/>
      <c r="F209" s="47" t="s"/>
    </row>
    <row r="210" spans="1:6">
      <c r="A210" s="47" t="s"/>
      <c r="B210" s="47" t="s"/>
      <c r="C210" s="48" t="s"/>
      <c r="D210" s="47" t="s"/>
      <c r="E210" s="47" t="s"/>
      <c r="F210" s="47" t="s"/>
    </row>
    <row r="211" spans="1:6">
      <c r="A211" s="47" t="s"/>
      <c r="B211" s="47" t="s"/>
      <c r="C211" s="48" t="s"/>
      <c r="D211" s="47" t="s"/>
      <c r="E211" s="47" t="s"/>
      <c r="F211" s="47" t="s"/>
    </row>
  </sheetData>
  <mergeCells count="8">
    <mergeCell ref="A7:A17"/>
    <mergeCell ref="B7:B17"/>
    <mergeCell ref="C7:C10"/>
    <mergeCell ref="C11:C15"/>
    <mergeCell ref="A18:A22"/>
    <mergeCell ref="B18:B22"/>
    <mergeCell ref="A23:A27"/>
    <mergeCell ref="B23:B27"/>
  </mergeCells>
</worksheet>
</file>

<file path=xl/worksheets/sheet5.xml><?xml version="1.0" encoding="utf-8"?>
<worksheet xmlns="http://schemas.openxmlformats.org/spreadsheetml/2006/main">
  <sheetPr codeName="跨部门协作需求">
    <tabColor/>
  </sheetPr>
  <dimension ref="L5"/>
  <sheetViews>
    <sheetView showGridLines="true" workbookViewId="0"/>
  </sheetViews>
  <sheetFormatPr baseColWidth="13" defaultRowHeight="18" customHeight="true"/>
  <cols>
    <col min="1" max="2" width="13.7109" customWidth="true"/>
    <col min="3" max="3" width="29.7109" customWidth="true"/>
    <col min="4" max="12" width="13.7109" customWidth="true"/>
  </cols>
  <sheetData>
    <row r="1" spans="1:12">
      <c r="A1" s="49" t="s">
        <v>92</v>
      </c>
      <c r="B1" s="49" t="s">
        <v>93</v>
      </c>
      <c r="C1" s="49" t="s">
        <v>94</v>
      </c>
      <c r="D1" s="50" t="s">
        <v>95</v>
      </c>
      <c r="E1" s="49" t="s">
        <v>96</v>
      </c>
      <c r="F1" s="49" t="s">
        <v>97</v>
      </c>
      <c r="G1" s="49" t="s">
        <v>98</v>
      </c>
      <c r="H1" s="49" t="s">
        <v>99</v>
      </c>
      <c r="I1" s="49" t="s">
        <v>100</v>
      </c>
      <c r="J1" s="49" t="s">
        <v>101</v>
      </c>
      <c r="K1" s="51" t="s">
        <v>102</v>
      </c>
      <c r="L1" s="49" t="s">
        <v>103</v>
      </c>
    </row>
    <row r="2" spans="1:12">
      <c r="A2" s="52" t="s">
        <v>104</v>
      </c>
      <c r="B2" s="52" t="s">
        <v>105</v>
      </c>
      <c r="C2" s="52" t="s">
        <v>106</v>
      </c>
      <c r="D2" s="53">
        <v>46203</v>
      </c>
      <c r="E2" s="47" t="s"/>
      <c r="F2" s="47" t="s"/>
      <c r="G2" s="52" t="s">
        <v>107</v>
      </c>
      <c r="H2" s="52" t="s">
        <v>108</v>
      </c>
      <c r="I2" s="47" t="s"/>
      <c r="J2" s="52" t="s">
        <v>109</v>
      </c>
      <c r="K2" s="52" t="s">
        <v>110</v>
      </c>
      <c r="L2" s="52" t="s">
        <v>111</v>
      </c>
    </row>
    <row r="3" spans="1:12">
      <c r="A3" s="52" t="s">
        <v>105</v>
      </c>
      <c r="B3" s="52" t="s">
        <v>112</v>
      </c>
      <c r="C3" s="52" t="s">
        <v>113</v>
      </c>
      <c r="D3" s="53">
        <v>46336</v>
      </c>
      <c r="E3" s="53">
        <v>46356</v>
      </c>
      <c r="F3" s="47" t="s"/>
      <c r="G3" s="52" t="s">
        <v>107</v>
      </c>
      <c r="H3" s="52" t="s">
        <v>108</v>
      </c>
      <c r="I3" s="47" t="s"/>
      <c r="J3" s="52" t="s">
        <v>114</v>
      </c>
      <c r="K3" s="52" t="s">
        <v>110</v>
      </c>
      <c r="L3" s="52" t="s">
        <v>115</v>
      </c>
    </row>
    <row r="4" spans="1:12">
      <c r="A4" s="52" t="s">
        <v>105</v>
      </c>
      <c r="B4" s="52" t="s">
        <v>104</v>
      </c>
      <c r="C4" s="52" t="s">
        <v>116</v>
      </c>
      <c r="D4" s="54" t="s">
        <v>117</v>
      </c>
      <c r="E4" s="52" t="s">
        <v>118</v>
      </c>
      <c r="F4" s="47" t="s"/>
      <c r="G4" s="52" t="s">
        <v>107</v>
      </c>
      <c r="H4" s="47" t="s">
        <v>108</v>
      </c>
      <c r="I4" s="47" t="s"/>
      <c r="J4" s="52" t="s">
        <v>119</v>
      </c>
      <c r="K4" s="52" t="s">
        <v>120</v>
      </c>
      <c r="L4" s="52" t="s">
        <v>121</v>
      </c>
    </row>
    <row r="5" spans="1:12">
      <c r="A5" s="47" t="s"/>
      <c r="B5" s="47" t="s"/>
      <c r="C5" s="47" t="s"/>
      <c r="D5" s="47" t="s"/>
      <c r="E5" s="47" t="s"/>
      <c r="F5" s="47" t="s"/>
      <c r="G5" s="47" t="s"/>
      <c r="H5" s="47" t="s"/>
      <c r="I5" s="47" t="s"/>
      <c r="J5" s="47" t="s"/>
      <c r="K5" s="47" t="s"/>
      <c r="L5" s="4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2026-04-29T15:45:27Z</dcterms:created>
  <dcterms:modified xsi:type="dcterms:W3CDTF">2026-04-29T15:45:27Z</dcterms:modified>
</cp:coreProperties>
</file>