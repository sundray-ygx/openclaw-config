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worksheets/sheet2.xml" ContentType="application/vnd.openxmlformats-officedocument.spreadsheetml.worksheet+xml"/>
  <Override PartName="/docProps/app.xml" ContentType="application/vnd.openxmlformats-officedocument.extended-properties+xml"/>
  <Override PartName="/xl/drawings/drawing1.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4.xml" ContentType="application/vnd.openxmlformats-officedocument.spreadsheetml.worksheet+xml"/>
  <Override PartName="/xl/theme/theme1.xml" ContentType="application/vnd.openxmlformats-officedocument.theme+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2026OKR表" sheetId="1" r:id="rId3"/>
    <sheet name="硬件人力甘特图" sheetId="2" r:id="rId4"/>
    <sheet name="业务投资地图-26年" sheetId="3" r:id="rId5"/>
    <sheet name="全局硬件人力干特图（含供应链）" sheetId="4" r:id="rId6"/>
  </sheets>
  <calcPr calcId="191029"/>
</workbook>
</file>

<file path=xl/sharedStrings.xml><?xml version="1.0" encoding="utf-8"?>
<sst xmlns="http://schemas.openxmlformats.org/spreadsheetml/2006/main" count="250" uniqueCount="250">
  <si>
    <t/>
  </si>
  <si>
    <t>业务投资分解</t>
  </si>
  <si>
    <t>业务</t>
  </si>
  <si>
    <t>业务方向</t>
  </si>
  <si>
    <t>硬件型号</t>
  </si>
  <si>
    <t>预期发布时间(硬件发布)</t>
  </si>
  <si>
    <t>子方向</t>
  </si>
  <si>
    <t>开发（人月）</t>
  </si>
  <si>
    <t>硬件项目开发</t>
  </si>
  <si>
    <t>无线-零中断2.0</t>
  </si>
  <si>
    <t>基站板卡CAP-BC-G7
中心基站CAP-780
功分单元一分二RFU-PD2
功分单元一分八RFU-PD8</t>
  </si>
  <si>
    <t>1.DVT测试回归</t>
  </si>
  <si>
    <t>2.小批量生产&amp;产测开发</t>
  </si>
  <si>
    <t>3.beta测试&amp;部署场景</t>
  </si>
  <si>
    <t>4.价值传递及技术白皮书发布</t>
  </si>
  <si>
    <t>5.发布半年内研发对口维护&amp;产品竞争力提升</t>
  </si>
  <si>
    <t>有线-国产化框</t>
  </si>
  <si>
    <t>阶段一：
TS79-MU-M3-E搭配博通线卡推出TS7905</t>
  </si>
  <si>
    <t>小批量验收&amp;量产</t>
  </si>
  <si>
    <t>阶段二：
线卡TS79-LC-48V2CQ-XE（CTC8120）
线卡TS79-LC-24T18X-XD（CTC7132）</t>
  </si>
  <si>
    <t>1.DVT样机开发（受芯片供应影响，调整优先级）</t>
  </si>
  <si>
    <t>阶段三：补齐TS7906 TS7914所需的卡
主控TS79-MSU-S11（CTC8120）
线卡TS79-LC-12C-XE（CTC8120）
TS79-LC-40S12X-XD（CTC7132）
TS79-LC-24T16S12X-XD（CTC7132）</t>
  </si>
  <si>
    <t>待第二阶段完成，EVT-&gt;PVT全流程开发</t>
  </si>
  <si>
    <t>有线-国产化盒式主芯片替代
（芯片供应问题）</t>
  </si>
  <si>
    <t>NS5320-54X-EI-48T（CTC5118）
NS5320-30X-PWR-EI-24T（CTC5118）
NS5320-54X-PWR-EI-48T（CTC5118）
NS5360-54X-EI-48S（CTC5118）
NS6320-26CQ-EI-24X（CTC7132）
NS6320-26V-EI-12T6X8V（CTC7132）
NS6320-50V-EI-24T18X（CTC7132）</t>
  </si>
  <si>
    <t>1.P2P的盛科替代芯片替代性评估&amp;CBB设计</t>
  </si>
  <si>
    <t>2.第一块卡优先改版，通过后并行开展后续板卡</t>
  </si>
  <si>
    <t>3.小批量验收测试</t>
  </si>
  <si>
    <t>有线-全光5.0</t>
  </si>
  <si>
    <t>波分器：CWDMM-A4-S+CWDMM-A4-H
光模块：100G+40G+25G CWDM</t>
  </si>
  <si>
    <t>硬件适配</t>
  </si>
  <si>
    <t>无线-国产化WIFI7-AP-硬件适配</t>
  </si>
  <si>
    <t>吸顶2+2</t>
  </si>
  <si>
    <t>适配组构建后对齐细节时间</t>
  </si>
  <si>
    <t>外网EAP一分八</t>
  </si>
  <si>
    <t>EAP</t>
  </si>
  <si>
    <t>交换机-国产化框适配</t>
  </si>
  <si>
    <t>TS79-LC-48V2CQ-XE（CTC8120）
TS79-LC-24T18X-XD（CTC7132）</t>
  </si>
  <si>
    <t>主控TS79-MSU-S11（CTC8120）
线卡TS79-LC-12C-XE（CTC8120）
TS79-LC-40S12X-XD（CTC7132）
TS79-LC-24T16S12X-XD（CTC7132）</t>
  </si>
  <si>
    <t>交换机-蜂速PoF盒式适配</t>
  </si>
  <si>
    <t>HS5120-30X-PWR-SI-24HM</t>
  </si>
  <si>
    <t>交换机-蜂速远端模块适配</t>
  </si>
  <si>
    <t>HS3000RU-10X-PWR-SI-8T</t>
  </si>
  <si>
    <t>供应保障专项</t>
  </si>
  <si>
    <t>供应保障流程建设与平台基础打造</t>
  </si>
  <si>
    <t>在售硬件SKU</t>
  </si>
  <si>
    <t>/</t>
  </si>
  <si>
    <t>通过AI落地，对现有的产品BOM进行大范围精细化梳理，构建供应连续性保障平台</t>
  </si>
  <si>
    <t>质量提升专项</t>
  </si>
  <si>
    <t>端到端硬件质量管控流程建设
与平台基础打造</t>
  </si>
  <si>
    <t>通过AI落地，降低质量运营成本
专项的硬件平台/Skill保障事前、事中、事后的端到端硬件质量管控</t>
  </si>
  <si>
    <t>降本专项（竞争力）</t>
  </si>
  <si>
    <t>成本优化</t>
  </si>
  <si>
    <t>针对在售产品的BOM成本优化和设计优化与国产化
设计验证评估和导入测试</t>
  </si>
  <si>
    <t>创新探索</t>
  </si>
  <si>
    <t>下一代零漫游场景化</t>
  </si>
  <si>
    <t>下一代工业网关</t>
  </si>
  <si>
    <t>低成本性价比工业网关</t>
  </si>
  <si>
    <t>下一代低成本国产化控制平台</t>
  </si>
  <si>
    <t>1、x86架构的NMC-8620等同规格的国产化平替
2、SIG系列的国产化平替</t>
  </si>
  <si>
    <t>下一代全光</t>
  </si>
  <si>
    <t>对标友商的全光方案</t>
  </si>
  <si>
    <t>硬件抽象层平台建设</t>
  </si>
  <si>
    <t>基于新产品的新架构探索</t>
  </si>
  <si>
    <t>总</t>
  </si>
  <si>
    <t>研发投资地图</t>
  </si>
  <si>
    <t>战场</t>
  </si>
  <si>
    <t>现需开发</t>
  </si>
  <si>
    <t>现需开发人力</t>
  </si>
  <si>
    <t>人力</t>
  </si>
  <si>
    <t>缺口</t>
  </si>
  <si>
    <t>补齐后
人力</t>
  </si>
  <si>
    <t>降本专项
（竞争力）</t>
  </si>
  <si>
    <t>总人数</t>
  </si>
  <si>
    <t>现有</t>
  </si>
  <si>
    <t>整体人力甘特图</t>
  </si>
  <si>
    <t>团队人力</t>
  </si>
  <si>
    <t>2026年</t>
  </si>
  <si>
    <t>姓名</t>
  </si>
  <si>
    <t>岗位</t>
  </si>
  <si>
    <t>团队代号</t>
  </si>
  <si>
    <t>4月</t>
  </si>
  <si>
    <t>5月</t>
  </si>
  <si>
    <t>6月</t>
  </si>
  <si>
    <t>7月</t>
  </si>
  <si>
    <t>8月</t>
  </si>
  <si>
    <t>9月</t>
  </si>
  <si>
    <t>10月</t>
  </si>
  <si>
    <t>11月</t>
  </si>
  <si>
    <t>12月</t>
  </si>
  <si>
    <t>张文涛</t>
  </si>
  <si>
    <t>主管</t>
  </si>
  <si>
    <t>管理/供应/质量/硬件规划洞察</t>
  </si>
  <si>
    <t>管理/供应/质量/创新</t>
  </si>
  <si>
    <t>冯小龙</t>
  </si>
  <si>
    <t>开发组组长</t>
  </si>
  <si>
    <t>有线无线一体化开发组</t>
  </si>
  <si>
    <t>零中断2.0</t>
  </si>
  <si>
    <t>零中断2.0/降本</t>
  </si>
  <si>
    <t>硬件规划洞察</t>
  </si>
  <si>
    <t>27年硬件规划</t>
  </si>
  <si>
    <t>胡嘉昕</t>
  </si>
  <si>
    <t>硬件开发</t>
  </si>
  <si>
    <t>全光5.0/国产化框</t>
  </si>
  <si>
    <t>国产化框/降本</t>
  </si>
  <si>
    <t>全光5.0/国产化框/降本</t>
  </si>
  <si>
    <t>国产化框/国产化盒式主芯片替代</t>
  </si>
  <si>
    <t>国产化盒式主芯片替代</t>
  </si>
  <si>
    <t>彭真</t>
  </si>
  <si>
    <t>国产化盒式主芯片替代/降本</t>
  </si>
  <si>
    <t>漆江华</t>
  </si>
  <si>
    <t>组长</t>
  </si>
  <si>
    <t>平台支撑组</t>
  </si>
  <si>
    <t>国产化框</t>
  </si>
  <si>
    <t>彭晨跑</t>
  </si>
  <si>
    <t>硬件开发+AI</t>
  </si>
  <si>
    <t>AI/创新/降本</t>
  </si>
  <si>
    <t>AI/射频预研</t>
  </si>
  <si>
    <t>张威</t>
  </si>
  <si>
    <t>硬件开发+质量</t>
  </si>
  <si>
    <t>国产化框/技术支持</t>
  </si>
  <si>
    <t>谢鹏</t>
  </si>
  <si>
    <t>葛剑鹏</t>
  </si>
  <si>
    <t>阁晓聪</t>
  </si>
  <si>
    <t>硬件测试</t>
  </si>
  <si>
    <t>应届生1</t>
  </si>
  <si>
    <t>平台支撑组-
测试经理方向</t>
  </si>
  <si>
    <t>应届生2</t>
  </si>
  <si>
    <t>开发组-光方向</t>
  </si>
  <si>
    <t>应届生3</t>
  </si>
  <si>
    <t>开发组-射频方向</t>
  </si>
  <si>
    <t>梁文锦</t>
  </si>
  <si>
    <t>系统架构师</t>
  </si>
  <si>
    <t>平台适配组</t>
  </si>
  <si>
    <t>已沟通，意愿没问题，目标明确，深入代码架构分析落地边界，整套框架设计，跟产线主管暂定半年-1年在岗，后续将经验沉淀给适配组。</t>
  </si>
  <si>
    <t>陈炜俊</t>
  </si>
  <si>
    <t>底层开发工程师</t>
  </si>
  <si>
    <t>已沟通，意愿没问题，有信心，对硬件感兴趣，接受挑战，有网关和交换机的适配经验，可直接上手，后续接替架构师后，带领1-2新人承接适配工作。</t>
  </si>
  <si>
    <t>社招</t>
  </si>
  <si>
    <t>一体化测试经理</t>
  </si>
  <si>
    <t>与三产线主管沟通，没有合适人选，需要外招（目标招已经转型后的比如华三中兴这类原本已经有中台的公司的软硬件测试工程师）</t>
  </si>
  <si>
    <t>版本人力甘特图</t>
  </si>
  <si>
    <t>版本-人力</t>
  </si>
  <si>
    <t>版本</t>
  </si>
  <si>
    <t>当月占比</t>
  </si>
  <si>
    <t>管理</t>
  </si>
  <si>
    <t>开发</t>
  </si>
  <si>
    <t>技术支持</t>
  </si>
  <si>
    <t>降本</t>
  </si>
  <si>
    <t>质量</t>
  </si>
  <si>
    <t>供应</t>
  </si>
  <si>
    <t>创新+预研</t>
  </si>
  <si>
    <t>规划</t>
  </si>
  <si>
    <t>汇总</t>
  </si>
  <si>
    <t>2026年部门业务目标管理表-----部门：硬件研发体系</t>
  </si>
  <si>
    <t>序号</t>
  </si>
  <si>
    <t>指标类别</t>
  </si>
  <si>
    <t>业务目标（O）</t>
  </si>
  <si>
    <t>意图</t>
  </si>
  <si>
    <t>KR关键成功因素（CSF)</t>
  </si>
  <si>
    <t>衡量指标</t>
  </si>
  <si>
    <t>目标值</t>
  </si>
  <si>
    <t>子权重</t>
  </si>
  <si>
    <t>权重</t>
  </si>
  <si>
    <t>统计周期</t>
  </si>
  <si>
    <t>考核周期</t>
  </si>
  <si>
    <t>备注</t>
  </si>
  <si>
    <t>供应维度</t>
  </si>
  <si>
    <t>全力保障供应，消除供应断货风险，确保销售连续性</t>
  </si>
  <si>
    <t>研发关口前移，通过器件选型把控和替代方案储备（引入AI进行大范围精细化梳理），从源头阻断缺货风险，不阻碍一线销售。</t>
  </si>
  <si>
    <t>KR1：新项目按时交付</t>
  </si>
  <si>
    <t>支撑未来供应，在O4中衡量</t>
  </si>
  <si>
    <t>季度</t>
  </si>
  <si>
    <t>年度</t>
  </si>
  <si>
    <t>KR2：消除单一供应风险</t>
  </si>
  <si>
    <t>关键器件（BOM成本&gt;3%或不可替代）独家供应占比</t>
  </si>
  <si>
    <t>≤3%</t>
  </si>
  <si>
    <t>KR3：实现长周期物料零断供</t>
  </si>
  <si>
    <t>因缺料导致的停线次数/销售订单损失</t>
  </si>
  <si>
    <t>0次/0元</t>
  </si>
  <si>
    <t>KR4：建立替代料快速响应机制</t>
  </si>
  <si>
    <t>紧急替代料验证周期（从需求到可量产）</t>
  </si>
  <si>
    <t>≤15个工作日</t>
  </si>
  <si>
    <t>质量维度</t>
  </si>
  <si>
    <t>质量内建，零批次事故</t>
  </si>
  <si>
    <t>返工、召回是最大的成本浪费，建立全部产品的生命周期管理机制，硬件规范中心，硬件质量全景图。摒弃过往被动依赖上游供应商提供答复的模式，转为主动追根溯源、深挖问题本质。</t>
  </si>
  <si>
    <t>KR1：保障产品可靠性，包含来料质量，制程，质量运营</t>
  </si>
  <si>
    <t>市场硬件返修率 / 重大质量事故</t>
  </si>
  <si>
    <t>≤0.1% / 0次</t>
  </si>
  <si>
    <t>通过AI落地，降低质量运营成本。专项的硬件Skill保障事前、事中、事后的端到端硬件质量管控。</t>
  </si>
  <si>
    <t>KR2：零批次事故</t>
  </si>
  <si>
    <t>造成返工、召回的批次事故</t>
  </si>
  <si>
    <t>≤0次</t>
  </si>
  <si>
    <t>建立预警机制，专员主动跟进，提前识别。</t>
  </si>
  <si>
    <t>KR3：客户满意度的评价指标及满足度得分</t>
  </si>
  <si>
    <t>实现优质的评价机制及满意度表现优秀</t>
  </si>
  <si>
    <t>降本维度</t>
  </si>
  <si>
    <t>安全降本，提升产品竞争力</t>
  </si>
  <si>
    <t>只能在"供应安全且质量稳定"的前提下进行，不通过独家供应商压价、降低可靠性标准降本。</t>
  </si>
  <si>
    <t>KR1：BOM成本优化</t>
  </si>
  <si>
    <t>包括不限于通过器件归一化（减少器件种类），优化制程等方式节省的采购成本，年度价值收益金额</t>
  </si>
  <si>
    <t>≥100万元</t>
  </si>
  <si>
    <t>必须满足：
①有二供 ②不影响MTBF ③不显著增加物料交期。</t>
  </si>
  <si>
    <t>KR2：设计优化与国产化</t>
  </si>
  <si>
    <t>通过设计简化、方案优化或国产替代实现的单机成本下降，年度价值收益金额</t>
  </si>
  <si>
    <t>国产替代必须通过同等可靠性验证。</t>
  </si>
  <si>
    <t>项目落地</t>
  </si>
  <si>
    <t>确保核心项目按期交付，支撑未来供应</t>
  </si>
  <si>
    <t>项目资源优先保障供应、质量与降本，同时对支撑未来供应能力与核心竞争力的重点项目，按关键里程碑推进实施，探索降低项目风险的方式，例如扩容平台部，组织能力提升。</t>
  </si>
  <si>
    <t>KR1：无线零中断2.0按期交付</t>
  </si>
  <si>
    <t>EVT/DVT/PVT关键里程碑按时达成率</t>
  </si>
  <si>
    <t>≥90%</t>
  </si>
  <si>
    <t>项目维度最高优先级保障。</t>
  </si>
  <si>
    <t>KR2：有线国产化澎湃框按期交付</t>
  </si>
  <si>
    <t>与KR1共享高优先级资源池。</t>
  </si>
  <si>
    <t>KR3：会议产品线上市交付支撑</t>
  </si>
  <si>
    <t>快速响应，支撑客户满意度无投诉</t>
  </si>
  <si>
    <t>0次</t>
  </si>
  <si>
    <t>KR4：确保战略落地的规划开展</t>
  </si>
  <si>
    <t>追踪前沿硬件技术，定期拜访客户，根据战略拆解的规划高质量交付数量</t>
  </si>
  <si>
    <t>≥3</t>
  </si>
  <si>
    <t>包括下一代全光、国产化AP、下一代EAP等具备竞争力的创新、面向AI的下一代物联网。</t>
  </si>
  <si>
    <t>团队建设</t>
  </si>
  <si>
    <t>创新与组织，基础能力沉淀</t>
  </si>
  <si>
    <t>不追求颠覆式技术创新，而是将创新聚焦于用AI和数据工具，固化、规模化我们在供应、质量、降本领域的核心能力与经验。成为业界领先的硬件AI研发部。</t>
  </si>
  <si>
    <t>KR1：AI-Native for 硬件团队能力变革，落地</t>
  </si>
  <si>
    <t>在器件选型风险筛查、SCH PCB设计审查、测试报告分析等至少3个场景实现AI工具落地并产生有效预警/优化建议/工作效能明显提升的案例数</t>
  </si>
  <si>
    <t>≥3个</t>
  </si>
  <si>
    <t>KR2：关键岗位100%完成1:2后备</t>
  </si>
  <si>
    <t>有线无线硬件工程能力一体化掌握能力人数覆盖率</t>
  </si>
  <si>
    <t>KR3：沉淀降本方法论，落地</t>
  </si>
  <si>
    <t>建立可供多产品线，多业务类型复用的硬件降本Checklist/Skill</t>
  </si>
  <si>
    <t>发布并培训100%覆盖，实训</t>
  </si>
  <si>
    <t>KR4：建立硬件风险与知识库，落地</t>
  </si>
  <si>
    <t>收录器件失效、替代、供应风险等典型案例数量
硬件经验的沉淀通过AI赋能</t>
  </si>
  <si>
    <t>≥50个</t>
  </si>
  <si>
    <t>35-37</t>
  </si>
  <si>
    <t>2025.06.30</t>
  </si>
  <si>
    <t>2011.06.30</t>
  </si>
  <si>
    <t>2016.06.30</t>
  </si>
  <si>
    <t>31-34</t>
  </si>
  <si>
    <t>2018.06.30</t>
  </si>
  <si>
    <t>2014.06.30</t>
  </si>
  <si>
    <t>2020.07.01</t>
  </si>
  <si>
    <t>新人1</t>
  </si>
  <si>
    <t>测试方向</t>
  </si>
  <si>
    <t>新人2</t>
  </si>
  <si>
    <t>光方向</t>
  </si>
  <si>
    <t>新人3</t>
  </si>
  <si>
    <t>射频方向</t>
  </si>
</sst>
</file>

<file path=xl/styles.xml><?xml version="1.0" encoding="utf-8"?>
<styleSheet xmlns="http://schemas.openxmlformats.org/spreadsheetml/2006/main">
  <numFmts count="12">
    <numFmt numFmtId="300" formatCode="yyyy/m/d;@"/>
    <numFmt numFmtId="301" formatCode="#,##0.00_ "/>
    <numFmt numFmtId="302" formatCode="0.00_);[Red](0.00)"/>
    <numFmt numFmtId="303" formatCode="0_);[Red](0)"/>
    <numFmt numFmtId="304" formatCode="yyyy-mm-dd"/>
    <numFmt numFmtId="305" formatCode="yyyy\.mm\.dd"/>
    <numFmt numFmtId="306" formatCode="General"/>
    <numFmt numFmtId="307" formatCode="0%"/>
    <numFmt numFmtId="308" formatCode="_ &quot;￥&quot;* #,##0.00_ ;_ &quot;￥&quot;* \-#,##0.00_ ;_ &quot;￥&quot;* &quot;-&quot;??_ ;_ @_ "/>
    <numFmt numFmtId="309" formatCode="_ * #,##0_ ;_ * \-#,##0_ ;_ * &quot;-&quot;_ ;_ @_ "/>
    <numFmt numFmtId="310" formatCode="_ * #,##0.00_ ;_ * \-#,##0.00_ ;_ * &quot;-&quot;??_ ;_ @_ "/>
    <numFmt numFmtId="311" formatCode="_ &quot;￥&quot;* #,##0_ ;_ &quot;￥&quot;* \-#,##0_ ;_ &quot;￥&quot;* &quot;-&quot;_ ;_ @_ "/>
  </numFmts>
  <fonts count="54">
    <font>
      <name val="宋体"/>
      <charset val="134"/>
      <color theme="1"/>
      <sz val="11"/>
      <scheme val="minor"/>
    </font>
    <font>
      <name val="等线"/>
      <charset val="134"/>
      <color rgb="FF175CEB"/>
      <sz val="10"/>
      <u/>
      <scheme val="minor"/>
    </font>
    <font>
      <name val="Segoe UI Symbol"/>
      <family val="2"/>
      <color rgb="FF000000"/>
      <sz val="10"/>
    </font>
    <font>
      <name val="Microsoft YaHei"/>
      <sz val="10"/>
    </font>
    <font>
      <name val="Microsoft YaHei"/>
      <color rgb="FFFF0000"/>
      <sz val="12"/>
    </font>
    <font/>
    <font>
      <name val="Microsoft YaHei"/>
    </font>
    <font>
      <name val="Microsoft YaHei"/>
      <sz val="12"/>
    </font>
    <font>
      <name val="Microsoft YaHei"/>
      <sz val="11"/>
    </font>
    <font>
      <name val="Microsoft YaHei"/>
      <b val="true"/>
    </font>
    <font>
      <name val="Microsoft YaHei"/>
      <b val="true"/>
      <sz val="10"/>
    </font>
    <font>
      <name val="Microsoft YaHei"/>
      <charset val="134"/>
      <b val="true"/>
      <color theme="1"/>
      <sz val="16"/>
      <scheme val="minor"/>
    </font>
    <font>
      <name val="宋体"/>
      <charset val="134"/>
      <b val="true"/>
      <color theme="1"/>
      <sz val="16"/>
      <scheme val="minor"/>
    </font>
    <font>
      <name val="Microsoft YaHei"/>
      <color theme="1"/>
      <sz val="12"/>
    </font>
    <font>
      <name val="Microsoft YaHei"/>
      <charset val="134"/>
      <b val="true"/>
      <sz val="12"/>
    </font>
    <font>
      <name val="Microsoft YaHei"/>
      <charset val="134"/>
      <color theme="1"/>
      <sz val="12"/>
      <scheme val="minor"/>
    </font>
    <font>
      <name val="Microsoft YaHei"/>
      <charset val="134"/>
      <b val="true"/>
      <color theme="1"/>
      <sz val="12"/>
      <scheme val="minor"/>
    </font>
    <font>
      <name val="宋体"/>
      <charset val="134"/>
      <b val="true"/>
      <color theme="1"/>
      <sz val="12"/>
      <scheme val="minor"/>
    </font>
    <font>
      <name val="宋体"/>
      <charset val="134"/>
      <color theme="1"/>
      <sz val="12"/>
      <scheme val="minor"/>
    </font>
    <font>
      <name val="宋体"/>
      <charset val="134"/>
      <b val="true"/>
      <color theme="1"/>
      <sz val="12"/>
    </font>
    <font>
      <name val="宋体"/>
      <charset val="134"/>
      <color theme="1"/>
      <sz val="12"/>
    </font>
    <font>
      <name val="宋体"/>
      <b val="true"/>
    </font>
    <font>
      <sz val="10"/>
    </font>
    <font>
      <name val="等线"/>
      <sz val="10"/>
    </font>
    <font>
      <name val="SimSun"/>
      <b val="true"/>
    </font>
    <font>
      <name val="宋体"/>
      <b val="true"/>
      <sz val="10"/>
    </font>
    <font>
      <name val="宋体"/>
      <sz val="10"/>
    </font>
    <font>
      <name val="SimSun"/>
      <sz val="10"/>
    </font>
    <font>
      <name val="SimSun"/>
      <color rgb="FF939393"/>
      <sz val="10"/>
    </font>
    <font>
      <name val="宋体"/>
      <color rgb="FF939393"/>
      <sz val="10"/>
    </font>
    <font>
      <name val="宋体"/>
    </font>
    <font>
      <name val="宋体"/>
      <color rgb="FFFF0000"/>
      <sz val="12"/>
    </font>
    <font>
      <name val="宋体"/>
      <sz val="12"/>
    </font>
    <font>
      <name val="宋体"/>
      <sz val="9"/>
    </font>
    <font>
      <name val="宋体"/>
      <charset val="134"/>
      <color theme="1"/>
      <sz val="11"/>
      <scheme val="minor"/>
    </font>
    <font>
      <name val="宋体"/>
      <charset val="0"/>
      <color rgb="FF800080"/>
      <sz val="11"/>
      <u/>
      <scheme val="minor"/>
    </font>
    <font>
      <name val="宋体"/>
      <charset val="0"/>
      <color theme="1"/>
      <sz val="11"/>
      <scheme val="minor"/>
    </font>
    <font>
      <name val="宋体"/>
      <charset val="0"/>
      <color rgb="FF0000FF"/>
      <sz val="11"/>
      <u/>
      <scheme val="minor"/>
    </font>
    <font>
      <name val="宋体"/>
      <charset val="0"/>
      <color theme="0"/>
      <sz val="11"/>
      <scheme val="minor"/>
    </font>
    <font>
      <name val="宋体"/>
      <charset val="0"/>
      <color rgb="FFFF0000"/>
      <sz val="11"/>
      <scheme val="minor"/>
    </font>
    <font>
      <name val="宋体"/>
      <charset val="0"/>
      <color rgb="FF006100"/>
      <sz val="11"/>
      <scheme val="minor"/>
    </font>
    <font>
      <name val="宋体"/>
      <charset val="134"/>
      <b val="true"/>
      <color theme="3"/>
      <sz val="18"/>
      <scheme val="minor"/>
    </font>
    <font>
      <name val="宋体"/>
      <charset val="134"/>
      <b val="true"/>
      <color theme="3"/>
      <sz val="11"/>
      <scheme val="minor"/>
    </font>
    <font>
      <name val="宋体"/>
      <charset val="0"/>
      <color rgb="FFFA7D00"/>
      <sz val="11"/>
      <scheme val="minor"/>
    </font>
    <font>
      <name val="宋体"/>
      <charset val="0"/>
      <b val="true"/>
      <color theme="1"/>
      <sz val="11"/>
      <scheme val="minor"/>
    </font>
    <font>
      <name val="宋体"/>
      <charset val="134"/>
      <b val="true"/>
      <color theme="3"/>
      <sz val="13"/>
      <scheme val="minor"/>
    </font>
    <font>
      <name val="宋体"/>
      <charset val="0"/>
      <b val="true"/>
      <color rgb="FFFFFFFF"/>
      <sz val="11"/>
      <scheme val="minor"/>
    </font>
    <font>
      <name val="宋体"/>
      <charset val="0"/>
      <b val="true"/>
      <color rgb="FFFA7D00"/>
      <sz val="11"/>
      <scheme val="minor"/>
    </font>
    <font>
      <name val="宋体"/>
      <charset val="0"/>
      <color rgb="FF3F3F76"/>
      <sz val="11"/>
      <scheme val="minor"/>
    </font>
    <font>
      <name val="宋体"/>
      <charset val="0"/>
      <color rgb="FF9C0006"/>
      <sz val="11"/>
      <scheme val="minor"/>
    </font>
    <font>
      <name val="宋体"/>
      <charset val="0"/>
      <b val="true"/>
      <color rgb="FF3F3F3F"/>
      <sz val="11"/>
      <scheme val="minor"/>
    </font>
    <font>
      <name val="宋体"/>
      <charset val="0"/>
      <color rgb="FF9C6500"/>
      <sz val="11"/>
      <scheme val="minor"/>
    </font>
    <font>
      <name val="宋体"/>
      <charset val="0"/>
      <i val="true"/>
      <color rgb="FF7F7F7F"/>
      <sz val="11"/>
      <scheme val="minor"/>
    </font>
    <font>
      <name val="宋体"/>
      <charset val="134"/>
      <b val="true"/>
      <color theme="3"/>
      <sz val="15"/>
      <scheme val="minor"/>
    </font>
  </fonts>
  <fills count="46">
    <fill>
      <patternFill patternType="none"/>
    </fill>
    <fill>
      <patternFill patternType="gray125"/>
    </fill>
    <fill>
      <patternFill patternType="solid">
        <fgColor rgb="FFEAFAF1"/>
        <bgColor auto="true"/>
      </patternFill>
    </fill>
    <fill>
      <patternFill patternType="solid">
        <fgColor rgb="FFEAFAF1"/>
        <bgColor auto="true"/>
      </patternFill>
    </fill>
    <fill>
      <patternFill patternType="solid">
        <fgColor rgb="FF8CDDFA"/>
        <bgColor auto="true"/>
      </patternFill>
    </fill>
    <fill>
      <patternFill patternType="solid">
        <fgColor rgb="FF99CCFF"/>
        <bgColor auto="true"/>
      </patternFill>
    </fill>
    <fill>
      <patternFill patternType="solid">
        <fgColor rgb="FFFFCC00"/>
        <bgColor auto="true"/>
      </patternFill>
    </fill>
    <fill>
      <patternFill patternType="solid">
        <fgColor rgb="FFE5EFFF"/>
        <bgColor auto="true"/>
      </patternFill>
    </fill>
    <fill>
      <patternFill patternType="solid">
        <fgColor rgb="FFCCFFCC"/>
        <bgColor auto="true"/>
      </patternFill>
    </fill>
    <fill>
      <patternFill patternType="solid">
        <fgColor rgb="FFFFE9E8"/>
        <bgColor auto="true"/>
      </patternFill>
    </fill>
    <fill>
      <patternFill patternType="solid">
        <fgColor rgb="FFCCFFCC"/>
        <bgColor auto="true"/>
      </patternFill>
    </fill>
    <fill>
      <patternFill patternType="solid">
        <fgColor rgb="FFFFE9E8"/>
        <bgColor auto="true"/>
      </patternFill>
    </fill>
    <fill>
      <patternFill patternType="solid">
        <fgColor rgb="FFFDEBFF"/>
        <bgColor auto="true"/>
      </patternFill>
    </fill>
    <fill>
      <patternFill patternType="none"/>
    </fill>
    <fill>
      <patternFill patternType="solid">
        <fgColor rgb="FFFFFF00"/>
        <bgColor auto="true"/>
      </patternFill>
    </fill>
    <fill>
      <patternFill patternType="solid">
        <fgColor theme="8" tint="0.799982"/>
        <bgColor indexed="64"/>
      </patternFill>
    </fill>
    <fill>
      <patternFill patternType="solid">
        <fgColor theme="8"/>
        <bgColor indexed="64"/>
      </patternFill>
    </fill>
    <fill>
      <patternFill patternType="solid">
        <fgColor theme="8" tint="0.399976"/>
        <bgColor indexed="64"/>
      </patternFill>
    </fill>
    <fill>
      <patternFill patternType="solid">
        <fgColor theme="7" tint="0.799982"/>
        <bgColor indexed="64"/>
      </patternFill>
    </fill>
    <fill>
      <patternFill patternType="solid">
        <fgColor theme="6" tint="0.599994"/>
        <bgColor indexed="64"/>
      </patternFill>
    </fill>
    <fill>
      <patternFill patternType="solid">
        <fgColor theme="7"/>
        <bgColor indexed="64"/>
      </patternFill>
    </fill>
    <fill>
      <patternFill patternType="solid">
        <fgColor theme="7" tint="0.599994"/>
        <bgColor indexed="64"/>
      </patternFill>
    </fill>
    <fill>
      <patternFill patternType="solid">
        <fgColor theme="6" tint="0.399976"/>
        <bgColor indexed="64"/>
      </patternFill>
    </fill>
    <fill>
      <patternFill patternType="solid">
        <fgColor theme="7" tint="0.399976"/>
        <bgColor indexed="64"/>
      </patternFill>
    </fill>
    <fill>
      <patternFill patternType="solid">
        <fgColor rgb="FFC6EFCE"/>
        <bgColor indexed="64"/>
      </patternFill>
    </fill>
    <fill>
      <patternFill patternType="solid">
        <fgColor theme="9" tint="0.799982"/>
        <bgColor indexed="64"/>
      </patternFill>
    </fill>
    <fill>
      <patternFill patternType="solid">
        <fgColor theme="9"/>
        <bgColor indexed="64"/>
      </patternFill>
    </fill>
    <fill>
      <patternFill patternType="solid">
        <fgColor theme="9" tint="0.399976"/>
        <bgColor indexed="64"/>
      </patternFill>
    </fill>
    <fill>
      <patternFill patternType="solid">
        <fgColor theme="6"/>
        <bgColor indexed="64"/>
      </patternFill>
    </fill>
    <fill>
      <patternFill patternType="solid">
        <fgColor theme="9" tint="0.599994"/>
        <bgColor indexed="64"/>
      </patternFill>
    </fill>
    <fill>
      <patternFill patternType="solid">
        <fgColor rgb="FFA5A5A5"/>
        <bgColor indexed="64"/>
      </patternFill>
    </fill>
    <fill>
      <patternFill patternType="solid">
        <fgColor rgb="FFF2F2F2"/>
        <bgColor indexed="64"/>
      </patternFill>
    </fill>
    <fill>
      <patternFill patternType="solid">
        <fgColor rgb="FFFFCC99"/>
        <bgColor indexed="64"/>
      </patternFill>
    </fill>
    <fill>
      <patternFill patternType="solid">
        <fgColor rgb="FFFFFFCC"/>
        <bgColor indexed="64"/>
      </patternFill>
    </fill>
    <fill>
      <patternFill patternType="solid">
        <fgColor theme="8" tint="0.599994"/>
        <bgColor indexed="64"/>
      </patternFill>
    </fill>
    <fill>
      <patternFill patternType="solid">
        <fgColor rgb="FFFFC7CE"/>
        <bgColor indexed="64"/>
      </patternFill>
    </fill>
    <fill>
      <patternFill patternType="solid">
        <fgColor theme="4" tint="0.399976"/>
        <bgColor indexed="64"/>
      </patternFill>
    </fill>
    <fill>
      <patternFill patternType="solid">
        <fgColor theme="6" tint="0.799982"/>
        <bgColor indexed="64"/>
      </patternFill>
    </fill>
    <fill>
      <patternFill patternType="solid">
        <fgColor theme="4" tint="0.599994"/>
        <bgColor indexed="64"/>
      </patternFill>
    </fill>
    <fill>
      <patternFill patternType="solid">
        <fgColor theme="4" tint="0.799982"/>
        <bgColor indexed="64"/>
      </patternFill>
    </fill>
    <fill>
      <patternFill patternType="solid">
        <fgColor theme="4"/>
        <bgColor indexed="64"/>
      </patternFill>
    </fill>
    <fill>
      <patternFill patternType="solid">
        <fgColor rgb="FFFFEB9C"/>
        <bgColor indexed="64"/>
      </patternFill>
    </fill>
    <fill>
      <patternFill patternType="solid">
        <fgColor theme="5" tint="0.399976"/>
        <bgColor indexed="64"/>
      </patternFill>
    </fill>
    <fill>
      <patternFill patternType="solid">
        <fgColor theme="5" tint="0.599994"/>
        <bgColor indexed="64"/>
      </patternFill>
    </fill>
    <fill>
      <patternFill patternType="solid">
        <fgColor theme="5" tint="0.799982"/>
        <bgColor indexed="64"/>
      </patternFill>
    </fill>
    <fill>
      <patternFill patternType="solid">
        <fgColor theme="5"/>
        <bgColor indexed="64"/>
      </patternFill>
    </fill>
  </fills>
  <borders count="49">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rder>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FFCC00"/>
      </bottom>
    </border>
    <border>
      <left style="thin">
        <color rgb="FFFFCC00"/>
      </left>
      <right style="thin">
        <color rgb="FF000000"/>
      </right>
      <bottom style="thin">
        <color rgb="FFFFCC00"/>
      </bottom>
    </border>
    <border>
      <left style="thin">
        <color rgb="FFFFCC00"/>
      </left>
      <right style="thin">
        <color rgb="FF000000"/>
      </right>
    </border>
    <border>
      <left style="thin">
        <color rgb="FF000000"/>
      </left>
      <bottom style="thin">
        <color rgb="FF000000"/>
      </bottom>
    </border>
    <border>
      <left style="thin">
        <color rgb="FF000000"/>
      </left>
      <right style="thin">
        <color rgb="FF000000"/>
      </right>
      <top style="thin">
        <color rgb="FFFF9900"/>
      </top>
      <bottom style="thin">
        <color rgb="FF000000"/>
      </bottom>
    </border>
    <border>
      <left style="thin">
        <color auto="true"/>
      </left>
      <right style="thin">
        <color auto="true"/>
      </right>
      <top style="thin">
        <color auto="true"/>
      </top>
      <bottom style="thin">
        <color auto="true"/>
      </bottom>
      <diagonal/>
    </border>
    <border/>
    <border>
      <left style="thin">
        <color auto="true"/>
      </left>
      <right style="thin">
        <color auto="true"/>
      </right>
      <top style="thin">
        <color auto="true"/>
      </top>
      <bottom style="thin">
        <color auto="true"/>
      </bottom>
    </border>
    <border>
      <left style="thin">
        <color auto="true"/>
      </left>
      <right style="thin">
        <color auto="true"/>
      </right>
      <top style="thin">
        <color auto="true"/>
      </top>
      <bottom/>
      <diagonal/>
    </border>
    <border>
      <left style="thin">
        <color auto="true"/>
      </left>
      <right style="thin">
        <color auto="true"/>
      </right>
      <top/>
      <bottom/>
      <diagonal/>
    </border>
    <border>
      <left style="thin">
        <color auto="true"/>
      </left>
      <right style="thin">
        <color auto="true"/>
      </right>
      <top/>
      <bottom style="thin">
        <color auto="true"/>
      </bottom>
      <diagonal/>
    </border>
    <border>
      <left style="thin">
        <color rgb="FF99CCFF"/>
      </left>
      <top style="thin">
        <color rgb="FF99CCFF"/>
      </top>
    </border>
    <border>
      <top style="thin">
        <color rgb="FF000000"/>
      </top>
      <bottom style="thin">
        <color rgb="FF000000"/>
      </bottom>
    </border>
    <border>
      <left style="thin">
        <color rgb="FF000000"/>
      </left>
      <right style="thin">
        <color rgb="FF000000"/>
      </right>
      <top style="thin">
        <color rgb="FFFFCC00"/>
      </top>
      <bottom style="thin">
        <color rgb="FF000000"/>
      </bottom>
    </border>
    <border>
      <left style="thin">
        <color rgb="FF000000"/>
      </left>
      <right style="thin">
        <color rgb="FF000000"/>
      </right>
      <top style="thin">
        <color rgb="FFFFCC00"/>
      </top>
      <bottom style="thin">
        <color rgb="FFFFCC00"/>
      </bottom>
    </border>
    <border>
      <left style="thin">
        <color rgb="FF000000"/>
      </left>
      <right style="thin">
        <color rgb="FF000000"/>
      </right>
      <top style="thin">
        <color rgb="FFFFCC00"/>
      </top>
    </border>
    <border>
      <left style="thin">
        <color rgb="FF000000"/>
      </left>
      <top style="thin">
        <color rgb="FFFFCC00"/>
      </top>
    </border>
    <border>
      <left/>
      <right/>
      <top/>
      <bottom/>
      <diagonal/>
    </border>
    <border>
      <left/>
      <right/>
      <top/>
      <bottom/>
    </border>
    <border>
      <left/>
      <right/>
      <top/>
      <bottom style="medium">
        <color theme="4" tint="0.499985"/>
      </bottom>
      <diagonal/>
    </border>
    <border>
      <left/>
      <right/>
      <top/>
      <bottom style="double">
        <color rgb="FFFF8001"/>
      </bottom>
      <diagonal/>
    </border>
    <border>
      <left/>
      <right/>
      <top style="thin">
        <color theme="4"/>
      </top>
      <bottom style="double">
        <color theme="4"/>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xf numFmtId="306" fontId="34" fillId="0" borderId="39" xfId="0">
      <alignment vertical="center"/>
    </xf>
    <xf numFmtId="306" fontId="35" fillId="13" borderId="39" xfId="0">
      <alignment vertical="center"/>
    </xf>
    <xf numFmtId="306" fontId="36" fillId="15" borderId="39" xfId="0">
      <alignment vertical="center"/>
    </xf>
    <xf numFmtId="306" fontId="37" fillId="13" borderId="39" xfId="0">
      <alignment vertical="center"/>
    </xf>
    <xf numFmtId="306" fontId="38" fillId="16" borderId="39" xfId="0">
      <alignment vertical="center"/>
    </xf>
    <xf numFmtId="306" fontId="38" fillId="17" borderId="39" xfId="0">
      <alignment vertical="center"/>
    </xf>
    <xf numFmtId="306" fontId="39" fillId="13" borderId="39" xfId="0">
      <alignment vertical="center"/>
    </xf>
    <xf numFmtId="306" fontId="36" fillId="18" borderId="39" xfId="0">
      <alignment vertical="center"/>
    </xf>
    <xf numFmtId="307" fontId="34" fillId="13" borderId="39" xfId="0">
      <alignment vertical="center"/>
    </xf>
    <xf numFmtId="306" fontId="36" fillId="19" borderId="39" xfId="0">
      <alignment vertical="center"/>
    </xf>
    <xf numFmtId="308" fontId="34" fillId="13" borderId="39" xfId="0">
      <alignment vertical="center"/>
    </xf>
    <xf numFmtId="306" fontId="38" fillId="20" borderId="39" xfId="0">
      <alignment vertical="center"/>
    </xf>
    <xf numFmtId="309" fontId="34" fillId="13" borderId="39" xfId="0">
      <alignment vertical="center"/>
    </xf>
    <xf numFmtId="306" fontId="36" fillId="21" borderId="39" xfId="0">
      <alignment vertical="center"/>
    </xf>
    <xf numFmtId="306" fontId="38" fillId="22" borderId="39" xfId="0">
      <alignment vertical="center"/>
    </xf>
    <xf numFmtId="310" fontId="34" fillId="13" borderId="39" xfId="0">
      <alignment vertical="center"/>
    </xf>
    <xf numFmtId="306" fontId="38" fillId="23" borderId="39" xfId="0">
      <alignment vertical="center"/>
    </xf>
    <xf numFmtId="311" fontId="34" fillId="13" borderId="39" xfId="0">
      <alignment vertical="center"/>
    </xf>
    <xf numFmtId="306" fontId="40" fillId="24" borderId="39" xfId="0">
      <alignment vertical="center"/>
    </xf>
    <xf numFmtId="306" fontId="36" fillId="25" borderId="39" xfId="0">
      <alignment vertical="center"/>
    </xf>
    <xf numFmtId="306" fontId="38" fillId="26" borderId="39" xfId="0">
      <alignment vertical="center"/>
    </xf>
    <xf numFmtId="306" fontId="41" fillId="13" borderId="39" xfId="0">
      <alignment vertical="center"/>
    </xf>
    <xf numFmtId="306" fontId="38" fillId="27" borderId="39" xfId="0">
      <alignment vertical="center"/>
    </xf>
    <xf numFmtId="306" fontId="42" fillId="13" borderId="41" xfId="0">
      <alignment vertical="center"/>
    </xf>
    <xf numFmtId="306" fontId="43" fillId="13" borderId="42" xfId="0">
      <alignment vertical="center"/>
    </xf>
    <xf numFmtId="306" fontId="44" fillId="13" borderId="43" xfId="0">
      <alignment vertical="center"/>
    </xf>
    <xf numFmtId="306" fontId="38" fillId="28" borderId="39" xfId="0">
      <alignment vertical="center"/>
    </xf>
    <xf numFmtId="306" fontId="36" fillId="29" borderId="39" xfId="0">
      <alignment vertical="center"/>
    </xf>
    <xf numFmtId="306" fontId="45" fillId="13" borderId="44" xfId="0">
      <alignment vertical="center"/>
    </xf>
    <xf numFmtId="306" fontId="42" fillId="13" borderId="39" xfId="0">
      <alignment vertical="center"/>
    </xf>
    <xf numFmtId="306" fontId="46" fillId="30" borderId="45" xfId="0">
      <alignment vertical="center"/>
    </xf>
    <xf numFmtId="306" fontId="47" fillId="31" borderId="46" xfId="0">
      <alignment vertical="center"/>
    </xf>
    <xf numFmtId="306" fontId="48" fillId="32" borderId="46" xfId="0">
      <alignment vertical="center"/>
    </xf>
    <xf numFmtId="306" fontId="34" fillId="33" borderId="47" xfId="0">
      <alignment vertical="center"/>
    </xf>
    <xf numFmtId="306" fontId="36" fillId="34" borderId="39" xfId="0">
      <alignment vertical="center"/>
    </xf>
    <xf numFmtId="306" fontId="49" fillId="35" borderId="39" xfId="0">
      <alignment vertical="center"/>
    </xf>
    <xf numFmtId="306" fontId="38" fillId="36" borderId="39" xfId="0">
      <alignment vertical="center"/>
    </xf>
    <xf numFmtId="306" fontId="50" fillId="31" borderId="48" xfId="0">
      <alignment vertical="center"/>
    </xf>
    <xf numFmtId="306" fontId="36" fillId="37" borderId="39" xfId="0">
      <alignment vertical="center"/>
    </xf>
    <xf numFmtId="306" fontId="36" fillId="38" borderId="39" xfId="0">
      <alignment vertical="center"/>
    </xf>
    <xf numFmtId="306" fontId="36" fillId="39" borderId="39" xfId="0">
      <alignment vertical="center"/>
    </xf>
    <xf numFmtId="306" fontId="38" fillId="40" borderId="39" xfId="0">
      <alignment vertical="center"/>
    </xf>
    <xf numFmtId="306" fontId="51" fillId="41" borderId="39" xfId="0">
      <alignment vertical="center"/>
    </xf>
    <xf numFmtId="306" fontId="52" fillId="13" borderId="39" xfId="0">
      <alignment vertical="center"/>
    </xf>
    <xf numFmtId="306" fontId="53" fillId="13" borderId="44" xfId="0">
      <alignment vertical="center"/>
    </xf>
    <xf numFmtId="306" fontId="38" fillId="42" borderId="39" xfId="0">
      <alignment vertical="center"/>
    </xf>
    <xf numFmtId="306" fontId="36" fillId="43" borderId="39" xfId="0">
      <alignment vertical="center"/>
    </xf>
    <xf numFmtId="306" fontId="36" fillId="44" borderId="39" xfId="0">
      <alignment vertical="center"/>
    </xf>
    <xf numFmtId="306" fontId="38" fillId="45" borderId="39" xfId="0">
      <alignment vertical="center"/>
    </xf>
  </cellStyleXfs>
  <cellXfs count="188">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0" fontId="3" fillId="2" borderId="1" xfId="0">
      <alignment horizontal="center" vertical="center" textRotation="0" indent="0" justifyLastLine="false" shrinkToFit="false"/>
    </xf>
    <xf fontId="0" fillId="0" borderId="1" xfId="0">
      <alignment vertical="center"/>
    </xf>
    <xf numFmtId="0" fontId="3" fillId="2" borderId="1" xfId="0">
      <alignment horizontal="center" vertical="center" textRotation="0" wrapText="true" indent="0" justifyLastLine="false" shrinkToFit="false"/>
    </xf>
    <xf numFmtId="0" fontId="3" fillId="3" borderId="1" xfId="0">
      <alignment horizontal="center" vertical="center" textRotation="0" indent="0" justifyLastLine="false" shrinkToFit="false"/>
    </xf>
    <xf numFmtId="0" fontId="3" fillId="0" borderId="1" xfId="0">
      <alignment vertical="center" textRotation="0" indent="0" justifyLastLine="false" shrinkToFit="false"/>
    </xf>
    <xf numFmtId="0" fontId="3" fillId="0" borderId="2" xfId="0">
      <alignment vertical="center" textRotation="0" wrapText="true" indent="0" justifyLastLine="false" shrinkToFit="false"/>
    </xf>
    <xf numFmtId="300" fontId="3" fillId="0" borderId="2" xfId="0">
      <alignment horizontal="right" vertical="center" textRotation="0" indent="0" justifyLastLine="false" shrinkToFit="false"/>
    </xf>
    <xf numFmtId="0" fontId="3" fillId="0" borderId="1" xfId="0">
      <alignment vertical="center" textRotation="0" wrapText="true" indent="0" justifyLastLine="false" shrinkToFit="false"/>
    </xf>
    <xf numFmtId="0" fontId="3" fillId="0" borderId="1" xfId="0">
      <alignment horizontal="right" vertical="center" textRotation="0" indent="0" justifyLastLine="false" shrinkToFit="false"/>
    </xf>
    <xf fontId="0" fillId="0" borderId="3" xfId="0">
      <alignment vertical="center"/>
    </xf>
    <xf fontId="0" fillId="0" borderId="4" xfId="0">
      <alignment vertical="center"/>
    </xf>
    <xf fontId="0" fillId="0" borderId="5" xfId="0">
      <alignment vertical="center"/>
    </xf>
    <xf fontId="0" fillId="0" borderId="6" xfId="0">
      <alignment vertical="center"/>
    </xf>
    <xf numFmtId="300" fontId="3" fillId="0" borderId="1" xfId="0">
      <alignment vertical="center"/>
    </xf>
    <xf fontId="3" fillId="0" borderId="1" xfId="0">
      <alignment vertical="center"/>
    </xf>
    <xf fontId="3" fillId="0" borderId="2" xfId="0">
      <alignment vertical="center" wrapText="true"/>
    </xf>
    <xf numFmtId="300" fontId="3" fillId="0" borderId="2" xfId="0">
      <alignment vertical="center"/>
    </xf>
    <xf numFmtId="0" fontId="3" fillId="0" borderId="4" xfId="0">
      <alignment vertical="center" textRotation="0" wrapText="true" indent="0" justifyLastLine="false" shrinkToFit="false"/>
    </xf>
    <xf fontId="3" fillId="0" borderId="4" xfId="0">
      <alignment vertical="center" wrapText="true"/>
    </xf>
    <xf numFmtId="300" fontId="3" fillId="0" borderId="4" xfId="0">
      <alignment vertical="center"/>
    </xf>
    <xf numFmtId="0" fontId="3" fillId="0" borderId="6" xfId="0">
      <alignment vertical="center" textRotation="0" indent="0" justifyLastLine="false" shrinkToFit="false"/>
    </xf>
    <xf numFmtId="0" fontId="3" fillId="0" borderId="1" xfId="0">
      <alignment vertical="center" textRotation="0" wrapText="true" justifyLastLine="false" shrinkToFit="false"/>
    </xf>
    <xf fontId="3" fillId="0" borderId="7" xfId="0">
      <alignment horizontal="center" vertical="center"/>
    </xf>
    <xf fontId="0" fillId="0" borderId="8" xfId="0">
      <alignment vertical="center"/>
    </xf>
    <xf fontId="0" fillId="0" borderId="9" xfId="0">
      <alignment vertical="center"/>
    </xf>
    <xf fontId="3" fillId="0" borderId="10" xfId="0">
      <alignment horizontal="center" vertical="center"/>
    </xf>
    <xf fontId="3" fillId="0" borderId="0" xfId="0">
      <alignment horizontal="center" vertical="center"/>
    </xf>
    <xf fontId="3" fillId="0" borderId="11" xfId="0">
      <alignment horizontal="center" vertical="center"/>
    </xf>
    <xf fontId="0" fillId="0" borderId="12" xfId="0">
      <alignment vertical="center"/>
    </xf>
    <xf fontId="0" fillId="0" borderId="13" xfId="0">
      <alignment vertical="center"/>
    </xf>
    <xf fontId="0" fillId="0" borderId="14" xfId="0">
      <alignment vertical="center"/>
    </xf>
    <xf fontId="0" fillId="0" borderId="15" xfId="0">
      <alignment vertical="center"/>
    </xf>
    <xf fontId="0" fillId="0" borderId="16" xfId="0">
      <alignment vertical="center"/>
    </xf>
    <xf fontId="0" fillId="0" borderId="17" xfId="0">
      <alignment vertical="center"/>
    </xf>
    <xf numFmtId="300" fontId="3" fillId="0" borderId="1" xfId="0">
      <alignment horizontal="right" vertical="center"/>
    </xf>
    <xf fontId="3" fillId="0" borderId="1" xfId="0">
      <alignment vertical="center" wrapText="true"/>
    </xf>
    <xf fontId="3" fillId="0" borderId="1" xfId="0">
      <alignment horizontal="right" vertical="center"/>
    </xf>
    <xf numFmtId="0" fontId="3" fillId="0" borderId="18" xfId="0">
      <alignment horizontal="center" vertical="center" textRotation="0" indent="0" justifyLastLine="false" shrinkToFit="false"/>
    </xf>
    <xf fontId="0" fillId="0" borderId="19" xfId="0">
      <alignment vertical="center"/>
    </xf>
    <xf fontId="0" fillId="0" borderId="20" xfId="0">
      <alignment vertical="center"/>
    </xf>
    <xf fontId="3" fillId="0" borderId="0" xfId="0">
      <alignment vertical="center"/>
    </xf>
    <xf fontId="3" fillId="0" borderId="0" xfId="0">
      <alignment vertical="center" wrapText="true"/>
    </xf>
    <xf fontId="3" fillId="0" borderId="0" xfId="0">
      <alignment horizontal="right" vertical="center"/>
    </xf>
    <xf numFmtId="49" fontId="4" fillId="4" borderId="1" xfId="0">
      <alignment horizontal="center" vertical="center" textRotation="0" wrapText="true" indent="0" justifyLastLine="false" shrinkToFit="false"/>
    </xf>
    <xf fontId="5" fillId="0" borderId="1" xfId="0">
      <alignment vertical="center"/>
    </xf>
    <xf numFmtId="0" fontId="6" fillId="0" borderId="6" xfId="0">
      <alignment horizontal="center" vertical="center" textRotation="0" wrapText="true" indent="0" justifyLastLine="false" shrinkToFit="false"/>
    </xf>
    <xf numFmtId="0" fontId="7" fillId="0" borderId="6" xfId="0">
      <alignment vertical="center" textRotation="0" indent="0" justifyLastLine="false" shrinkToFit="false"/>
    </xf>
    <xf numFmtId="0" fontId="6" fillId="0" borderId="6" xfId="0">
      <alignment horizontal="center" vertical="center" textRotation="0" indent="0" justifyLastLine="false" shrinkToFit="false"/>
    </xf>
    <xf numFmtId="301" fontId="8" fillId="0" borderId="6" xfId="0">
      <alignment horizontal="center" vertical="center" textRotation="0" wrapText="true" indent="0" justifyLastLine="false" shrinkToFit="false"/>
    </xf>
    <xf numFmtId="0" fontId="7" fillId="0" borderId="1" xfId="0">
      <alignment horizontal="center" vertical="center" textRotation="0" wrapText="true" indent="0" justifyLastLine="false" shrinkToFit="false"/>
    </xf>
    <xf numFmtId="302" fontId="7" fillId="0" borderId="1" xfId="0">
      <alignment horizontal="left" vertical="center" textRotation="0" indent="0" justifyLastLine="false" shrinkToFit="false"/>
    </xf>
    <xf numFmtId="302" fontId="6" fillId="0" borderId="1" xfId="0">
      <alignment horizontal="center" vertical="center" textRotation="0" indent="0" justifyLastLine="false" shrinkToFit="false"/>
    </xf>
    <xf fontId="6" fillId="0" borderId="21" xfId="0">
      <alignment horizontal="center" vertical="center" textRotation="0"/>
    </xf>
    <xf numFmtId="301" fontId="6" fillId="0" borderId="1" xfId="0">
      <alignment horizontal="center" vertical="center" textRotation="0"/>
    </xf>
    <xf numFmtId="302" fontId="7" fillId="0" borderId="18" xfId="0">
      <alignment horizontal="left" vertical="center" textRotation="0"/>
    </xf>
    <xf numFmtId="302" fontId="6" fillId="0" borderId="1" xfId="0">
      <alignment horizontal="center" vertical="center" textRotation="0"/>
    </xf>
    <xf numFmtId="302" fontId="7" fillId="0" borderId="18" xfId="0">
      <alignment horizontal="left" vertical="center" textRotation="0" indent="0" justifyLastLine="false" shrinkToFit="false"/>
    </xf>
    <xf numFmtId="0" fontId="6" fillId="0" borderId="1" xfId="0">
      <alignment horizontal="center" vertical="center" textRotation="0" indent="0" justifyLastLine="false" shrinkToFit="false"/>
    </xf>
    <xf fontId="6" fillId="0" borderId="1" xfId="0">
      <alignment horizontal="center" vertical="center" textRotation="0"/>
    </xf>
    <xf numFmtId="0" fontId="3" fillId="0" borderId="0" xfId="0">
      <alignment horizontal="center" vertical="center" textRotation="0" indent="0" justifyLastLine="false" shrinkToFit="false"/>
    </xf>
    <xf numFmtId="0" fontId="3" fillId="0" borderId="0" xfId="0">
      <alignment horizontal="left" vertical="center" textRotation="0" indent="0" justifyLastLine="false" shrinkToFit="false"/>
    </xf>
    <xf fontId="3" fillId="0" borderId="0" xfId="0">
      <alignment horizontal="left" vertical="center" textRotation="0"/>
    </xf>
    <xf fontId="3" fillId="0" borderId="0" xfId="0">
      <alignment horizontal="center" vertical="center" textRotation="0"/>
    </xf>
    <xf numFmtId="301" fontId="3" fillId="0" borderId="0" xfId="0">
      <alignment vertical="center" textRotation="0"/>
    </xf>
    <xf numFmtId="0" fontId="9" fillId="5" borderId="1" xfId="0">
      <alignment horizontal="center" vertical="center" textRotation="0" indent="0" justifyLastLine="false" shrinkToFit="false"/>
    </xf>
    <xf numFmtId="0" fontId="9" fillId="6" borderId="1" xfId="0">
      <alignment horizontal="center" vertical="center" textRotation="0" indent="0" justifyLastLine="false" shrinkToFit="false"/>
    </xf>
    <xf numFmtId="0" fontId="9" fillId="6" borderId="1" xfId="0">
      <alignment horizontal="center" vertical="center" textRotation="0" wrapText="true" indent="0" justifyLastLine="false" shrinkToFit="false"/>
    </xf>
    <xf numFmtId="0" fontId="10" fillId="7" borderId="1" xfId="0">
      <alignment horizontal="center" vertical="top" textRotation="0" wrapText="true" indent="0" justifyLastLine="false" shrinkToFit="false"/>
    </xf>
    <xf numFmtId="0" fontId="3" fillId="0" borderId="1" xfId="0">
      <alignment horizontal="center" vertical="top" textRotation="0" wrapText="true" indent="0" justifyLastLine="false" shrinkToFit="false"/>
    </xf>
    <xf numFmtId="0" fontId="3" fillId="8" borderId="1" xfId="0">
      <alignment horizontal="center" vertical="top" textRotation="0" wrapText="true" indent="0" justifyLastLine="false" shrinkToFit="false"/>
    </xf>
    <xf numFmtId="0" fontId="3" fillId="0" borderId="0" xfId="0">
      <alignment vertical="center" textRotation="0" indent="0" justifyLastLine="false" shrinkToFit="false"/>
    </xf>
    <xf numFmtId="0" fontId="3" fillId="7" borderId="1" xfId="0">
      <alignment horizontal="center" vertical="top" textRotation="0" wrapText="true" indent="0" justifyLastLine="false" shrinkToFit="false"/>
    </xf>
    <xf numFmtId="0" fontId="3" fillId="9" borderId="1" xfId="0">
      <alignment horizontal="center" vertical="top" textRotation="0" wrapText="true" indent="0" justifyLastLine="false" shrinkToFit="false"/>
    </xf>
    <xf numFmtId="0" fontId="3" fillId="10" borderId="1" xfId="0">
      <alignment horizontal="center" vertical="top" textRotation="0" wrapText="true" indent="0" justifyLastLine="false" shrinkToFit="false"/>
    </xf>
    <xf numFmtId="0" fontId="3" fillId="11" borderId="1" xfId="0">
      <alignment horizontal="center" vertical="top" textRotation="0" wrapText="true" indent="0" justifyLastLine="false" shrinkToFit="false"/>
    </xf>
    <xf numFmtId="0" fontId="3" fillId="12" borderId="1" xfId="0">
      <alignment horizontal="center" vertical="top" textRotation="0" wrapText="true" indent="0" justifyLastLine="false" shrinkToFit="false"/>
    </xf>
    <xf fontId="3" fillId="0" borderId="18" xfId="0">
      <alignment horizontal="left" vertical="top" wrapText="true"/>
    </xf>
    <xf fontId="3" fillId="0" borderId="18" xfId="0">
      <alignment horizontal="left" vertical="center"/>
    </xf>
    <xf fontId="3" fillId="0" borderId="18" xfId="0">
      <alignment vertical="center"/>
    </xf>
    <xf fontId="6" fillId="0" borderId="0" xfId="0">
      <alignment horizontal="center" vertical="center" wrapText="true"/>
    </xf>
    <xf numFmtId="0" fontId="9" fillId="6" borderId="6" xfId="0">
      <alignment horizontal="center" vertical="center" textRotation="0" indent="0" justifyLastLine="false" shrinkToFit="false"/>
    </xf>
    <xf numFmtId="0" fontId="9" fillId="6" borderId="22" xfId="0">
      <alignment horizontal="center" vertical="center" textRotation="0" indent="0" justifyLastLine="false" shrinkToFit="false"/>
    </xf>
    <xf numFmtId="0" fontId="9" fillId="6" borderId="23" xfId="0">
      <alignment horizontal="center" vertical="center" textRotation="0" wrapText="true" indent="0" justifyLastLine="false" shrinkToFit="false"/>
    </xf>
    <xf numFmtId="0" fontId="9" fillId="6" borderId="24" xfId="0">
      <alignment horizontal="center" vertical="center" textRotation="0" wrapText="true" indent="0" justifyLastLine="false" shrinkToFit="false"/>
    </xf>
    <xf numFmtId="0" fontId="3" fillId="0" borderId="6" xfId="0">
      <alignment horizontal="center" vertical="top" textRotation="0" wrapText="true" indent="0" justifyLastLine="false" shrinkToFit="false"/>
    </xf>
    <xf numFmtId="0" fontId="3" fillId="0" borderId="25" xfId="0">
      <alignment horizontal="center" vertical="top" textRotation="0" wrapText="true" indent="0" justifyLastLine="false" shrinkToFit="false"/>
    </xf>
    <xf numFmtId="10" fontId="3" fillId="0" borderId="4" xfId="0">
      <alignment horizontal="center" vertical="top" textRotation="0" wrapText="true" indent="0" justifyLastLine="false" shrinkToFit="false"/>
    </xf>
    <xf numFmtId="0" fontId="3" fillId="0" borderId="11" xfId="0">
      <alignment horizontal="center" vertical="top" textRotation="0" wrapText="true" indent="0" justifyLastLine="false" shrinkToFit="false"/>
    </xf>
    <xf numFmtId="0" fontId="3" fillId="0" borderId="11" xfId="0">
      <alignment horizontal="center" vertical="top" wrapText="true"/>
    </xf>
    <xf numFmtId="0" fontId="3" fillId="0" borderId="18" xfId="0">
      <alignment horizontal="center" vertical="top" textRotation="0" wrapText="true" indent="0" justifyLastLine="false" shrinkToFit="false"/>
    </xf>
    <xf numFmtId="10" fontId="3" fillId="0" borderId="1" xfId="0">
      <alignment horizontal="center" vertical="top" textRotation="0" wrapText="true" indent="0" justifyLastLine="false" shrinkToFit="false"/>
    </xf>
    <xf numFmtId="0" fontId="3" fillId="0" borderId="1" xfId="0">
      <alignment horizontal="center" vertical="top" wrapText="true"/>
    </xf>
    <xf numFmtId="10" fontId="3" fillId="0" borderId="1" xfId="0">
      <alignment horizontal="center" vertical="top" wrapText="true" justifyLastLine="false" shrinkToFit="false"/>
    </xf>
    <xf numFmtId="0" fontId="6" fillId="0" borderId="1" xfId="0">
      <alignment horizontal="center" vertical="center" textRotation="0" wrapText="true" indent="0" justifyLastLine="false" shrinkToFit="false"/>
    </xf>
    <xf numFmtId="0" fontId="6" fillId="0" borderId="1" xfId="0">
      <alignment horizontal="center" vertical="center" wrapText="true"/>
    </xf>
    <xf numFmtId="0" fontId="3" fillId="0" borderId="26" xfId="0">
      <alignment horizontal="center" vertical="top" wrapText="true"/>
    </xf>
    <xf numFmtId="10" fontId="3" fillId="0" borderId="1" xfId="0">
      <alignment horizontal="center" vertical="top" textRotation="0" wrapText="true" justifyLastLine="false" shrinkToFit="false"/>
    </xf>
    <xf numFmtId="306" fontId="11" fillId="0" borderId="27" xfId="0" applyFont="true" applyBorder="true" applyAlignment="true">
      <alignment horizontal="center" vertical="center"/>
    </xf>
    <xf numFmtId="306" fontId="12" fillId="0" borderId="27" xfId="0" applyFont="true" applyBorder="true" applyAlignment="true">
      <alignment horizontal="center" vertical="center"/>
    </xf>
    <xf numFmtId="0" fontId="13" fillId="13" borderId="28" xfId="0">
      <alignment vertical="center"/>
    </xf>
    <xf numFmtId="306" fontId="14" fillId="0" borderId="27" xfId="0" applyFont="true" applyBorder="true" applyAlignment="true">
      <alignment horizontal="center" vertical="center" wrapText="true"/>
    </xf>
    <xf numFmtId="0" fontId="14" fillId="0" borderId="27" xfId="0" applyNumberFormat="true" applyFont="true" applyBorder="true" applyAlignment="true">
      <alignment horizontal="center" vertical="center" wrapText="true"/>
    </xf>
    <xf numFmtId="306" fontId="15" fillId="0" borderId="27" xfId="0" applyFont="true" applyBorder="true" applyAlignment="true">
      <alignment horizontal="center" vertical="center"/>
    </xf>
    <xf numFmtId="306" fontId="16" fillId="0" borderId="27" xfId="0" applyFont="true" applyBorder="true" applyAlignment="true">
      <alignment horizontal="center" vertical="center" wrapText="true"/>
    </xf>
    <xf numFmtId="0" fontId="15" fillId="0" borderId="27" xfId="0" applyNumberFormat="true" applyFont="true" applyBorder="true" applyAlignment="true">
      <alignment horizontal="center" vertical="center" wrapText="true"/>
    </xf>
    <xf numFmtId="0" fontId="15" fillId="0" borderId="27" xfId="0" applyNumberFormat="true" applyFont="true" applyBorder="true" applyAlignment="true">
      <alignment horizontal="left" vertical="center" wrapText="true"/>
    </xf>
    <xf numFmtId="0" fontId="16" fillId="0" borderId="27" xfId="0" applyNumberFormat="true" applyFont="true" applyBorder="true" applyAlignment="true">
      <alignment vertical="center" wrapText="true"/>
    </xf>
    <xf numFmtId="0" fontId="16" fillId="0" borderId="27" xfId="0" applyNumberFormat="true" applyFont="true" applyBorder="true">
      <alignment vertical="center"/>
    </xf>
    <xf numFmtId="9" fontId="15" fillId="0" borderId="27" xfId="0" applyNumberFormat="true" applyFont="true" applyBorder="true" applyAlignment="true">
      <alignment horizontal="center" vertical="center"/>
    </xf>
    <xf numFmtId="9" fontId="16" fillId="0" borderId="27" xfId="0" applyNumberFormat="true" applyFont="true" applyBorder="true" applyAlignment="true">
      <alignment horizontal="center" vertical="center"/>
    </xf>
    <xf numFmtId="306" fontId="15" fillId="0" borderId="27" xfId="0" applyFont="true" applyBorder="true">
      <alignment vertical="center"/>
    </xf>
    <xf numFmtId="306" fontId="17" fillId="0" borderId="27" xfId="0" applyFont="true" applyBorder="true" applyAlignment="true">
      <alignment horizontal="center" vertical="center"/>
    </xf>
    <xf numFmtId="306" fontId="18" fillId="0" borderId="27" xfId="0" applyFont="true" applyBorder="true" applyAlignment="true">
      <alignment horizontal="center" vertical="center" wrapText="true"/>
    </xf>
    <xf numFmtId="306" fontId="18" fillId="0" borderId="27" xfId="0" applyFont="true" applyBorder="true" applyAlignment="true">
      <alignment horizontal="left" vertical="center" wrapText="true"/>
    </xf>
    <xf numFmtId="306" fontId="15" fillId="0" borderId="27" xfId="0" applyFont="true" applyBorder="true" applyAlignment="true">
      <alignment vertical="center" wrapText="true"/>
    </xf>
    <xf numFmtId="306" fontId="18" fillId="0" borderId="27" xfId="0" applyFont="true" applyBorder="true" applyAlignment="true">
      <alignment horizontal="center" vertical="center"/>
    </xf>
    <xf numFmtId="306" fontId="16" fillId="0" borderId="27" xfId="0" applyFont="true" applyBorder="true" applyAlignment="true">
      <alignment vertical="center" wrapText="true"/>
    </xf>
    <xf numFmtId="306" fontId="16" fillId="0" borderId="27" xfId="0" applyFont="true" applyBorder="true">
      <alignment vertical="center"/>
    </xf>
    <xf numFmtId="0" fontId="15" fillId="0" borderId="27" xfId="0" applyNumberFormat="true" applyFont="true" applyBorder="true" applyAlignment="true">
      <alignment vertical="center" wrapText="true"/>
    </xf>
    <xf numFmtId="306" fontId="19" fillId="0" borderId="29" xfId="0" applyFont="true" applyBorder="true" applyAlignment="true">
      <alignment horizontal="center" vertical="center" wrapText="true"/>
    </xf>
    <xf numFmtId="306" fontId="20" fillId="0" borderId="29" xfId="0" applyFont="true" applyBorder="true" applyAlignment="true">
      <alignment horizontal="center" vertical="center" wrapText="true"/>
    </xf>
    <xf numFmtId="306" fontId="20" fillId="0" borderId="29" xfId="0" applyFont="true" applyBorder="true" applyAlignment="true">
      <alignment horizontal="left" vertical="center" wrapText="true"/>
    </xf>
    <xf numFmtId="9" fontId="19" fillId="0" borderId="29" xfId="0">
      <alignment horizontal="center" vertical="center"/>
    </xf>
    <xf numFmtId="0" fontId="15" fillId="0" borderId="27" xfId="0" applyNumberFormat="true" applyFont="true" applyBorder="true">
      <alignment vertical="center"/>
    </xf>
    <xf numFmtId="0" fontId="15" fillId="0" borderId="27" xfId="0" applyNumberFormat="true" applyFont="true" applyBorder="true" applyAlignment="true">
      <alignment horizontal="center" vertical="center"/>
    </xf>
    <xf numFmtId="9" fontId="16" fillId="0" borderId="30" xfId="0" applyNumberFormat="true" applyFont="true" applyBorder="true" applyAlignment="true">
      <alignment horizontal="center" vertical="center"/>
    </xf>
    <xf numFmtId="9" fontId="15" fillId="0" borderId="27" xfId="0" applyNumberFormat="true" applyFont="true" applyBorder="true" applyAlignment="true">
      <alignment horizontal="left" vertical="center"/>
    </xf>
    <xf numFmtId="306" fontId="18" fillId="0" borderId="31" xfId="0" applyFont="true" applyBorder="true" applyAlignment="true">
      <alignment horizontal="center" vertical="center"/>
    </xf>
    <xf numFmtId="306" fontId="18" fillId="0" borderId="32" xfId="0" applyFont="true" applyBorder="true" applyAlignment="true">
      <alignment horizontal="center" vertical="center"/>
    </xf>
    <xf numFmtId="0" fontId="21" fillId="5" borderId="33" xfId="0">
      <alignment horizontal="center" vertical="center" textRotation="0" indent="0" justifyLastLine="false" shrinkToFit="false"/>
    </xf>
    <xf fontId="0" fillId="0" borderId="33" xfId="0">
      <alignment vertical="center"/>
    </xf>
    <xf fontId="22" fillId="0" borderId="0" xfId="0">
      <alignment vertical="center"/>
    </xf>
    <xf numFmtId="0" fontId="21" fillId="5" borderId="1" xfId="0">
      <alignment horizontal="center" vertical="center" textRotation="0" indent="0" justifyLastLine="false" shrinkToFit="false"/>
    </xf>
    <xf numFmtId="0" fontId="23" fillId="0" borderId="34" xfId="0">
      <alignment vertical="center" textRotation="0" indent="0" justifyLastLine="false" shrinkToFit="false"/>
    </xf>
    <xf fontId="0" fillId="0" borderId="34" xfId="0">
      <alignment vertical="center"/>
    </xf>
    <xf numFmtId="0" fontId="21" fillId="6" borderId="35" xfId="0">
      <alignment horizontal="center" vertical="center" textRotation="0" indent="0" justifyLastLine="false" shrinkToFit="false"/>
    </xf>
    <xf numFmtId="0" fontId="24" fillId="6" borderId="35" xfId="0">
      <alignment horizontal="center" vertical="center" textRotation="0" indent="0" justifyLastLine="false" shrinkToFit="false"/>
    </xf>
    <xf numFmtId="0" fontId="24" fillId="6" borderId="36" xfId="0">
      <alignment horizontal="center" vertical="center" textRotation="0" wrapText="true" indent="0" justifyLastLine="false" shrinkToFit="false"/>
    </xf>
    <xf numFmtId="0" fontId="21" fillId="6" borderId="36" xfId="0">
      <alignment horizontal="center" vertical="center" textRotation="0" wrapText="true" indent="0" justifyLastLine="false" shrinkToFit="false"/>
    </xf>
    <xf numFmtId="0" fontId="21" fillId="6" borderId="37" xfId="0">
      <alignment horizontal="center" vertical="center" textRotation="0" wrapText="true" indent="0" justifyLastLine="false" shrinkToFit="false"/>
    </xf>
    <xf numFmtId="0" fontId="21" fillId="6" borderId="38" xfId="0">
      <alignment horizontal="center" vertical="center" textRotation="0" wrapText="true" indent="0" justifyLastLine="false" shrinkToFit="false"/>
    </xf>
    <xf fontId="25" fillId="0" borderId="1" xfId="0">
      <alignment horizontal="center" vertical="top" wrapText="true"/>
    </xf>
    <xf fontId="26" fillId="0" borderId="1" xfId="0">
      <alignment horizontal="center" vertical="top" wrapText="true"/>
    </xf>
    <xf fontId="26" fillId="8" borderId="1" xfId="0">
      <alignment horizontal="center" vertical="top" wrapText="true"/>
    </xf>
    <xf fontId="27" fillId="0" borderId="1" xfId="0">
      <alignment horizontal="center" vertical="top" wrapText="true"/>
    </xf>
    <xf fontId="28" fillId="0" borderId="1" xfId="0">
      <alignment horizontal="center" vertical="top" wrapText="true"/>
    </xf>
    <xf fontId="29" fillId="0" borderId="1" xfId="0">
      <alignment horizontal="center" vertical="top" wrapText="true"/>
    </xf>
    <xf fontId="29" fillId="8" borderId="1" xfId="0">
      <alignment horizontal="center" vertical="top" wrapText="true"/>
    </xf>
    <xf fontId="30" fillId="0" borderId="0" xfId="0">
      <alignment horizontal="center" vertical="center" wrapText="true"/>
    </xf>
    <xf numFmtId="49" fontId="31" fillId="4" borderId="1" xfId="0">
      <alignment horizontal="center" vertical="center" wrapText="true"/>
    </xf>
    <xf fontId="30" fillId="0" borderId="1" xfId="0">
      <alignment horizontal="center" vertical="center"/>
    </xf>
    <xf numFmtId="302" fontId="32" fillId="0" borderId="1" xfId="0">
      <alignment horizontal="center" vertical="center"/>
    </xf>
    <xf fontId="30" fillId="0" borderId="1" xfId="0">
      <alignment vertical="center"/>
    </xf>
    <xf fontId="32" fillId="0" borderId="1" xfId="0">
      <alignment horizontal="center" vertical="center"/>
    </xf>
    <xf numFmtId="0" fontId="23" fillId="0" borderId="1" xfId="0">
      <alignment vertical="center" textRotation="0" indent="0" justifyLastLine="false" shrinkToFit="false"/>
    </xf>
    <xf numFmtId="303" fontId="32" fillId="0" borderId="1" xfId="0">
      <alignment horizontal="center" vertical="center"/>
    </xf>
    <xf numFmtId="10" fontId="30" fillId="0" borderId="1" xfId="0">
      <alignment horizontal="left" vertical="center"/>
    </xf>
    <xf numFmtId="0" fontId="21" fillId="6" borderId="6" xfId="0">
      <alignment horizontal="center" vertical="center" textRotation="0" indent="0" justifyLastLine="false" shrinkToFit="false"/>
    </xf>
    <xf numFmtId="0" fontId="21" fillId="6" borderId="22" xfId="0">
      <alignment horizontal="center" vertical="center" textRotation="0" indent="0" justifyLastLine="false" shrinkToFit="false"/>
    </xf>
    <xf numFmtId="0" fontId="24" fillId="6" borderId="23" xfId="0">
      <alignment horizontal="center" vertical="center" textRotation="0" wrapText="true" indent="0" justifyLastLine="false" shrinkToFit="false"/>
    </xf>
    <xf numFmtId="0" fontId="21" fillId="6" borderId="23" xfId="0">
      <alignment horizontal="center" vertical="center" textRotation="0" wrapText="true" indent="0" justifyLastLine="false" shrinkToFit="false"/>
    </xf>
    <xf numFmtId="0" fontId="21" fillId="6" borderId="24" xfId="0">
      <alignment horizontal="center" vertical="center" textRotation="0" wrapText="true" indent="0" justifyLastLine="false" shrinkToFit="false"/>
    </xf>
    <xf fontId="26" fillId="0" borderId="18" xfId="0">
      <alignment horizontal="center" vertical="top" wrapText="true"/>
    </xf>
    <xf numFmtId="10" fontId="26" fillId="0" borderId="1" xfId="0">
      <alignment horizontal="center" vertical="top" wrapText="true"/>
    </xf>
    <xf fontId="30" fillId="0" borderId="1" xfId="0">
      <alignment horizontal="center" vertical="center" wrapText="true"/>
    </xf>
    <xf fontId="26" fillId="0" borderId="26" xfId="0">
      <alignment horizontal="center" vertical="top" wrapText="true"/>
    </xf>
    <xf fontId="23" fillId="0" borderId="0" xfId="0">
      <alignment horizontal="center" vertical="center"/>
    </xf>
    <xf numFmtId="302" fontId="23" fillId="0" borderId="0" xfId="0">
      <alignment horizontal="center" vertical="center"/>
    </xf>
    <xf fontId="23" fillId="0" borderId="0" xfId="0">
      <alignment vertical="center"/>
    </xf>
    <xf numFmtId="0" fontId="33" fillId="0" borderId="1" xfId="0">
      <alignment horizontal="center" vertical="bottom" textRotation="0" indent="0" justifyLastLine="false" shrinkToFit="false"/>
    </xf>
    <xf numFmtId="0" fontId="33" fillId="0" borderId="1" xfId="0">
      <alignment vertical="top" textRotation="0" wrapText="true" indent="0" justifyLastLine="false" shrinkToFit="false"/>
    </xf>
    <xf numFmtId="304" fontId="33" fillId="0" borderId="1" xfId="0">
      <alignment horizontal="right" vertical="top" textRotation="0" wrapText="true" indent="0" justifyLastLine="false" shrinkToFit="false"/>
    </xf>
    <xf numFmtId="305" fontId="33" fillId="0" borderId="1" xfId="0">
      <alignment horizontal="left" vertical="top" textRotation="0" wrapText="true" indent="0" justifyLastLine="false" shrinkToFit="false"/>
    </xf>
    <xf fontId="33" fillId="0" borderId="0" xfId="0">
      <alignment vertical="bottom"/>
    </xf>
    <xf numFmtId="0" fontId="33" fillId="14" borderId="1" xfId="0">
      <alignment vertical="top" textRotation="0" wrapText="true" indent="0" justifyLastLine="false" shrinkToFit="false"/>
    </xf>
    <xf fontId="26" fillId="0" borderId="2" xfId="0">
      <alignment horizontal="center" vertical="top" wrapText="true"/>
    </xf>
    <xf numFmtId="10" fontId="26" fillId="0" borderId="2" xfId="0">
      <alignment horizontal="center" vertical="top" wrapText="true"/>
    </xf>
    <xf fontId="26" fillId="0" borderId="7" xfId="0">
      <alignment horizontal="center" vertical="top" wrapText="true"/>
    </xf>
    <xf numFmtId="0" fontId="33" fillId="0" borderId="1" xfId="0">
      <alignment vertical="bottom" textRotation="0" indent="0" justifyLastLine="false" shrinkToFit="false"/>
    </xf>
    <xf numFmtId="0" fontId="33" fillId="0" borderId="0" xfId="0">
      <alignment vertical="bottom" textRotation="0" indent="0" justifyLastLine="false" shrinkToFit="false"/>
    </xf>
    <xf numFmtId="306" fontId="18" fillId="13" borderId="39" xfId="0" applyNumberFormat="true" applyFont="true" applyFill="true" applyBorder="true" applyAlignment="true">
      <alignment vertical="center"/>
    </xf>
    <xf numFmtId="306" fontId="20" fillId="13" borderId="40" xfId="0" applyNumberFormat="true" applyFont="true" applyFill="true" applyBorder="true" applyAlignment="true">
      <alignment vertical="center"/>
    </xf>
    <xf numFmtId="306" fontId="6" fillId="13" borderId="39" xfId="0" applyNumberFormat="true" applyFont="true" applyFill="true" applyBorder="true" applyAlignment="true">
      <alignment horizontal="center" vertical="center"/>
    </xf>
    <xf fontId="6" fillId="0" borderId="0" xfId="0">
      <alignment vertical="center"/>
    </xf>
  </cellXfs>
  <cellStyles>
    <cellStyle name="常规" xfId="0" builtinId="0"/>
    <cellStyle name="已访问的超链接" xfId="1" builtinId="9"/>
    <cellStyle name="20% - 强调文字颜色 5" xfId="2" builtinId="46"/>
    <cellStyle name="超链接" xfId="3" builtinId="8"/>
    <cellStyle name="强调文字颜色 5" xfId="4" builtinId="45"/>
    <cellStyle name="60% - 强调文字颜色 5" xfId="5" builtinId="48"/>
    <cellStyle name="警告文本" xfId="6" builtinId="11"/>
    <cellStyle name="20% - 强调文字颜色 4" xfId="7" builtinId="42"/>
    <cellStyle name="百分比" xfId="8" builtinId="5"/>
    <cellStyle name="40% - 强调文字颜色 3" xfId="9" builtinId="39"/>
    <cellStyle name="货币" xfId="10" builtinId="4"/>
    <cellStyle name="强调文字颜色 4" xfId="11" builtinId="41"/>
    <cellStyle name="千位分隔[0]" xfId="12" builtinId="6"/>
    <cellStyle name="40% - 强调文字颜色 4" xfId="13" builtinId="43"/>
    <cellStyle name="60% - 强调文字颜色 3" xfId="14" builtinId="40"/>
    <cellStyle name="千位分隔" xfId="15" builtinId="3"/>
    <cellStyle name="60% - 强调文字颜色 4" xfId="16" builtinId="44"/>
    <cellStyle name="货币[0]" xfId="17" builtinId="7"/>
    <cellStyle name="好" xfId="18" builtinId="26"/>
    <cellStyle name="20% - 强调文字颜色 6" xfId="19" builtinId="50"/>
    <cellStyle name="强调文字颜色 6" xfId="20" builtinId="49"/>
    <cellStyle name="标题" xfId="21" builtinId="15"/>
    <cellStyle name="60% - 强调文字颜色 6" xfId="22" builtinId="52"/>
    <cellStyle name="标题 3" xfId="23" builtinId="18"/>
    <cellStyle name="链接单元格" xfId="24" builtinId="24"/>
    <cellStyle name="汇总" xfId="25" builtinId="25"/>
    <cellStyle name="强调文字颜色 3" xfId="26" builtinId="37"/>
    <cellStyle name="40% - 强调文字颜色 6" xfId="27" builtinId="51"/>
    <cellStyle name="标题 2" xfId="28" builtinId="17"/>
    <cellStyle name="标题 4" xfId="29" builtinId="19"/>
    <cellStyle name="检查单元格" xfId="30" builtinId="23"/>
    <cellStyle name="计算" xfId="31" builtinId="22"/>
    <cellStyle name="输入" xfId="32" builtinId="20"/>
    <cellStyle name="注释" xfId="33" builtinId="10"/>
    <cellStyle name="40% - 强调文字颜色 5" xfId="34" builtinId="47"/>
    <cellStyle name="差" xfId="35" builtinId="27"/>
    <cellStyle name="60% - 强调文字颜色 1" xfId="36" builtinId="32"/>
    <cellStyle name="输出" xfId="37" builtinId="21"/>
    <cellStyle name="20% - 强调文字颜色 3" xfId="38" builtinId="38"/>
    <cellStyle name="40% - 强调文字颜色 1" xfId="39" builtinId="31"/>
    <cellStyle name="20% - 强调文字颜色 1" xfId="40" builtinId="30"/>
    <cellStyle name="强调文字颜色 1" xfId="41" builtinId="29"/>
    <cellStyle name="适中" xfId="42" builtinId="28"/>
    <cellStyle name="解释性文本" xfId="43" builtinId="53"/>
    <cellStyle name="标题 1" xfId="44" builtinId="16"/>
    <cellStyle name="60% - 强调文字颜色 2" xfId="45" builtinId="36"/>
    <cellStyle name="40% - 强调文字颜色 2" xfId="46" builtinId="35"/>
    <cellStyle name="20% - 强调文字颜色 2" xfId="47" builtinId="34"/>
    <cellStyle name="强调文字颜色 2" xfId="48" builtinId="33"/>
  </cellStyles>
</styleSheet>
</file>

<file path=xl/_rels/workbook.xml.rels><?xml version="1.0" encoding="UTF-8" standalone="yes"?><Relationships xmlns="http://schemas.openxmlformats.org/package/2006/relationships"><Relationship Id="rId6" Type="http://schemas.openxmlformats.org/officeDocument/2006/relationships/worksheet" Target="worksheets/sheet4.xml" /><Relationship Id="rId1" Type="http://schemas.openxmlformats.org/officeDocument/2006/relationships/theme" Target="theme/theme1.xml" /><Relationship Id="rId4" Type="http://schemas.openxmlformats.org/officeDocument/2006/relationships/worksheet" Target="worksheets/sheet2.xml" /><Relationship Id="rId0" Type="http://schemas.openxmlformats.org/officeDocument/2006/relationships/sharedStrings" Target="sharedStrings.xml" /><Relationship Id="rId3" Type="http://schemas.openxmlformats.org/officeDocument/2006/relationships/worksheet" Target="worksheets/sheet1.xml" /><Relationship Id="rId2" Type="http://schemas.openxmlformats.org/officeDocument/2006/relationships/styles" Target="styles.xml" /><Relationship Id="rId5" Type="http://schemas.openxmlformats.org/officeDocument/2006/relationships/worksheet" Target="worksheets/sheet3.xml" /></Relationships>
</file>

<file path=xl/drawings/_rels/drawing1.xml.rels><?xml version="1.0" encoding="UTF-8" standalone="yes"?><Relationships xmlns="http://schemas.openxmlformats.org/package/2006/relationships"><Relationship Id="rId0" Type="http://schemas.openxmlformats.org/officeDocument/2006/relationships/image" Target="media/image1.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1</xdr:col>
      <xdr:colOff>1886786</xdr:colOff>
      <xdr:row>40</xdr:row>
      <xdr:rowOff>175461</xdr:rowOff>
    </xdr:from>
    <xdr:ext cx="4704013" cy="1121266"/>
    <xdr:pic>
      <xdr:nvPicPr>
        <xdr:cNvPr id="1" name=""/>
        <xdr:cNvPicPr/>
      </xdr:nvPicPr>
      <xdr:blipFill>
        <a:blip r:embed="rId0" r:link="rId0"/>
        <a:stretch>
          <a:fillRect/>
        </a:stretch>
      </xdr:blipFill>
      <xdr:spPr>
        <a:xfrm rot="0" flipH="false" flipV="false"/>
        <a:prstGeom prst="rect"/>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false"/>
        </a:gradFill>
        <a:gradFill>
          <a:gsLst>
            <a:gs pos="0">
              <a:schemeClr val="phClr">
                <a:hueOff val="-2520000"/>
              </a:schemeClr>
            </a:gs>
            <a:gs pos="100000">
              <a:schemeClr val="phClr"/>
            </a:gs>
          </a:gsLst>
          <a:lin ang="2700000" scaled="false"/>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true"/>
          </a:gradFill>
          <a:prstDash val="solid"/>
          <a:miter lim="800000"/>
        </a:ln>
      </a:lnStyleLst>
      <a:effectStyleLst>
        <a:effectStyle>
          <a:effectLst>
            <a:outerShdw blurRad="101600" dist="50800" dir="5400000" algn="ctr" rotWithShape="false">
              <a:schemeClr val="phClr">
                <a:alpha val="60000"/>
              </a:schemeClr>
            </a:outerShdw>
          </a:effectLst>
        </a:effectStyle>
        <a:effectStyle>
          <a:effectLst>
            <a:reflection stA="50000" endA="300" endPos="40000" dist="25400" dir="5400000" sy="-100000" algn="bl" rotWithShape="fals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_rels/sheet3.xml.rels><?xml version="1.0" encoding="UTF-8" standalone="yes"?><Relationships xmlns="http://schemas.openxmlformats.org/package/2006/relationships"><Relationship Id="rId0" Type="http://schemas.openxmlformats.org/officeDocument/2006/relationships/drawing" Target="../drawings/drawing1.xml" /></Relationships>
</file>

<file path=xl/worksheets/sheet1.xml><?xml version="1.0" encoding="utf-8"?>
<worksheet xmlns="http://schemas.openxmlformats.org/spreadsheetml/2006/main">
  <sheetPr codeName="2026OKR表"/>
  <dimension ref="Z19"/>
  <sheetViews>
    <sheetView showGridLines="true" tabSelected="false" workbookViewId="0"/>
  </sheetViews>
  <sheetFormatPr defaultColWidth="9" defaultRowHeight="13.5"/>
  <cols>
    <col min="1" max="1" width="5" style="186" customWidth="true"/>
    <col min="2" max="2" width="5.51953" style="187" customWidth="true"/>
    <col min="3" max="3" width="21.0898" style="187" customWidth="true"/>
    <col min="4" max="4" width="43.375" style="187" customWidth="true"/>
    <col min="5" max="5" width="29.75" style="187" customWidth="true"/>
    <col min="6" max="6" width="43.375" style="187" customWidth="true"/>
    <col min="7" max="7" width="18.75" style="187" customWidth="true"/>
    <col min="8" max="8" width="7.625" style="187" customWidth="true"/>
    <col min="9" max="9" width="8" style="187" customWidth="true"/>
    <col min="10" max="10" width="10.25" style="187" customWidth="true"/>
    <col min="11" max="11" width="9.5" style="187" customWidth="true"/>
    <col min="12" max="12" width="47.5898" style="187" customWidth="true"/>
    <col min="13" max="26" width="9" style="187"/>
  </cols>
  <sheetData>
    <row r="1" spans="1:26" s="184" customFormat="true" ht="36" customHeight="true">
      <c r="A1" s="101" t="s">
        <v>154</v>
      </c>
      <c r="B1" s="102" t="s"/>
      <c r="C1" s="102" t="s"/>
      <c r="D1" s="102" t="s"/>
      <c r="E1" s="102" t="s"/>
      <c r="F1" s="102" t="s"/>
      <c r="G1" s="102" t="s"/>
      <c r="H1" s="102" t="s"/>
      <c r="I1" s="102" t="s"/>
      <c r="J1" s="102" t="s"/>
      <c r="K1" s="102" t="s"/>
      <c r="L1" s="102" t="s"/>
      <c r="M1" s="103" t="s"/>
      <c r="N1" s="103" t="s"/>
      <c r="O1" s="103" t="s"/>
      <c r="P1" s="103" t="s"/>
      <c r="Q1" s="103" t="s"/>
      <c r="R1" s="103" t="s"/>
      <c r="S1" s="103" t="s"/>
      <c r="T1" s="103" t="s"/>
      <c r="U1" s="103" t="s"/>
      <c r="V1" s="103" t="s"/>
      <c r="W1" s="103" t="s"/>
      <c r="X1" s="103" t="s"/>
      <c r="Y1" s="103" t="s"/>
      <c r="Z1" s="103" t="s"/>
    </row>
    <row r="2" spans="1:26" s="184" customFormat="true" ht="14.25">
      <c r="A2" s="104" t="s">
        <v>155</v>
      </c>
      <c r="B2" s="104" t="s">
        <v>156</v>
      </c>
      <c r="C2" s="104" t="s">
        <v>157</v>
      </c>
      <c r="D2" s="104" t="s">
        <v>158</v>
      </c>
      <c r="E2" s="105" t="s">
        <v>159</v>
      </c>
      <c r="F2" s="104" t="s">
        <v>160</v>
      </c>
      <c r="G2" s="104" t="s">
        <v>161</v>
      </c>
      <c r="H2" s="104" t="s">
        <v>162</v>
      </c>
      <c r="I2" s="104" t="s">
        <v>163</v>
      </c>
      <c r="J2" s="104" t="s">
        <v>164</v>
      </c>
      <c r="K2" s="104" t="s">
        <v>165</v>
      </c>
      <c r="L2" s="104" t="s">
        <v>166</v>
      </c>
      <c r="M2" s="103" t="s"/>
      <c r="N2" s="103" t="s"/>
      <c r="O2" s="103" t="s"/>
      <c r="P2" s="103" t="s"/>
      <c r="Q2" s="103" t="s"/>
      <c r="R2" s="103" t="s"/>
      <c r="S2" s="103" t="s"/>
      <c r="T2" s="103" t="s"/>
      <c r="U2" s="103" t="s"/>
      <c r="V2" s="103" t="s"/>
      <c r="W2" s="103" t="s"/>
      <c r="X2" s="103" t="s"/>
      <c r="Y2" s="103" t="s"/>
      <c r="Z2" s="103" t="s"/>
    </row>
    <row r="3" spans="1:26" s="184" customFormat="true" ht="14.25">
      <c r="A3" s="106">
        <v>1</v>
      </c>
      <c r="B3" s="107" t="s">
        <v>167</v>
      </c>
      <c r="C3" s="108" t="s">
        <v>168</v>
      </c>
      <c r="D3" s="109" t="s">
        <v>169</v>
      </c>
      <c r="E3" s="110" t="s">
        <v>170</v>
      </c>
      <c r="F3" s="110" t="s">
        <v>171</v>
      </c>
      <c r="G3" s="111" t="s">
        <v>46</v>
      </c>
      <c r="H3" s="112">
        <v>0.25</v>
      </c>
      <c r="I3" s="113">
        <v>0.3</v>
      </c>
      <c r="J3" s="106" t="s">
        <v>172</v>
      </c>
      <c r="K3" s="106" t="s">
        <v>173</v>
      </c>
      <c r="L3" s="114" t="s"/>
      <c r="M3" s="103" t="s"/>
      <c r="N3" s="103" t="s"/>
      <c r="O3" s="103" t="s"/>
      <c r="P3" s="103" t="s"/>
      <c r="Q3" s="103" t="s"/>
      <c r="R3" s="103" t="s"/>
      <c r="S3" s="103" t="s"/>
      <c r="T3" s="103" t="s"/>
      <c r="U3" s="103" t="s"/>
      <c r="V3" s="103" t="s"/>
      <c r="W3" s="103" t="s"/>
      <c r="X3" s="103" t="s"/>
      <c r="Y3" s="103" t="s"/>
      <c r="Z3" s="103" t="s"/>
    </row>
    <row r="4" spans="1:26" s="184" customFormat="true" ht="14.25">
      <c r="A4" s="106">
        <v>2</v>
      </c>
      <c r="B4" s="115" t="s"/>
      <c r="C4" s="116" t="s"/>
      <c r="D4" s="117" t="s"/>
      <c r="E4" s="118" t="s">
        <v>174</v>
      </c>
      <c r="F4" s="118" t="s">
        <v>175</v>
      </c>
      <c r="G4" s="114" t="s">
        <v>176</v>
      </c>
      <c r="H4" s="112">
        <v>0.25</v>
      </c>
      <c r="I4" s="119" t="s"/>
      <c r="J4" s="106" t="s">
        <v>172</v>
      </c>
      <c r="K4" s="106" t="s">
        <v>173</v>
      </c>
      <c r="L4" s="114" t="s"/>
      <c r="M4" s="103" t="s"/>
      <c r="N4" s="103" t="s"/>
      <c r="O4" s="103" t="s"/>
      <c r="P4" s="103" t="s"/>
      <c r="Q4" s="103" t="s"/>
      <c r="R4" s="103" t="s"/>
      <c r="S4" s="103" t="s"/>
      <c r="T4" s="103" t="s"/>
      <c r="U4" s="103" t="s"/>
      <c r="V4" s="103" t="s"/>
      <c r="W4" s="103" t="s"/>
      <c r="X4" s="103" t="s"/>
      <c r="Y4" s="103" t="s"/>
      <c r="Z4" s="103" t="s"/>
    </row>
    <row r="5" spans="1:26" s="184" customFormat="true" ht="14.25">
      <c r="A5" s="106">
        <v>3</v>
      </c>
      <c r="B5" s="115" t="s"/>
      <c r="C5" s="116" t="s"/>
      <c r="D5" s="117" t="s"/>
      <c r="E5" s="118" t="s">
        <v>177</v>
      </c>
      <c r="F5" s="118" t="s">
        <v>178</v>
      </c>
      <c r="G5" s="114" t="s">
        <v>179</v>
      </c>
      <c r="H5" s="112">
        <v>0.25</v>
      </c>
      <c r="I5" s="119" t="s"/>
      <c r="J5" s="106" t="s">
        <v>172</v>
      </c>
      <c r="K5" s="106" t="s">
        <v>173</v>
      </c>
      <c r="L5" s="114" t="s"/>
      <c r="M5" s="103" t="s"/>
      <c r="N5" s="103" t="s"/>
      <c r="O5" s="103" t="s"/>
      <c r="P5" s="103" t="s"/>
      <c r="Q5" s="103" t="s"/>
      <c r="R5" s="103" t="s"/>
      <c r="S5" s="103" t="s"/>
      <c r="T5" s="103" t="s"/>
      <c r="U5" s="103" t="s"/>
      <c r="V5" s="103" t="s"/>
      <c r="W5" s="103" t="s"/>
      <c r="X5" s="103" t="s"/>
      <c r="Y5" s="103" t="s"/>
      <c r="Z5" s="103" t="s"/>
    </row>
    <row r="6" spans="1:26" s="184" customFormat="true" ht="14.25">
      <c r="A6" s="106">
        <v>4</v>
      </c>
      <c r="B6" s="115" t="s"/>
      <c r="C6" s="116" t="s"/>
      <c r="D6" s="117" t="s"/>
      <c r="E6" s="118" t="s">
        <v>180</v>
      </c>
      <c r="F6" s="118" t="s">
        <v>181</v>
      </c>
      <c r="G6" s="114" t="s">
        <v>182</v>
      </c>
      <c r="H6" s="112">
        <v>0.25</v>
      </c>
      <c r="I6" s="119" t="s"/>
      <c r="J6" s="106" t="s">
        <v>172</v>
      </c>
      <c r="K6" s="106" t="s">
        <v>173</v>
      </c>
      <c r="L6" s="114" t="s"/>
      <c r="M6" s="103" t="s"/>
      <c r="N6" s="103" t="s"/>
      <c r="O6" s="103" t="s"/>
      <c r="P6" s="103" t="s"/>
      <c r="Q6" s="103" t="s"/>
      <c r="R6" s="103" t="s"/>
      <c r="S6" s="103" t="s"/>
      <c r="T6" s="103" t="s"/>
      <c r="U6" s="103" t="s"/>
      <c r="V6" s="103" t="s"/>
      <c r="W6" s="103" t="s"/>
      <c r="X6" s="103" t="s"/>
      <c r="Y6" s="103" t="s"/>
      <c r="Z6" s="103" t="s"/>
    </row>
    <row r="7" spans="1:26" s="184" customFormat="true" ht="28.5">
      <c r="A7" s="106">
        <v>5</v>
      </c>
      <c r="B7" s="107" t="s">
        <v>183</v>
      </c>
      <c r="C7" s="108" t="s">
        <v>184</v>
      </c>
      <c r="D7" s="109" t="s">
        <v>185</v>
      </c>
      <c r="E7" s="120" t="s">
        <v>186</v>
      </c>
      <c r="F7" s="120" t="s">
        <v>187</v>
      </c>
      <c r="G7" s="121" t="s">
        <v>188</v>
      </c>
      <c r="H7" s="112">
        <v>0.4</v>
      </c>
      <c r="I7" s="113">
        <v>0.3</v>
      </c>
      <c r="J7" s="106" t="s">
        <v>172</v>
      </c>
      <c r="K7" s="106" t="s">
        <v>173</v>
      </c>
      <c r="L7" s="122" t="s">
        <v>189</v>
      </c>
      <c r="M7" s="103" t="s"/>
      <c r="N7" s="103" t="s"/>
      <c r="O7" s="103" t="s"/>
      <c r="P7" s="103" t="s"/>
      <c r="Q7" s="103" t="s"/>
      <c r="R7" s="103" t="s"/>
      <c r="S7" s="103" t="s"/>
      <c r="T7" s="103" t="s"/>
      <c r="U7" s="103" t="s"/>
      <c r="V7" s="103" t="s"/>
      <c r="W7" s="103" t="s"/>
      <c r="X7" s="103" t="s"/>
      <c r="Y7" s="103" t="s"/>
      <c r="Z7" s="103" t="s"/>
    </row>
    <row r="8" spans="1:26" s="185" customFormat="true" ht="14.25">
      <c r="A8" s="106" t="s"/>
      <c r="B8" s="123" t="s"/>
      <c r="C8" s="124" t="s"/>
      <c r="D8" s="125" t="s"/>
      <c r="E8" s="118" t="s">
        <v>190</v>
      </c>
      <c r="F8" s="118" t="s">
        <v>191</v>
      </c>
      <c r="G8" s="114" t="s">
        <v>192</v>
      </c>
      <c r="H8" s="112">
        <v>0.4</v>
      </c>
      <c r="I8" s="126" t="s"/>
      <c r="J8" s="106" t="s"/>
      <c r="K8" s="106" t="s"/>
      <c r="L8" s="114" t="s">
        <v>193</v>
      </c>
      <c r="M8" s="103" t="s"/>
      <c r="N8" s="103" t="s"/>
      <c r="O8" s="103" t="s"/>
      <c r="P8" s="103" t="s"/>
      <c r="Q8" s="103" t="s"/>
      <c r="R8" s="103" t="s"/>
      <c r="S8" s="103" t="s"/>
      <c r="T8" s="103" t="s"/>
      <c r="U8" s="103" t="s"/>
      <c r="V8" s="103" t="s"/>
      <c r="W8" s="103" t="s"/>
      <c r="X8" s="103" t="s"/>
      <c r="Y8" s="103" t="s"/>
      <c r="Z8" s="103" t="s"/>
    </row>
    <row r="9" spans="1:26" s="184" customFormat="true" ht="14.25">
      <c r="A9" s="106">
        <v>6</v>
      </c>
      <c r="B9" s="115" t="s"/>
      <c r="C9" s="116" t="s"/>
      <c r="D9" s="117" t="s"/>
      <c r="E9" s="122" t="s">
        <v>194</v>
      </c>
      <c r="F9" s="122" t="s">
        <v>195</v>
      </c>
      <c r="G9" s="127" t="s">
        <v>46</v>
      </c>
      <c r="H9" s="112">
        <v>0.2</v>
      </c>
      <c r="I9" s="119" t="s"/>
      <c r="J9" s="106" t="s">
        <v>172</v>
      </c>
      <c r="K9" s="106" t="s">
        <v>173</v>
      </c>
      <c r="L9" s="114" t="s"/>
      <c r="M9" s="103" t="s"/>
      <c r="N9" s="103" t="s"/>
      <c r="O9" s="103" t="s"/>
      <c r="P9" s="103" t="s"/>
      <c r="Q9" s="103" t="s"/>
      <c r="R9" s="103" t="s"/>
      <c r="S9" s="103" t="s"/>
      <c r="T9" s="103" t="s"/>
      <c r="U9" s="103" t="s"/>
      <c r="V9" s="103" t="s"/>
      <c r="W9" s="103" t="s"/>
      <c r="X9" s="103" t="s"/>
      <c r="Y9" s="103" t="s"/>
      <c r="Z9" s="103" t="s"/>
    </row>
    <row r="10" spans="1:26" s="184" customFormat="true" ht="28.5">
      <c r="A10" s="106">
        <v>7</v>
      </c>
      <c r="B10" s="107" t="s">
        <v>196</v>
      </c>
      <c r="C10" s="108" t="s">
        <v>197</v>
      </c>
      <c r="D10" s="109" t="s">
        <v>198</v>
      </c>
      <c r="E10" s="120" t="s">
        <v>199</v>
      </c>
      <c r="F10" s="110" t="s">
        <v>200</v>
      </c>
      <c r="G10" s="121" t="s">
        <v>201</v>
      </c>
      <c r="H10" s="112">
        <v>0.5</v>
      </c>
      <c r="I10" s="113">
        <v>0.2</v>
      </c>
      <c r="J10" s="106" t="s">
        <v>172</v>
      </c>
      <c r="K10" s="106" t="s">
        <v>173</v>
      </c>
      <c r="L10" s="122" t="s">
        <v>202</v>
      </c>
      <c r="M10" s="103" t="s"/>
      <c r="N10" s="103" t="s"/>
      <c r="O10" s="103" t="s"/>
      <c r="P10" s="103" t="s"/>
      <c r="Q10" s="103" t="s"/>
      <c r="R10" s="103" t="s"/>
      <c r="S10" s="103" t="s"/>
      <c r="T10" s="103" t="s"/>
      <c r="U10" s="103" t="s"/>
      <c r="V10" s="103" t="s"/>
      <c r="W10" s="103" t="s"/>
      <c r="X10" s="103" t="s"/>
      <c r="Y10" s="103" t="s"/>
      <c r="Z10" s="103" t="s"/>
    </row>
    <row r="11" spans="1:26" s="184" customFormat="true" ht="28.5">
      <c r="A11" s="106">
        <v>8</v>
      </c>
      <c r="B11" s="115" t="s"/>
      <c r="C11" s="116" t="s"/>
      <c r="D11" s="117" t="s"/>
      <c r="E11" s="118" t="s">
        <v>203</v>
      </c>
      <c r="F11" s="118" t="s">
        <v>204</v>
      </c>
      <c r="G11" s="114" t="s">
        <v>201</v>
      </c>
      <c r="H11" s="112">
        <v>0.5</v>
      </c>
      <c r="I11" s="119" t="s"/>
      <c r="J11" s="128" t="s">
        <v>172</v>
      </c>
      <c r="K11" s="106" t="s">
        <v>173</v>
      </c>
      <c r="L11" s="127" t="s">
        <v>205</v>
      </c>
      <c r="M11" s="103" t="s"/>
      <c r="N11" s="103" t="s"/>
      <c r="O11" s="103" t="s"/>
      <c r="P11" s="103" t="s"/>
      <c r="Q11" s="103" t="s"/>
      <c r="R11" s="103" t="s"/>
      <c r="S11" s="103" t="s"/>
      <c r="T11" s="103" t="s"/>
      <c r="U11" s="103" t="s"/>
      <c r="V11" s="103" t="s"/>
      <c r="W11" s="103" t="s"/>
      <c r="X11" s="103" t="s"/>
      <c r="Y11" s="103" t="s"/>
      <c r="Z11" s="103" t="s"/>
    </row>
    <row r="12" spans="1:26" s="184" customFormat="true" ht="14.25">
      <c r="A12" s="106">
        <v>9</v>
      </c>
      <c r="B12" s="107" t="s">
        <v>206</v>
      </c>
      <c r="C12" s="108" t="s">
        <v>207</v>
      </c>
      <c r="D12" s="109" t="s">
        <v>208</v>
      </c>
      <c r="E12" s="120" t="s">
        <v>209</v>
      </c>
      <c r="F12" s="120" t="s">
        <v>210</v>
      </c>
      <c r="G12" s="121" t="s">
        <v>211</v>
      </c>
      <c r="H12" s="112">
        <v>0.25</v>
      </c>
      <c r="I12" s="113">
        <v>0.1</v>
      </c>
      <c r="J12" s="106" t="s">
        <v>172</v>
      </c>
      <c r="K12" s="106" t="s">
        <v>173</v>
      </c>
      <c r="L12" s="127" t="s">
        <v>212</v>
      </c>
      <c r="M12" s="103" t="s"/>
      <c r="N12" s="103" t="s"/>
      <c r="O12" s="103" t="s"/>
      <c r="P12" s="103" t="s"/>
      <c r="Q12" s="103" t="s"/>
      <c r="R12" s="103" t="s"/>
      <c r="S12" s="103" t="s"/>
      <c r="T12" s="103" t="s"/>
      <c r="U12" s="103" t="s"/>
      <c r="V12" s="103" t="s"/>
      <c r="W12" s="103" t="s"/>
      <c r="X12" s="103" t="s"/>
      <c r="Y12" s="103" t="s"/>
      <c r="Z12" s="103" t="s"/>
    </row>
    <row r="13" spans="1:26" s="184" customFormat="true" ht="14.25">
      <c r="A13" s="106">
        <v>10</v>
      </c>
      <c r="B13" s="115" t="s"/>
      <c r="C13" s="116" t="s"/>
      <c r="D13" s="117" t="s"/>
      <c r="E13" s="118" t="s">
        <v>213</v>
      </c>
      <c r="F13" s="118" t="s">
        <v>210</v>
      </c>
      <c r="G13" s="114" t="s">
        <v>211</v>
      </c>
      <c r="H13" s="112">
        <v>0.25</v>
      </c>
      <c r="I13" s="119" t="s"/>
      <c r="J13" s="106" t="s">
        <v>172</v>
      </c>
      <c r="K13" s="106" t="s">
        <v>173</v>
      </c>
      <c r="L13" s="127" t="s">
        <v>214</v>
      </c>
      <c r="M13" s="103" t="s"/>
      <c r="N13" s="103" t="s"/>
      <c r="O13" s="103" t="s"/>
      <c r="P13" s="103" t="s"/>
      <c r="Q13" s="103" t="s"/>
      <c r="R13" s="103" t="s"/>
      <c r="S13" s="103" t="s"/>
      <c r="T13" s="103" t="s"/>
      <c r="U13" s="103" t="s"/>
      <c r="V13" s="103" t="s"/>
      <c r="W13" s="103" t="s"/>
      <c r="X13" s="103" t="s"/>
      <c r="Y13" s="103" t="s"/>
      <c r="Z13" s="103" t="s"/>
    </row>
    <row r="14" spans="1:26" s="184" customFormat="true" ht="14.25">
      <c r="A14" s="106">
        <v>11</v>
      </c>
      <c r="B14" s="115" t="s"/>
      <c r="C14" s="116" t="s"/>
      <c r="D14" s="117" t="s"/>
      <c r="E14" s="122" t="s">
        <v>215</v>
      </c>
      <c r="F14" s="122" t="s">
        <v>216</v>
      </c>
      <c r="G14" s="127" t="s">
        <v>217</v>
      </c>
      <c r="H14" s="112">
        <v>0.25</v>
      </c>
      <c r="I14" s="119" t="s"/>
      <c r="J14" s="106" t="s">
        <v>172</v>
      </c>
      <c r="K14" s="106" t="s">
        <v>173</v>
      </c>
      <c r="L14" s="114" t="s"/>
      <c r="M14" s="103" t="s"/>
      <c r="N14" s="103" t="s"/>
      <c r="O14" s="103" t="s"/>
      <c r="P14" s="103" t="s"/>
      <c r="Q14" s="103" t="s"/>
      <c r="R14" s="103" t="s"/>
      <c r="S14" s="103" t="s"/>
      <c r="T14" s="103" t="s"/>
      <c r="U14" s="103" t="s"/>
      <c r="V14" s="103" t="s"/>
      <c r="W14" s="103" t="s"/>
      <c r="X14" s="103" t="s"/>
      <c r="Y14" s="103" t="s"/>
      <c r="Z14" s="103" t="s"/>
    </row>
    <row r="15" spans="1:26" s="184" customFormat="true" ht="42.75">
      <c r="A15" s="106">
        <v>12</v>
      </c>
      <c r="B15" s="115" t="s"/>
      <c r="C15" s="116" t="s"/>
      <c r="D15" s="117" t="s"/>
      <c r="E15" s="118" t="s">
        <v>218</v>
      </c>
      <c r="F15" s="122" t="s">
        <v>219</v>
      </c>
      <c r="G15" s="127" t="s">
        <v>220</v>
      </c>
      <c r="H15" s="112">
        <v>0.25</v>
      </c>
      <c r="I15" s="119" t="s"/>
      <c r="J15" s="128" t="s">
        <v>172</v>
      </c>
      <c r="K15" s="106" t="s">
        <v>173</v>
      </c>
      <c r="L15" s="122" t="s">
        <v>221</v>
      </c>
      <c r="M15" s="103" t="s"/>
      <c r="N15" s="103" t="s"/>
      <c r="O15" s="103" t="s"/>
      <c r="P15" s="103" t="s"/>
      <c r="Q15" s="103" t="s"/>
      <c r="R15" s="103" t="s"/>
      <c r="S15" s="103" t="s"/>
      <c r="T15" s="103" t="s"/>
      <c r="U15" s="103" t="s"/>
      <c r="V15" s="103" t="s"/>
      <c r="W15" s="103" t="s"/>
      <c r="X15" s="103" t="s"/>
      <c r="Y15" s="103" t="s"/>
      <c r="Z15" s="103" t="s"/>
    </row>
    <row r="16" spans="1:26" s="184" customFormat="true" ht="42.75">
      <c r="A16" s="106">
        <v>13</v>
      </c>
      <c r="B16" s="107" t="s">
        <v>222</v>
      </c>
      <c r="C16" s="108" t="s">
        <v>223</v>
      </c>
      <c r="D16" s="109" t="s">
        <v>224</v>
      </c>
      <c r="E16" s="110" t="s">
        <v>225</v>
      </c>
      <c r="F16" s="110" t="s">
        <v>226</v>
      </c>
      <c r="G16" s="111" t="s">
        <v>227</v>
      </c>
      <c r="H16" s="112">
        <v>0.25</v>
      </c>
      <c r="I16" s="129">
        <v>0.1</v>
      </c>
      <c r="J16" s="106" t="s">
        <v>172</v>
      </c>
      <c r="K16" s="106" t="s">
        <v>173</v>
      </c>
      <c r="L16" s="127" t="s"/>
      <c r="M16" s="103" t="s"/>
      <c r="N16" s="103" t="s"/>
      <c r="O16" s="103" t="s"/>
      <c r="P16" s="103" t="s"/>
      <c r="Q16" s="103" t="s"/>
      <c r="R16" s="103" t="s"/>
      <c r="S16" s="103" t="s"/>
      <c r="T16" s="103" t="s"/>
      <c r="U16" s="103" t="s"/>
      <c r="V16" s="103" t="s"/>
      <c r="W16" s="103" t="s"/>
      <c r="X16" s="103" t="s"/>
      <c r="Y16" s="103" t="s"/>
      <c r="Z16" s="103" t="s"/>
    </row>
    <row r="17" spans="1:26" s="184" customFormat="true" ht="14.25">
      <c r="A17" s="106">
        <v>14</v>
      </c>
      <c r="B17" s="115" t="s"/>
      <c r="C17" s="116" t="s"/>
      <c r="D17" s="117" t="s"/>
      <c r="E17" s="122" t="s">
        <v>228</v>
      </c>
      <c r="F17" s="122" t="s">
        <v>229</v>
      </c>
      <c r="G17" s="130">
        <v>1</v>
      </c>
      <c r="H17" s="112">
        <v>0.25</v>
      </c>
      <c r="I17" s="131" t="s"/>
      <c r="J17" s="106" t="s">
        <v>172</v>
      </c>
      <c r="K17" s="106" t="s">
        <v>173</v>
      </c>
      <c r="L17" s="114" t="s"/>
      <c r="M17" s="103" t="s"/>
      <c r="N17" s="103" t="s"/>
      <c r="O17" s="103" t="s"/>
      <c r="P17" s="103" t="s"/>
      <c r="Q17" s="103" t="s"/>
      <c r="R17" s="103" t="s"/>
      <c r="S17" s="103" t="s"/>
      <c r="T17" s="103" t="s"/>
      <c r="U17" s="103" t="s"/>
      <c r="V17" s="103" t="s"/>
      <c r="W17" s="103" t="s"/>
      <c r="X17" s="103" t="s"/>
      <c r="Y17" s="103" t="s"/>
      <c r="Z17" s="103" t="s"/>
    </row>
    <row r="18" spans="1:26" s="184" customFormat="true" ht="28.5">
      <c r="A18" s="106">
        <v>15</v>
      </c>
      <c r="B18" s="115" t="s"/>
      <c r="C18" s="116" t="s"/>
      <c r="D18" s="117" t="s"/>
      <c r="E18" s="118" t="s">
        <v>230</v>
      </c>
      <c r="F18" s="122" t="s">
        <v>231</v>
      </c>
      <c r="G18" s="122" t="s">
        <v>232</v>
      </c>
      <c r="H18" s="112">
        <v>0.25</v>
      </c>
      <c r="I18" s="131" t="s"/>
      <c r="J18" s="106" t="s">
        <v>172</v>
      </c>
      <c r="K18" s="106" t="s">
        <v>173</v>
      </c>
      <c r="L18" s="114" t="s"/>
      <c r="M18" s="103" t="s"/>
      <c r="N18" s="103" t="s"/>
      <c r="O18" s="103" t="s"/>
      <c r="P18" s="103" t="s"/>
      <c r="Q18" s="103" t="s"/>
      <c r="R18" s="103" t="s"/>
      <c r="S18" s="103" t="s"/>
      <c r="T18" s="103" t="s"/>
      <c r="U18" s="103" t="s"/>
      <c r="V18" s="103" t="s"/>
      <c r="W18" s="103" t="s"/>
      <c r="X18" s="103" t="s"/>
      <c r="Y18" s="103" t="s"/>
      <c r="Z18" s="103" t="s"/>
    </row>
    <row r="19" spans="1:26" s="184" customFormat="true" ht="28.5">
      <c r="A19" s="106">
        <v>16</v>
      </c>
      <c r="B19" s="115" t="s"/>
      <c r="C19" s="116" t="s"/>
      <c r="D19" s="117" t="s"/>
      <c r="E19" s="118" t="s">
        <v>233</v>
      </c>
      <c r="F19" s="118" t="s">
        <v>234</v>
      </c>
      <c r="G19" s="114" t="s">
        <v>235</v>
      </c>
      <c r="H19" s="112">
        <v>0.25</v>
      </c>
      <c r="I19" s="132" t="s"/>
      <c r="J19" s="106" t="s">
        <v>172</v>
      </c>
      <c r="K19" s="106" t="s">
        <v>173</v>
      </c>
      <c r="L19" s="114" t="s"/>
      <c r="M19" s="103" t="s"/>
      <c r="N19" s="103" t="s"/>
      <c r="O19" s="103" t="s"/>
      <c r="P19" s="103" t="s"/>
      <c r="Q19" s="103" t="s"/>
      <c r="R19" s="103" t="s"/>
      <c r="S19" s="103" t="s"/>
      <c r="T19" s="103" t="s"/>
      <c r="U19" s="103" t="s"/>
      <c r="V19" s="103" t="s"/>
      <c r="W19" s="103" t="s"/>
      <c r="X19" s="103" t="s"/>
      <c r="Y19" s="103" t="s"/>
      <c r="Z19" s="103" t="s"/>
    </row>
  </sheetData>
  <mergeCells count="21">
    <mergeCell ref="A1:L1"/>
    <mergeCell ref="B3:B6"/>
    <mergeCell ref="B10:B11"/>
    <mergeCell ref="B12:B15"/>
    <mergeCell ref="B16:B19"/>
    <mergeCell ref="C3:C6"/>
    <mergeCell ref="C10:C11"/>
    <mergeCell ref="C12:C15"/>
    <mergeCell ref="C16:C19"/>
    <mergeCell ref="D3:D6"/>
    <mergeCell ref="D10:D11"/>
    <mergeCell ref="D12:D15"/>
    <mergeCell ref="D16:D19"/>
    <mergeCell ref="I3:I6"/>
    <mergeCell ref="I10:I11"/>
    <mergeCell ref="I12:I15"/>
    <mergeCell ref="I16:I19"/>
    <mergeCell ref="B7:B9"/>
    <mergeCell ref="C7:C9"/>
    <mergeCell ref="D7:D9"/>
    <mergeCell ref="I7:I9"/>
  </mergeCells>
  <pageMargins left="0.7" right="0.7" top="0.75" bottom="0.75" header="0.3" footer="0.3"/>
  <pageSetup paperSize="9" orientation="portrait"/>
  <headerFooter/>
</worksheet>
</file>

<file path=xl/worksheets/sheet2.xml><?xml version="1.0" encoding="utf-8"?>
<worksheet xmlns="http://schemas.openxmlformats.org/spreadsheetml/2006/main">
  <sheetPr codeName="硬件人力甘特图"/>
  <dimension ref="M37"/>
  <sheetViews>
    <sheetView showGridLines="true" workbookViewId="0"/>
  </sheetViews>
  <sheetFormatPr defaultColWidth="9" defaultRowHeight="13.5"/>
  <cols>
    <col min="1" max="1" width="10.3008" style="187" customWidth="true"/>
    <col min="2" max="2" width="14.7109" style="187" customWidth="true"/>
    <col min="3" max="3" width="17.7812" style="187" customWidth="true"/>
    <col min="4" max="4" width="10.543" style="187" customWidth="true"/>
    <col min="5" max="5" width="9.8125" style="187" customWidth="true"/>
    <col min="6" max="6" width="10.6719" style="187" customWidth="true"/>
    <col min="7" max="7" width="11.7695" style="187" customWidth="true"/>
    <col min="8" max="11" width="12.3828" style="187" customWidth="true"/>
    <col min="12" max="12" width="17.4102" style="187" customWidth="true"/>
    <col min="13" max="13" width="24.2812" style="187" customWidth="true"/>
    <col min="14" max="26" width="9" style="187"/>
  </cols>
  <sheetData>
    <row r="1" spans="1:13">
      <c r="A1" s="68" t="s">
        <v>75</v>
      </c>
      <c r="B1" s="5" t="s"/>
      <c r="C1" s="5" t="s"/>
      <c r="D1" s="5" t="s"/>
      <c r="E1" s="5" t="s"/>
      <c r="F1" s="5" t="s"/>
      <c r="G1" s="5" t="s"/>
      <c r="H1" s="5" t="s"/>
      <c r="I1" s="5" t="s"/>
      <c r="J1" s="5" t="s"/>
      <c r="K1" s="5" t="s"/>
      <c r="L1" s="5" t="s"/>
      <c r="M1" s="44" t="s"/>
    </row>
    <row r="2" spans="1:13">
      <c r="A2" s="5" t="s"/>
      <c r="B2" s="5" t="s"/>
      <c r="C2" s="5" t="s"/>
      <c r="D2" s="5" t="s"/>
      <c r="E2" s="5" t="s"/>
      <c r="F2" s="5" t="s"/>
      <c r="G2" s="5" t="s"/>
      <c r="H2" s="5" t="s"/>
      <c r="I2" s="5" t="s"/>
      <c r="J2" s="5" t="s"/>
      <c r="K2" s="5" t="s"/>
      <c r="L2" s="5" t="s"/>
      <c r="M2" s="44" t="s"/>
    </row>
    <row r="3" spans="1:13">
      <c r="A3" s="68" t="s">
        <v>76</v>
      </c>
      <c r="B3" s="5" t="s"/>
      <c r="C3" s="5" t="s"/>
      <c r="D3" s="8" t="s">
        <v>77</v>
      </c>
      <c r="E3" s="5" t="s"/>
      <c r="F3" s="5" t="s"/>
      <c r="G3" s="5" t="s"/>
      <c r="H3" s="5" t="s"/>
      <c r="I3" s="5" t="s"/>
      <c r="J3" s="5" t="s"/>
      <c r="K3" s="5" t="s"/>
      <c r="L3" s="5" t="s"/>
      <c r="M3" s="44" t="s"/>
    </row>
    <row r="4" spans="1:13">
      <c r="A4" s="69" t="s">
        <v>78</v>
      </c>
      <c r="B4" s="69" t="s">
        <v>79</v>
      </c>
      <c r="C4" s="69" t="s">
        <v>80</v>
      </c>
      <c r="D4" s="70" t="s">
        <v>81</v>
      </c>
      <c r="E4" s="70" t="s">
        <v>82</v>
      </c>
      <c r="F4" s="70" t="s">
        <v>83</v>
      </c>
      <c r="G4" s="70" t="s">
        <v>84</v>
      </c>
      <c r="H4" s="70" t="s">
        <v>85</v>
      </c>
      <c r="I4" s="70" t="s">
        <v>86</v>
      </c>
      <c r="J4" s="70" t="s">
        <v>87</v>
      </c>
      <c r="K4" s="70" t="s">
        <v>88</v>
      </c>
      <c r="L4" s="70" t="s">
        <v>89</v>
      </c>
      <c r="M4" s="44" t="s"/>
    </row>
    <row r="5" spans="1:13">
      <c r="A5" s="71" t="s">
        <v>90</v>
      </c>
      <c r="B5" s="72" t="s">
        <v>91</v>
      </c>
      <c r="C5" s="73" t="s">
        <v>46</v>
      </c>
      <c r="D5" s="72" t="s">
        <v>92</v>
      </c>
      <c r="E5" s="72" t="s">
        <v>92</v>
      </c>
      <c r="F5" s="72" t="s">
        <v>92</v>
      </c>
      <c r="G5" s="72" t="s">
        <v>92</v>
      </c>
      <c r="H5" s="72" t="s">
        <v>92</v>
      </c>
      <c r="I5" s="72" t="s">
        <v>93</v>
      </c>
      <c r="J5" s="72" t="s">
        <v>93</v>
      </c>
      <c r="K5" s="72" t="s">
        <v>93</v>
      </c>
      <c r="L5" s="72" t="s">
        <v>93</v>
      </c>
      <c r="M5" s="74" t="s"/>
    </row>
    <row r="6" spans="1:13">
      <c r="A6" s="71" t="s">
        <v>94</v>
      </c>
      <c r="B6" s="72" t="s">
        <v>95</v>
      </c>
      <c r="C6" s="73" t="s">
        <v>96</v>
      </c>
      <c r="D6" s="72" t="s">
        <v>97</v>
      </c>
      <c r="E6" s="72" t="s">
        <v>97</v>
      </c>
      <c r="F6" s="72" t="s">
        <v>98</v>
      </c>
      <c r="G6" s="72" t="s">
        <v>98</v>
      </c>
      <c r="H6" s="72" t="s">
        <v>98</v>
      </c>
      <c r="I6" s="72" t="s">
        <v>99</v>
      </c>
      <c r="J6" s="72" t="s">
        <v>99</v>
      </c>
      <c r="K6" s="72" t="s">
        <v>99</v>
      </c>
      <c r="L6" s="72" t="s">
        <v>99</v>
      </c>
      <c r="M6" s="74" t="s">
        <v>100</v>
      </c>
    </row>
    <row r="7" spans="1:13">
      <c r="A7" s="75" t="s">
        <v>101</v>
      </c>
      <c r="B7" s="72" t="s">
        <v>102</v>
      </c>
      <c r="C7" s="73" t="s">
        <v>96</v>
      </c>
      <c r="D7" s="72" t="s">
        <v>103</v>
      </c>
      <c r="E7" s="72" t="s">
        <v>103</v>
      </c>
      <c r="F7" s="72" t="s">
        <v>104</v>
      </c>
      <c r="G7" s="72" t="s">
        <v>105</v>
      </c>
      <c r="H7" s="72" t="s">
        <v>104</v>
      </c>
      <c r="I7" s="72" t="s">
        <v>106</v>
      </c>
      <c r="J7" s="72" t="s">
        <v>106</v>
      </c>
      <c r="K7" s="72" t="s">
        <v>107</v>
      </c>
      <c r="L7" s="72" t="s">
        <v>107</v>
      </c>
      <c r="M7" s="44" t="s"/>
    </row>
    <row r="8" spans="1:13">
      <c r="A8" s="75" t="s">
        <v>108</v>
      </c>
      <c r="B8" s="72" t="s">
        <v>102</v>
      </c>
      <c r="C8" s="73" t="s">
        <v>96</v>
      </c>
      <c r="D8" s="72" t="s">
        <v>97</v>
      </c>
      <c r="E8" s="72" t="s">
        <v>97</v>
      </c>
      <c r="F8" s="72" t="s">
        <v>97</v>
      </c>
      <c r="G8" s="72" t="s">
        <v>97</v>
      </c>
      <c r="H8" s="72" t="s">
        <v>97</v>
      </c>
      <c r="I8" s="72" t="s">
        <v>109</v>
      </c>
      <c r="J8" s="72" t="s">
        <v>109</v>
      </c>
      <c r="K8" s="72" t="s">
        <v>107</v>
      </c>
      <c r="L8" s="72" t="s">
        <v>107</v>
      </c>
      <c r="M8" s="44" t="s"/>
    </row>
    <row r="9" spans="1:13">
      <c r="A9" s="75" t="s">
        <v>110</v>
      </c>
      <c r="B9" s="72" t="s">
        <v>111</v>
      </c>
      <c r="C9" s="73" t="s">
        <v>112</v>
      </c>
      <c r="D9" s="72" t="s">
        <v>97</v>
      </c>
      <c r="E9" s="72" t="s">
        <v>113</v>
      </c>
      <c r="F9" s="72" t="s">
        <v>104</v>
      </c>
      <c r="G9" s="72" t="s">
        <v>104</v>
      </c>
      <c r="H9" s="72" t="s">
        <v>104</v>
      </c>
      <c r="I9" s="72" t="s">
        <v>113</v>
      </c>
      <c r="J9" s="72" t="s">
        <v>113</v>
      </c>
      <c r="K9" s="72" t="s">
        <v>113</v>
      </c>
      <c r="L9" s="72" t="s">
        <v>113</v>
      </c>
      <c r="M9" s="44" t="s"/>
    </row>
    <row r="10" spans="1:13">
      <c r="A10" s="75" t="s">
        <v>114</v>
      </c>
      <c r="B10" s="72" t="s">
        <v>115</v>
      </c>
      <c r="C10" s="73" t="s">
        <v>112</v>
      </c>
      <c r="D10" s="72" t="s">
        <v>97</v>
      </c>
      <c r="E10" s="72" t="s">
        <v>97</v>
      </c>
      <c r="F10" s="72" t="s">
        <v>97</v>
      </c>
      <c r="G10" s="72" t="s">
        <v>116</v>
      </c>
      <c r="H10" s="72" t="s">
        <v>116</v>
      </c>
      <c r="I10" s="72" t="s">
        <v>117</v>
      </c>
      <c r="J10" s="72" t="s">
        <v>117</v>
      </c>
      <c r="K10" s="72" t="s">
        <v>117</v>
      </c>
      <c r="L10" s="72" t="s">
        <v>117</v>
      </c>
      <c r="M10" s="44" t="s"/>
    </row>
    <row r="11" spans="1:13">
      <c r="A11" s="75" t="s">
        <v>118</v>
      </c>
      <c r="B11" s="72" t="s">
        <v>119</v>
      </c>
      <c r="C11" s="73" t="s">
        <v>112</v>
      </c>
      <c r="D11" s="72" t="s">
        <v>120</v>
      </c>
      <c r="E11" s="72" t="s">
        <v>120</v>
      </c>
      <c r="F11" s="72" t="s">
        <v>120</v>
      </c>
      <c r="G11" s="72" t="s">
        <v>120</v>
      </c>
      <c r="H11" s="72" t="s">
        <v>120</v>
      </c>
      <c r="I11" s="72" t="s">
        <v>120</v>
      </c>
      <c r="J11" s="72" t="s">
        <v>120</v>
      </c>
      <c r="K11" s="72" t="s">
        <v>120</v>
      </c>
      <c r="L11" s="72" t="s">
        <v>120</v>
      </c>
      <c r="M11" s="44" t="s"/>
    </row>
    <row r="12" spans="1:13">
      <c r="A12" s="76" t="s">
        <v>121</v>
      </c>
      <c r="B12" s="72" t="s">
        <v>102</v>
      </c>
      <c r="C12" s="77" t="s">
        <v>96</v>
      </c>
      <c r="D12" s="72" t="s">
        <v>97</v>
      </c>
      <c r="E12" s="72" t="s">
        <v>97</v>
      </c>
      <c r="F12" s="72" t="s">
        <v>46</v>
      </c>
      <c r="G12" s="72" t="s">
        <v>46</v>
      </c>
      <c r="H12" s="72" t="s">
        <v>46</v>
      </c>
      <c r="I12" s="72" t="s">
        <v>46</v>
      </c>
      <c r="J12" s="72" t="s">
        <v>46</v>
      </c>
      <c r="K12" s="72" t="s">
        <v>46</v>
      </c>
      <c r="L12" s="72" t="s">
        <v>46</v>
      </c>
      <c r="M12" s="44" t="s"/>
    </row>
    <row r="13" spans="1:13">
      <c r="A13" s="76" t="s">
        <v>122</v>
      </c>
      <c r="B13" s="72" t="s">
        <v>102</v>
      </c>
      <c r="C13" s="77" t="s">
        <v>96</v>
      </c>
      <c r="D13" s="72" t="s">
        <v>113</v>
      </c>
      <c r="E13" s="72" t="s">
        <v>113</v>
      </c>
      <c r="F13" s="72" t="s">
        <v>46</v>
      </c>
      <c r="G13" s="72" t="s">
        <v>46</v>
      </c>
      <c r="H13" s="72" t="s">
        <v>46</v>
      </c>
      <c r="I13" s="72" t="s">
        <v>46</v>
      </c>
      <c r="J13" s="72" t="s">
        <v>46</v>
      </c>
      <c r="K13" s="72" t="s">
        <v>46</v>
      </c>
      <c r="L13" s="72" t="s">
        <v>46</v>
      </c>
      <c r="M13" s="44" t="s"/>
    </row>
    <row r="14" spans="1:13">
      <c r="A14" s="78" t="s">
        <v>123</v>
      </c>
      <c r="B14" s="72" t="s">
        <v>124</v>
      </c>
      <c r="C14" s="73" t="s">
        <v>112</v>
      </c>
      <c r="D14" s="72" t="s">
        <v>97</v>
      </c>
      <c r="E14" s="72" t="s">
        <v>97</v>
      </c>
      <c r="F14" s="72" t="s">
        <v>46</v>
      </c>
      <c r="G14" s="72" t="s">
        <v>46</v>
      </c>
      <c r="H14" s="72" t="s">
        <v>46</v>
      </c>
      <c r="I14" s="72" t="s">
        <v>46</v>
      </c>
      <c r="J14" s="72" t="s">
        <v>46</v>
      </c>
      <c r="K14" s="72" t="s">
        <v>46</v>
      </c>
      <c r="L14" s="72" t="s">
        <v>46</v>
      </c>
      <c r="M14" s="44" t="s"/>
    </row>
    <row r="15" spans="1:13">
      <c r="A15" s="78" t="s">
        <v>125</v>
      </c>
      <c r="B15" s="72" t="s">
        <v>102</v>
      </c>
      <c r="C15" s="73" t="s">
        <v>126</v>
      </c>
      <c r="D15" s="72" t="s">
        <v>46</v>
      </c>
      <c r="E15" s="72" t="s">
        <v>46</v>
      </c>
      <c r="F15" s="72" t="s">
        <v>46</v>
      </c>
      <c r="G15" s="72" t="s">
        <v>97</v>
      </c>
      <c r="H15" s="72" t="s">
        <v>113</v>
      </c>
      <c r="I15" s="72" t="s">
        <v>107</v>
      </c>
      <c r="J15" s="72" t="s">
        <v>107</v>
      </c>
      <c r="K15" s="72" t="s">
        <v>107</v>
      </c>
      <c r="L15" s="72" t="s">
        <v>107</v>
      </c>
      <c r="M15" s="44" t="s"/>
    </row>
    <row r="16" spans="1:13">
      <c r="A16" s="78" t="s">
        <v>127</v>
      </c>
      <c r="B16" s="72" t="s">
        <v>102</v>
      </c>
      <c r="C16" s="73" t="s">
        <v>128</v>
      </c>
      <c r="D16" s="72" t="s">
        <v>46</v>
      </c>
      <c r="E16" s="72" t="s">
        <v>46</v>
      </c>
      <c r="F16" s="72" t="s">
        <v>46</v>
      </c>
      <c r="G16" s="72" t="s">
        <v>113</v>
      </c>
      <c r="H16" s="72" t="s">
        <v>113</v>
      </c>
      <c r="I16" s="72" t="s">
        <v>113</v>
      </c>
      <c r="J16" s="72" t="s">
        <v>113</v>
      </c>
      <c r="K16" s="72" t="s">
        <v>113</v>
      </c>
      <c r="L16" s="72" t="s">
        <v>113</v>
      </c>
      <c r="M16" s="44" t="s"/>
    </row>
    <row r="17" spans="1:13">
      <c r="A17" s="78" t="s">
        <v>129</v>
      </c>
      <c r="B17" s="72" t="s">
        <v>102</v>
      </c>
      <c r="C17" s="73" t="s">
        <v>130</v>
      </c>
      <c r="D17" s="72" t="s">
        <v>46</v>
      </c>
      <c r="E17" s="72" t="s">
        <v>46</v>
      </c>
      <c r="F17" s="72" t="s">
        <v>46</v>
      </c>
      <c r="G17" s="72" t="s">
        <v>97</v>
      </c>
      <c r="H17" s="72" t="s">
        <v>97</v>
      </c>
      <c r="I17" s="72" t="s">
        <v>113</v>
      </c>
      <c r="J17" s="72" t="s">
        <v>113</v>
      </c>
      <c r="K17" s="72" t="s">
        <v>113</v>
      </c>
      <c r="L17" s="72" t="s">
        <v>113</v>
      </c>
      <c r="M17" s="44" t="s"/>
    </row>
    <row r="18" spans="1:13">
      <c r="A18" s="79" t="s">
        <v>131</v>
      </c>
      <c r="B18" s="72" t="s">
        <v>132</v>
      </c>
      <c r="C18" s="73" t="s">
        <v>133</v>
      </c>
      <c r="D18" s="80" t="s">
        <v>134</v>
      </c>
      <c r="E18" s="42" t="s"/>
      <c r="F18" s="42" t="s"/>
      <c r="G18" s="42" t="s"/>
      <c r="H18" s="42" t="s"/>
      <c r="I18" s="42" t="s"/>
      <c r="J18" s="42" t="s"/>
      <c r="K18" s="42" t="s"/>
      <c r="L18" s="43" t="s"/>
      <c r="M18" s="44" t="s"/>
    </row>
    <row r="19" spans="1:13">
      <c r="A19" s="79" t="s">
        <v>135</v>
      </c>
      <c r="B19" s="72" t="s">
        <v>136</v>
      </c>
      <c r="C19" s="73" t="s">
        <v>133</v>
      </c>
      <c r="D19" s="81" t="s">
        <v>137</v>
      </c>
      <c r="E19" s="42" t="s"/>
      <c r="F19" s="42" t="s"/>
      <c r="G19" s="42" t="s"/>
      <c r="H19" s="42" t="s"/>
      <c r="I19" s="42" t="s"/>
      <c r="J19" s="42" t="s"/>
      <c r="K19" s="42" t="s"/>
      <c r="L19" s="43" t="s"/>
      <c r="M19" s="44" t="s"/>
    </row>
    <row r="20" spans="1:13">
      <c r="A20" s="79" t="s">
        <v>138</v>
      </c>
      <c r="B20" s="72" t="s">
        <v>139</v>
      </c>
      <c r="C20" s="73" t="s">
        <v>133</v>
      </c>
      <c r="D20" s="82" t="s">
        <v>140</v>
      </c>
      <c r="E20" s="42" t="s"/>
      <c r="F20" s="42" t="s"/>
      <c r="G20" s="42" t="s"/>
      <c r="H20" s="42" t="s"/>
      <c r="I20" s="42" t="s"/>
      <c r="J20" s="42" t="s"/>
      <c r="K20" s="42" t="s"/>
      <c r="L20" s="43" t="s"/>
      <c r="M20" s="44" t="s"/>
    </row>
    <row r="21" spans="1:13">
      <c r="A21" s="44" t="s"/>
      <c r="B21" s="44" t="s"/>
      <c r="C21" s="44" t="s"/>
      <c r="D21" s="44" t="s"/>
      <c r="E21" s="44" t="s"/>
      <c r="F21" s="44" t="s"/>
      <c r="G21" s="44" t="s"/>
      <c r="H21" s="44" t="s"/>
      <c r="I21" s="44" t="s"/>
      <c r="J21" s="44" t="s"/>
      <c r="K21" s="44" t="s"/>
      <c r="L21" s="44" t="s"/>
      <c r="M21" s="44" t="s"/>
    </row>
    <row r="22" spans="1:13">
      <c r="A22" s="44" t="s"/>
      <c r="B22" s="44" t="s"/>
      <c r="C22" s="44" t="s"/>
      <c r="D22" s="44" t="s"/>
      <c r="E22" s="44" t="s"/>
      <c r="F22" s="44" t="s"/>
      <c r="G22" s="44" t="s"/>
      <c r="H22" s="44" t="s"/>
      <c r="I22" s="44" t="s"/>
      <c r="J22" s="44" t="s"/>
      <c r="K22" s="44" t="s"/>
      <c r="L22" s="44" t="s"/>
      <c r="M22" s="44" t="s"/>
    </row>
    <row r="23" spans="1:13">
      <c r="A23" s="68" t="s">
        <v>141</v>
      </c>
      <c r="B23" s="5" t="s"/>
      <c r="C23" s="5" t="s"/>
      <c r="D23" s="5" t="s"/>
      <c r="E23" s="5" t="s"/>
      <c r="F23" s="5" t="s"/>
      <c r="G23" s="5" t="s"/>
      <c r="H23" s="5" t="s"/>
      <c r="I23" s="5" t="s"/>
      <c r="J23" s="5" t="s"/>
      <c r="K23" s="5" t="s"/>
      <c r="L23" s="5" t="s"/>
      <c r="M23" s="83" t="s"/>
    </row>
    <row r="24" spans="1:13">
      <c r="A24" s="5" t="s"/>
      <c r="B24" s="5" t="s"/>
      <c r="C24" s="5" t="s"/>
      <c r="D24" s="5" t="s"/>
      <c r="E24" s="5" t="s"/>
      <c r="F24" s="5" t="s"/>
      <c r="G24" s="5" t="s"/>
      <c r="H24" s="5" t="s"/>
      <c r="I24" s="5" t="s"/>
      <c r="J24" s="5" t="s"/>
      <c r="K24" s="5" t="s"/>
      <c r="L24" s="5" t="s"/>
      <c r="M24" s="83" t="s"/>
    </row>
    <row r="25" spans="1:13">
      <c r="A25" s="68" t="s">
        <v>142</v>
      </c>
      <c r="B25" s="5" t="s"/>
      <c r="C25" s="5" t="s"/>
      <c r="D25" s="8" t="s">
        <v>77</v>
      </c>
      <c r="E25" s="5" t="s"/>
      <c r="F25" s="5" t="s"/>
      <c r="G25" s="5" t="s"/>
      <c r="H25" s="5" t="s"/>
      <c r="I25" s="5" t="s"/>
      <c r="J25" s="5" t="s"/>
      <c r="K25" s="5" t="s"/>
      <c r="L25" s="5" t="s"/>
      <c r="M25" s="83" t="s"/>
    </row>
    <row r="26" spans="1:13">
      <c r="A26" s="84" t="s">
        <v>143</v>
      </c>
      <c r="B26" s="84" t="s">
        <v>79</v>
      </c>
      <c r="C26" s="85" t="s">
        <v>144</v>
      </c>
      <c r="D26" s="86" t="s">
        <v>81</v>
      </c>
      <c r="E26" s="86" t="s">
        <v>82</v>
      </c>
      <c r="F26" s="86" t="s">
        <v>83</v>
      </c>
      <c r="G26" s="86" t="s">
        <v>84</v>
      </c>
      <c r="H26" s="86" t="s">
        <v>85</v>
      </c>
      <c r="I26" s="87" t="s">
        <v>86</v>
      </c>
      <c r="J26" s="87" t="s">
        <v>87</v>
      </c>
      <c r="K26" s="87" t="s">
        <v>88</v>
      </c>
      <c r="L26" s="87" t="s">
        <v>89</v>
      </c>
      <c r="M26" s="83" t="s"/>
    </row>
    <row r="27" spans="1:13">
      <c r="A27" s="88" t="s">
        <v>145</v>
      </c>
      <c r="B27" s="89" t="s">
        <v>145</v>
      </c>
      <c r="C27" s="90">
        <f>=D27/D37*100%</f>
        <v>0.0833333333333333</v>
      </c>
      <c r="D27" s="91">
        <v>1</v>
      </c>
      <c r="E27" s="91">
        <v>1</v>
      </c>
      <c r="F27" s="91">
        <v>1</v>
      </c>
      <c r="G27" s="91">
        <v>1</v>
      </c>
      <c r="H27" s="91">
        <v>1</v>
      </c>
      <c r="I27" s="92">
        <v>1</v>
      </c>
      <c r="J27" s="92">
        <v>1</v>
      </c>
      <c r="K27" s="92">
        <v>1</v>
      </c>
      <c r="L27" s="92">
        <v>1</v>
      </c>
      <c r="M27" s="83" t="s"/>
    </row>
    <row r="28" spans="1:13">
      <c r="A28" s="72" t="s">
        <v>97</v>
      </c>
      <c r="B28" s="93" t="s">
        <v>146</v>
      </c>
      <c r="C28" s="94">
        <f>=D28/D37*100%</f>
        <v>0.333333333333333</v>
      </c>
      <c r="D28" s="72">
        <v>4</v>
      </c>
      <c r="E28" s="72">
        <v>3</v>
      </c>
      <c r="F28" s="72">
        <v>3</v>
      </c>
      <c r="G28" s="72">
        <v>4</v>
      </c>
      <c r="H28" s="72">
        <v>3</v>
      </c>
      <c r="I28" s="95">
        <v>0</v>
      </c>
      <c r="J28" s="95">
        <v>0</v>
      </c>
      <c r="K28" s="95">
        <v>0</v>
      </c>
      <c r="L28" s="95">
        <v>0</v>
      </c>
      <c r="M28" s="83" t="s"/>
    </row>
    <row r="29" spans="1:13">
      <c r="A29" s="72" t="s">
        <v>113</v>
      </c>
      <c r="B29" s="93" t="s">
        <v>146</v>
      </c>
      <c r="C29" s="96">
        <f>=D29/D37*100%</f>
        <v>0.166666666666667</v>
      </c>
      <c r="D29" s="97">
        <v>2</v>
      </c>
      <c r="E29" s="97">
        <v>3</v>
      </c>
      <c r="F29" s="97">
        <v>3</v>
      </c>
      <c r="G29" s="72">
        <v>4</v>
      </c>
      <c r="H29" s="72">
        <v>5</v>
      </c>
      <c r="I29" s="72">
        <v>4</v>
      </c>
      <c r="J29" s="72">
        <v>5</v>
      </c>
      <c r="K29" s="72">
        <v>4</v>
      </c>
      <c r="L29" s="72">
        <v>4</v>
      </c>
      <c r="M29" s="83" t="s"/>
    </row>
    <row r="30" spans="1:13">
      <c r="A30" s="72" t="s">
        <v>107</v>
      </c>
      <c r="B30" s="72" t="s">
        <v>146</v>
      </c>
      <c r="C30" s="96">
        <f>=D30/D37*100%</f>
        <v>0</v>
      </c>
      <c r="D30" s="98">
        <v>0</v>
      </c>
      <c r="E30" s="98">
        <v>0</v>
      </c>
      <c r="F30" s="99">
        <v>0</v>
      </c>
      <c r="G30" s="99">
        <v>0</v>
      </c>
      <c r="H30" s="99">
        <v>0</v>
      </c>
      <c r="I30" s="97">
        <v>3</v>
      </c>
      <c r="J30" s="97">
        <v>3</v>
      </c>
      <c r="K30" s="97">
        <v>3</v>
      </c>
      <c r="L30" s="97">
        <v>3</v>
      </c>
      <c r="M30" s="83" t="s"/>
    </row>
    <row r="31" spans="1:13">
      <c r="A31" s="72" t="s">
        <v>147</v>
      </c>
      <c r="B31" s="72" t="s">
        <v>146</v>
      </c>
      <c r="C31" s="100">
        <f>=D31/D37*100%</f>
        <v>0.0833333333333333</v>
      </c>
      <c r="D31" s="72">
        <v>1</v>
      </c>
      <c r="E31" s="72">
        <v>1</v>
      </c>
      <c r="F31" s="72">
        <v>1</v>
      </c>
      <c r="G31" s="72">
        <v>1</v>
      </c>
      <c r="H31" s="72">
        <v>1</v>
      </c>
      <c r="I31" s="72">
        <v>1</v>
      </c>
      <c r="J31" s="72">
        <v>1</v>
      </c>
      <c r="K31" s="72">
        <v>1</v>
      </c>
      <c r="L31" s="72">
        <v>1</v>
      </c>
      <c r="M31" s="83" t="s"/>
    </row>
    <row r="32" spans="1:13">
      <c r="A32" s="72" t="s">
        <v>148</v>
      </c>
      <c r="B32" s="72" t="s">
        <v>146</v>
      </c>
      <c r="C32" s="100">
        <f>=D32/D37*100%</f>
        <v>0</v>
      </c>
      <c r="D32" s="95">
        <v>0</v>
      </c>
      <c r="E32" s="95">
        <v>0</v>
      </c>
      <c r="F32" s="72">
        <v>3</v>
      </c>
      <c r="G32" s="72">
        <v>4</v>
      </c>
      <c r="H32" s="72">
        <v>4</v>
      </c>
      <c r="I32" s="72">
        <v>1</v>
      </c>
      <c r="J32" s="72">
        <v>1</v>
      </c>
      <c r="K32" s="95">
        <v>0</v>
      </c>
      <c r="L32" s="95">
        <v>0</v>
      </c>
      <c r="M32" s="83" t="s"/>
    </row>
    <row r="33" spans="1:13">
      <c r="A33" s="72" t="s">
        <v>149</v>
      </c>
      <c r="B33" s="72" t="s">
        <v>146</v>
      </c>
      <c r="C33" s="100">
        <f>=D33/D37*100%</f>
        <v>0.0833333333333333</v>
      </c>
      <c r="D33" s="72">
        <v>1</v>
      </c>
      <c r="E33" s="72">
        <v>1</v>
      </c>
      <c r="F33" s="72">
        <v>1</v>
      </c>
      <c r="G33" s="72">
        <v>1</v>
      </c>
      <c r="H33" s="72">
        <v>1</v>
      </c>
      <c r="I33" s="72">
        <v>1</v>
      </c>
      <c r="J33" s="72">
        <v>1</v>
      </c>
      <c r="K33" s="72">
        <v>1</v>
      </c>
      <c r="L33" s="72">
        <v>1</v>
      </c>
      <c r="M33" s="83" t="s"/>
    </row>
    <row r="34" spans="1:13">
      <c r="A34" s="72" t="s">
        <v>150</v>
      </c>
      <c r="B34" s="72" t="s">
        <v>146</v>
      </c>
      <c r="C34" s="100">
        <f>=D34/D37*100%</f>
        <v>0.0833333333333333</v>
      </c>
      <c r="D34" s="72">
        <v>1</v>
      </c>
      <c r="E34" s="72">
        <v>1</v>
      </c>
      <c r="F34" s="72">
        <v>1</v>
      </c>
      <c r="G34" s="72">
        <v>1</v>
      </c>
      <c r="H34" s="72">
        <v>1</v>
      </c>
      <c r="I34" s="72">
        <v>1</v>
      </c>
      <c r="J34" s="72">
        <v>1</v>
      </c>
      <c r="K34" s="72">
        <v>1</v>
      </c>
      <c r="L34" s="72">
        <v>1</v>
      </c>
      <c r="M34" s="83" t="s"/>
    </row>
    <row r="35" spans="1:13">
      <c r="A35" s="72" t="s">
        <v>151</v>
      </c>
      <c r="B35" s="72" t="s">
        <v>152</v>
      </c>
      <c r="C35" s="100">
        <f>=D35/D37*100%</f>
        <v>0.0833333333333333</v>
      </c>
      <c r="D35" s="72">
        <v>1</v>
      </c>
      <c r="E35" s="72">
        <v>1</v>
      </c>
      <c r="F35" s="72">
        <v>1</v>
      </c>
      <c r="G35" s="72">
        <v>1</v>
      </c>
      <c r="H35" s="72">
        <v>1</v>
      </c>
      <c r="I35" s="72">
        <v>1</v>
      </c>
      <c r="J35" s="72">
        <v>1</v>
      </c>
      <c r="K35" s="72">
        <v>1</v>
      </c>
      <c r="L35" s="72">
        <v>1</v>
      </c>
      <c r="M35" s="83" t="s"/>
    </row>
    <row r="36" spans="1:13">
      <c r="A36" s="72" t="s">
        <v>99</v>
      </c>
      <c r="B36" s="72" t="s">
        <v>152</v>
      </c>
      <c r="C36" s="100">
        <f>=D36/D37*100%</f>
        <v>0.0833333333333333</v>
      </c>
      <c r="D36" s="72">
        <v>1</v>
      </c>
      <c r="E36" s="72">
        <v>1</v>
      </c>
      <c r="F36" s="72">
        <v>1</v>
      </c>
      <c r="G36" s="72">
        <v>1</v>
      </c>
      <c r="H36" s="72">
        <v>1</v>
      </c>
      <c r="I36" s="72">
        <v>1</v>
      </c>
      <c r="J36" s="72">
        <v>1</v>
      </c>
      <c r="K36" s="72">
        <v>1</v>
      </c>
      <c r="L36" s="72">
        <v>1</v>
      </c>
      <c r="M36" s="83" t="s"/>
    </row>
    <row r="37" spans="1:13">
      <c r="A37" s="72" t="s">
        <v>153</v>
      </c>
      <c r="B37" s="72" t="s">
        <v>146</v>
      </c>
      <c r="C37" s="72">
        <v>9</v>
      </c>
      <c r="D37" s="72">
        <f>=SUM(D27:D36)</f>
        <v>12</v>
      </c>
      <c r="E37" s="72">
        <f>=SUM(E27:E36)</f>
        <v>12</v>
      </c>
      <c r="F37" s="72">
        <f>=SUM(F27:F36)</f>
        <v>15</v>
      </c>
      <c r="G37" s="72">
        <f>=SUM(G27:G36)</f>
        <v>18</v>
      </c>
      <c r="H37" s="72">
        <f>=SUM(H27:H36)</f>
        <v>18</v>
      </c>
      <c r="I37" s="72">
        <f>=SUM(I27:I36)</f>
        <v>14</v>
      </c>
      <c r="J37" s="72">
        <f>=SUM(J27:J36)</f>
        <v>15</v>
      </c>
      <c r="K37" s="72">
        <f>=SUM(K27:K36)</f>
        <v>13</v>
      </c>
      <c r="L37" s="72">
        <f>=SUM(L27:L36)</f>
        <v>13</v>
      </c>
      <c r="M37" s="83" t="s"/>
    </row>
  </sheetData>
  <mergeCells count="9">
    <mergeCell ref="A1:L2"/>
    <mergeCell ref="A3:C3"/>
    <mergeCell ref="D3:L3"/>
    <mergeCell ref="A23:L24"/>
    <mergeCell ref="A25:C25"/>
    <mergeCell ref="D25:L25"/>
    <mergeCell ref="D20:L20"/>
    <mergeCell ref="D18:L18"/>
    <mergeCell ref="D19:L19"/>
  </mergeCells>
  <pageMargins left="0.7" right="0.7" top="0.75" bottom="0.75" header="0.3" footer="0.3"/>
  <pageSetup paperSize="9" orientation="portrait"/>
  <headerFooter/>
</worksheet>
</file>

<file path=xl/worksheets/sheet3.xml><?xml version="1.0" encoding="utf-8"?>
<worksheet xmlns:r="http://schemas.openxmlformats.org/officeDocument/2006/relationships" xmlns="http://schemas.openxmlformats.org/spreadsheetml/2006/main">
  <sheetPr codeName="业务投资地图-26年"/>
  <dimension ref="F183"/>
  <sheetViews>
    <sheetView showGridLines="true" workbookViewId="0"/>
  </sheetViews>
  <sheetFormatPr defaultColWidth="9" defaultRowHeight="13.5"/>
  <cols>
    <col min="1" max="1" width="15.082" style="187" customWidth="true"/>
    <col min="2" max="2" width="26.1211" style="187" customWidth="true"/>
    <col min="3" max="3" width="37.043" style="187" customWidth="true"/>
    <col min="4" max="4" width="18.2695" style="187" customWidth="true"/>
    <col min="5" max="5" width="38.3906" style="187" customWidth="true"/>
    <col min="6" max="6" width="13.4922" style="187" customWidth="true"/>
    <col min="7" max="26" width="9" style="187"/>
  </cols>
  <sheetData>
    <row r="1" spans="1:6" ht="24" customHeight="true">
      <c r="A1" s="4" t="s">
        <v>1</v>
      </c>
      <c r="B1" s="5" t="s"/>
      <c r="C1" s="5" t="s"/>
      <c r="D1" s="5" t="s"/>
      <c r="E1" s="5" t="s"/>
      <c r="F1" s="5" t="s"/>
    </row>
    <row r="2" spans="1:6" ht="33.75" customHeight="true">
      <c r="A2" s="6" t="s">
        <v>2</v>
      </c>
      <c r="B2" s="6" t="s">
        <v>3</v>
      </c>
      <c r="C2" s="7" t="s">
        <v>4</v>
      </c>
      <c r="D2" s="4" t="s">
        <v>5</v>
      </c>
      <c r="E2" s="4" t="s">
        <v>6</v>
      </c>
      <c r="F2" s="4" t="s">
        <v>7</v>
      </c>
    </row>
    <row r="3" spans="1:6">
      <c r="A3" s="8" t="s">
        <v>8</v>
      </c>
      <c r="B3" s="9" t="s">
        <v>9</v>
      </c>
      <c r="C3" s="9" t="s">
        <v>10</v>
      </c>
      <c r="D3" s="10">
        <v>46209</v>
      </c>
      <c r="E3" s="11" t="s">
        <v>11</v>
      </c>
      <c r="F3" s="12">
        <v>5</v>
      </c>
    </row>
    <row r="4" spans="1:6">
      <c r="A4" s="5" t="s"/>
      <c r="B4" s="13" t="s"/>
      <c r="C4" s="14" t="s"/>
      <c r="D4" s="13" t="s"/>
      <c r="E4" s="11" t="s">
        <v>12</v>
      </c>
      <c r="F4" s="12">
        <v>8</v>
      </c>
    </row>
    <row r="5" spans="1:6">
      <c r="A5" s="5" t="s"/>
      <c r="B5" s="13" t="s"/>
      <c r="C5" s="14" t="s"/>
      <c r="D5" s="13" t="s"/>
      <c r="E5" s="11" t="s">
        <v>13</v>
      </c>
      <c r="F5" s="12">
        <v>2</v>
      </c>
    </row>
    <row r="6" spans="1:6">
      <c r="A6" s="5" t="s"/>
      <c r="B6" s="13" t="s"/>
      <c r="C6" s="14" t="s"/>
      <c r="D6" s="13" t="s"/>
      <c r="E6" s="11" t="s">
        <v>14</v>
      </c>
      <c r="F6" s="12">
        <v>2</v>
      </c>
    </row>
    <row r="7" spans="1:6">
      <c r="A7" s="8" t="s"/>
      <c r="B7" s="15" t="s"/>
      <c r="C7" s="16" t="s"/>
      <c r="D7" s="15" t="s"/>
      <c r="E7" s="11" t="s">
        <v>15</v>
      </c>
      <c r="F7" s="12">
        <v>2</v>
      </c>
    </row>
    <row r="8" spans="1:6">
      <c r="A8" s="5" t="s"/>
      <c r="B8" s="11" t="s">
        <v>16</v>
      </c>
      <c r="C8" s="11" t="s">
        <v>17</v>
      </c>
      <c r="D8" s="17">
        <v>46172</v>
      </c>
      <c r="E8" s="8" t="s">
        <v>18</v>
      </c>
      <c r="F8" s="18">
        <v>2</v>
      </c>
    </row>
    <row r="9" spans="1:6">
      <c r="A9" s="5" t="s"/>
      <c r="B9" s="5" t="s"/>
      <c r="C9" s="11" t="s">
        <v>19</v>
      </c>
      <c r="D9" s="17">
        <v>46295</v>
      </c>
      <c r="E9" s="8" t="s">
        <v>20</v>
      </c>
      <c r="F9" s="18">
        <v>12</v>
      </c>
    </row>
    <row r="10" spans="1:6" ht="69.75" customHeight="true">
      <c r="A10" s="5" t="s"/>
      <c r="B10" s="5" t="s"/>
      <c r="C10" s="11" t="s">
        <v>21</v>
      </c>
      <c r="D10" s="17">
        <v>46446</v>
      </c>
      <c r="E10" s="8" t="s">
        <v>22</v>
      </c>
      <c r="F10" s="18">
        <v>20</v>
      </c>
    </row>
    <row r="11" spans="1:6" ht="34.5" customHeight="true">
      <c r="A11" s="5" t="s"/>
      <c r="B11" s="9" t="s">
        <v>23</v>
      </c>
      <c r="C11" s="19" t="s">
        <v>24</v>
      </c>
      <c r="D11" s="20">
        <v>46446</v>
      </c>
      <c r="E11" s="18" t="s">
        <v>25</v>
      </c>
      <c r="F11" s="18">
        <v>1</v>
      </c>
    </row>
    <row r="12" spans="1:6" ht="34.5" customHeight="true">
      <c r="A12" s="8" t="s"/>
      <c r="B12" s="21" t="s"/>
      <c r="C12" s="22" t="s"/>
      <c r="D12" s="23" t="s"/>
      <c r="E12" s="18" t="s">
        <v>26</v>
      </c>
      <c r="F12" s="18">
        <v>5</v>
      </c>
    </row>
    <row r="13" spans="1:6" ht="34.5" customHeight="true">
      <c r="A13" s="8" t="s"/>
      <c r="B13" s="15" t="s"/>
      <c r="C13" s="16" t="s"/>
      <c r="D13" s="15" t="s"/>
      <c r="E13" s="18" t="s">
        <v>27</v>
      </c>
      <c r="F13" s="18">
        <v>6</v>
      </c>
    </row>
    <row r="14" spans="1:6">
      <c r="A14" s="5" t="s"/>
      <c r="B14" s="11" t="s">
        <v>28</v>
      </c>
      <c r="C14" s="11" t="s">
        <v>29</v>
      </c>
      <c r="D14" s="17">
        <v>46172</v>
      </c>
      <c r="E14" s="18" t="s">
        <v>18</v>
      </c>
      <c r="F14" s="18">
        <v>1</v>
      </c>
    </row>
    <row r="15" spans="1:6">
      <c r="A15" s="24" t="s">
        <v>30</v>
      </c>
      <c r="B15" s="25" t="s">
        <v>31</v>
      </c>
      <c r="C15" s="8" t="s">
        <v>32</v>
      </c>
      <c r="D15" s="26" t="s">
        <v>33</v>
      </c>
      <c r="E15" s="27" t="s"/>
      <c r="F15" s="28" t="s"/>
    </row>
    <row r="16" spans="1:6">
      <c r="A16" s="24" t="s"/>
      <c r="B16" s="9" t="s">
        <v>34</v>
      </c>
      <c r="C16" s="8" t="s">
        <v>35</v>
      </c>
      <c r="D16" s="29" t="s"/>
      <c r="E16" s="30" t="s"/>
      <c r="F16" s="31" t="s"/>
    </row>
    <row r="17" spans="1:6">
      <c r="A17" s="16" t="s"/>
      <c r="B17" s="9" t="s">
        <v>36</v>
      </c>
      <c r="C17" s="11" t="s">
        <v>37</v>
      </c>
      <c r="D17" s="32" t="s"/>
      <c r="E17" s="33" t="s"/>
      <c r="F17" s="34" t="s"/>
    </row>
    <row r="18" spans="1:6">
      <c r="A18" s="24" t="s"/>
      <c r="B18" s="15" t="s"/>
      <c r="C18" s="11" t="s">
        <v>38</v>
      </c>
      <c r="D18" s="29" t="s"/>
      <c r="E18" s="30" t="s"/>
      <c r="F18" s="31" t="s"/>
    </row>
    <row r="19" spans="1:6">
      <c r="A19" s="16" t="s"/>
      <c r="B19" s="11" t="s">
        <v>39</v>
      </c>
      <c r="C19" s="8" t="s">
        <v>40</v>
      </c>
      <c r="D19" s="32" t="s"/>
      <c r="E19" s="33" t="s"/>
      <c r="F19" s="34" t="s"/>
    </row>
    <row r="20" spans="1:6">
      <c r="A20" s="16" t="s"/>
      <c r="B20" s="11" t="s">
        <v>41</v>
      </c>
      <c r="C20" s="8" t="s">
        <v>42</v>
      </c>
      <c r="D20" s="35" t="s"/>
      <c r="E20" s="36" t="s"/>
      <c r="F20" s="37" t="s"/>
    </row>
    <row r="21" spans="1:6">
      <c r="A21" s="8" t="s">
        <v>43</v>
      </c>
      <c r="B21" s="11" t="s">
        <v>44</v>
      </c>
      <c r="C21" s="8" t="s">
        <v>45</v>
      </c>
      <c r="D21" s="38" t="s">
        <v>46</v>
      </c>
      <c r="E21" s="39" t="s">
        <v>47</v>
      </c>
      <c r="F21" s="18">
        <v>9</v>
      </c>
    </row>
    <row r="22" spans="1:6">
      <c r="A22" s="8" t="s">
        <v>48</v>
      </c>
      <c r="B22" s="11" t="s">
        <v>49</v>
      </c>
      <c r="C22" s="8" t="s">
        <v>45</v>
      </c>
      <c r="D22" s="38" t="s">
        <v>46</v>
      </c>
      <c r="E22" s="39" t="s">
        <v>50</v>
      </c>
      <c r="F22" s="18">
        <v>9</v>
      </c>
    </row>
    <row r="23" spans="1:6">
      <c r="A23" s="8" t="s">
        <v>51</v>
      </c>
      <c r="B23" s="11" t="s">
        <v>52</v>
      </c>
      <c r="C23" s="8" t="s">
        <v>45</v>
      </c>
      <c r="D23" s="38">
        <v>46203</v>
      </c>
      <c r="E23" s="39" t="s">
        <v>53</v>
      </c>
      <c r="F23" s="18">
        <v>13</v>
      </c>
    </row>
    <row r="24" spans="1:6">
      <c r="A24" s="8" t="s">
        <v>54</v>
      </c>
      <c r="B24" s="11" t="s">
        <v>55</v>
      </c>
      <c r="C24" s="8" t="s">
        <v>34</v>
      </c>
      <c r="D24" s="12" t="s">
        <v>46</v>
      </c>
      <c r="E24" s="18" t="s"/>
      <c r="F24" s="18">
        <v>2</v>
      </c>
    </row>
    <row r="25" spans="1:6">
      <c r="A25" s="5" t="s"/>
      <c r="B25" s="25" t="s">
        <v>56</v>
      </c>
      <c r="C25" s="8" t="s">
        <v>57</v>
      </c>
      <c r="D25" s="12" t="s">
        <v>46</v>
      </c>
      <c r="E25" s="18" t="s"/>
      <c r="F25" s="18">
        <v>1</v>
      </c>
    </row>
    <row r="26" spans="1:6">
      <c r="A26" s="5" t="s"/>
      <c r="B26" s="11" t="s">
        <v>58</v>
      </c>
      <c r="C26" s="11" t="s">
        <v>59</v>
      </c>
      <c r="D26" s="12" t="s">
        <v>46</v>
      </c>
      <c r="E26" s="18" t="s"/>
      <c r="F26" s="18">
        <v>1</v>
      </c>
    </row>
    <row r="27" spans="1:6">
      <c r="A27" s="5" t="s"/>
      <c r="B27" s="11" t="s">
        <v>60</v>
      </c>
      <c r="C27" s="18" t="s">
        <v>61</v>
      </c>
      <c r="D27" s="40" t="s">
        <v>46</v>
      </c>
      <c r="E27" s="18" t="s"/>
      <c r="F27" s="18">
        <v>2</v>
      </c>
    </row>
    <row r="28" spans="1:6">
      <c r="A28" s="5" t="s"/>
      <c r="B28" s="11" t="s">
        <v>62</v>
      </c>
      <c r="C28" s="8" t="s">
        <v>63</v>
      </c>
      <c r="D28" s="41" t="s">
        <v>33</v>
      </c>
      <c r="E28" s="42" t="s"/>
      <c r="F28" s="43" t="s"/>
    </row>
    <row r="29" spans="1:6">
      <c r="A29" s="44" t="s"/>
      <c r="B29" s="45" t="s"/>
      <c r="C29" s="44" t="s"/>
      <c r="D29" s="44" t="s"/>
      <c r="E29" s="46" t="s">
        <v>64</v>
      </c>
      <c r="F29" s="44">
        <f>=SUM(F3:F14,F21:F27)</f>
        <v>103</v>
      </c>
    </row>
    <row r="30" spans="1:6">
      <c r="A30" s="44" t="s"/>
      <c r="B30" s="45" t="s"/>
      <c r="C30" s="44" t="s"/>
      <c r="D30" s="44" t="s"/>
      <c r="E30" s="44" t="s"/>
      <c r="F30" s="44" t="s"/>
    </row>
    <row r="31" spans="1:6">
      <c r="A31" s="44" t="s"/>
      <c r="B31" s="45" t="s"/>
      <c r="C31" s="44" t="s"/>
      <c r="D31" s="44" t="s"/>
      <c r="E31" s="44" t="s"/>
      <c r="F31" s="44" t="s"/>
    </row>
    <row r="32" spans="1:6">
      <c r="A32" s="47" t="s">
        <v>65</v>
      </c>
      <c r="B32" s="48" t="s"/>
      <c r="C32" s="48" t="s"/>
      <c r="D32" s="48" t="s"/>
      <c r="E32" s="48" t="s"/>
      <c r="F32" s="48" t="s"/>
    </row>
    <row r="33" spans="1:6">
      <c r="A33" s="49" t="s">
        <v>66</v>
      </c>
      <c r="B33" s="50" t="s">
        <v>67</v>
      </c>
      <c r="C33" s="50" t="s">
        <v>68</v>
      </c>
      <c r="D33" s="51" t="s">
        <v>69</v>
      </c>
      <c r="E33" s="51" t="s">
        <v>70</v>
      </c>
      <c r="F33" s="52" t="s">
        <v>71</v>
      </c>
    </row>
    <row r="34" spans="1:6">
      <c r="A34" s="53" t="s">
        <v>8</v>
      </c>
      <c r="B34" s="54">
        <f>=66</f>
        <v>66</v>
      </c>
      <c r="C34" s="54">
        <f>=66/9</f>
        <v>7.33333333333333</v>
      </c>
      <c r="D34" s="55">
        <v>8</v>
      </c>
      <c r="E34" s="56" t="s"/>
      <c r="F34" s="57" t="s"/>
    </row>
    <row r="35" spans="1:6">
      <c r="A35" s="53" t="s">
        <v>30</v>
      </c>
      <c r="B35" s="58" t="s"/>
      <c r="C35" s="58" t="s"/>
      <c r="D35" s="59" t="s"/>
      <c r="E35" s="56" t="s"/>
      <c r="F35" s="57" t="s"/>
    </row>
    <row r="36" spans="1:6">
      <c r="A36" s="53" t="s">
        <v>43</v>
      </c>
      <c r="B36" s="60">
        <f>=9</f>
        <v>9</v>
      </c>
      <c r="C36" s="60">
        <f>=9/9</f>
        <v>1</v>
      </c>
      <c r="D36" s="55">
        <v>1</v>
      </c>
      <c r="E36" s="56" t="s"/>
      <c r="F36" s="57" t="s"/>
    </row>
    <row r="37" spans="1:6">
      <c r="A37" s="53" t="s">
        <v>48</v>
      </c>
      <c r="B37" s="60">
        <v>9</v>
      </c>
      <c r="C37" s="60">
        <v>1</v>
      </c>
      <c r="D37" s="55">
        <v>1</v>
      </c>
      <c r="E37" s="61" t="s"/>
      <c r="F37" s="57" t="s"/>
    </row>
    <row r="38" spans="1:6">
      <c r="A38" s="53" t="s">
        <v>72</v>
      </c>
      <c r="B38" s="58">
        <v>13</v>
      </c>
      <c r="C38" s="58">
        <v>1.44444444444444</v>
      </c>
      <c r="D38" s="55">
        <v>2</v>
      </c>
      <c r="E38" s="62" t="s"/>
      <c r="F38" s="57" t="s"/>
    </row>
    <row r="39" spans="1:6">
      <c r="A39" s="53" t="s">
        <v>54</v>
      </c>
      <c r="B39" s="60">
        <v>6</v>
      </c>
      <c r="C39" s="60">
        <v>0.666666666666667</v>
      </c>
      <c r="D39" s="55">
        <v>1</v>
      </c>
      <c r="E39" s="62" t="s"/>
      <c r="F39" s="57" t="s"/>
    </row>
    <row r="40" spans="1:6">
      <c r="A40" s="53" t="s">
        <v>73</v>
      </c>
      <c r="B40" s="54">
        <f>=SUM(B34:B39)</f>
        <v>103</v>
      </c>
      <c r="C40" s="54">
        <v>11.44</v>
      </c>
      <c r="D40" s="55">
        <v>13</v>
      </c>
      <c r="E40" s="62" t="s"/>
      <c r="F40" s="57" t="s"/>
    </row>
    <row r="41" spans="1:6">
      <c r="A41" s="63" t="s">
        <v>74</v>
      </c>
      <c r="B41" s="64" t="s"/>
      <c r="C41" s="65">
        <v>9</v>
      </c>
      <c r="D41" s="66" t="s"/>
      <c r="E41" s="66" t="s"/>
      <c r="F41" s="67" t="s"/>
    </row>
    <row r="42" spans="1:6">
      <c r="A42" s="44" t="s"/>
      <c r="B42" s="45" t="s"/>
      <c r="C42" s="44" t="s"/>
      <c r="D42" s="44" t="s"/>
      <c r="E42" s="44" t="s"/>
      <c r="F42" s="44" t="s"/>
    </row>
    <row r="43" spans="1:6">
      <c r="A43" s="44" t="s"/>
      <c r="B43" s="45" t="s"/>
      <c r="C43" s="44" t="s"/>
      <c r="D43" s="44" t="s"/>
      <c r="E43" s="44" t="s"/>
      <c r="F43" s="44" t="s"/>
    </row>
    <row r="44" spans="1:6">
      <c r="A44" s="44" t="s"/>
      <c r="B44" s="45" t="s"/>
      <c r="C44" s="44" t="s"/>
      <c r="D44" s="44" t="s"/>
      <c r="E44" s="44" t="s"/>
      <c r="F44" s="44" t="s"/>
    </row>
    <row r="45" spans="1:6">
      <c r="A45" s="44" t="s"/>
      <c r="B45" s="45" t="s"/>
      <c r="C45" s="44" t="s"/>
      <c r="D45" s="44" t="s"/>
      <c r="E45" s="44" t="s"/>
      <c r="F45" s="44" t="s"/>
    </row>
    <row r="46" spans="1:6">
      <c r="A46" s="44" t="s"/>
      <c r="B46" s="45" t="s"/>
      <c r="C46" s="44" t="s"/>
      <c r="D46" s="44" t="s"/>
      <c r="E46" s="44" t="s"/>
      <c r="F46" s="44" t="s"/>
    </row>
    <row r="47" spans="1:6">
      <c r="A47" s="44" t="s"/>
      <c r="B47" s="45" t="s"/>
      <c r="C47" s="44" t="s"/>
      <c r="D47" s="44" t="s"/>
      <c r="E47" s="44" t="s"/>
      <c r="F47" s="44" t="s"/>
    </row>
    <row r="48" spans="1:6">
      <c r="A48" s="44" t="s"/>
      <c r="B48" s="45" t="s"/>
      <c r="C48" s="44" t="s"/>
      <c r="D48" s="44" t="s"/>
      <c r="E48" s="44" t="s"/>
      <c r="F48" s="44" t="s"/>
    </row>
    <row r="49" spans="1:6">
      <c r="A49" s="44" t="s"/>
      <c r="B49" s="45" t="s"/>
      <c r="C49" s="44" t="s"/>
      <c r="D49" s="44" t="s"/>
      <c r="E49" s="44" t="s"/>
      <c r="F49" s="44" t="s"/>
    </row>
    <row r="50" spans="1:6">
      <c r="A50" s="44" t="s"/>
      <c r="B50" s="45" t="s"/>
      <c r="C50" s="44" t="s"/>
      <c r="D50" s="44" t="s"/>
      <c r="E50" s="44" t="s"/>
      <c r="F50" s="44" t="s"/>
    </row>
    <row r="51" spans="1:6">
      <c r="A51" s="44" t="s"/>
      <c r="B51" s="45" t="s"/>
      <c r="C51" s="44" t="s"/>
      <c r="D51" s="44" t="s"/>
      <c r="E51" s="44" t="s"/>
      <c r="F51" s="44" t="s"/>
    </row>
    <row r="52" spans="1:6">
      <c r="A52" s="44" t="s"/>
      <c r="B52" s="45" t="s"/>
      <c r="C52" s="44" t="s"/>
      <c r="D52" s="44" t="s"/>
      <c r="E52" s="44" t="s"/>
      <c r="F52" s="44" t="s"/>
    </row>
    <row r="53" spans="1:6">
      <c r="A53" s="44" t="s"/>
      <c r="B53" s="45" t="s"/>
      <c r="C53" s="44" t="s"/>
      <c r="D53" s="44" t="s"/>
      <c r="E53" s="44" t="s"/>
      <c r="F53" s="44" t="s"/>
    </row>
    <row r="54" spans="1:6">
      <c r="A54" s="44" t="s"/>
      <c r="B54" s="45" t="s"/>
      <c r="C54" s="44" t="s"/>
      <c r="D54" s="44" t="s"/>
      <c r="E54" s="44" t="s"/>
      <c r="F54" s="44" t="s"/>
    </row>
    <row r="55" spans="1:6">
      <c r="A55" s="44" t="s"/>
      <c r="B55" s="45" t="s"/>
      <c r="C55" s="44" t="s"/>
      <c r="D55" s="44" t="s"/>
      <c r="E55" s="44" t="s"/>
      <c r="F55" s="44" t="s"/>
    </row>
    <row r="56" spans="1:6">
      <c r="A56" s="44" t="s"/>
      <c r="B56" s="45" t="s"/>
      <c r="C56" s="44" t="s"/>
      <c r="D56" s="44" t="s"/>
      <c r="E56" s="44" t="s"/>
      <c r="F56" s="44" t="s"/>
    </row>
    <row r="57" spans="1:6">
      <c r="A57" s="44" t="s"/>
      <c r="B57" s="45" t="s"/>
      <c r="C57" s="44" t="s"/>
      <c r="D57" s="44" t="s"/>
      <c r="E57" s="44" t="s"/>
      <c r="F57" s="44" t="s"/>
    </row>
    <row r="58" spans="1:6">
      <c r="A58" s="44" t="s"/>
      <c r="B58" s="45" t="s"/>
      <c r="C58" s="44" t="s"/>
      <c r="D58" s="44" t="s"/>
      <c r="E58" s="44" t="s"/>
      <c r="F58" s="44" t="s"/>
    </row>
    <row r="59" spans="1:6">
      <c r="A59" s="44" t="s"/>
      <c r="B59" s="45" t="s"/>
      <c r="C59" s="44" t="s"/>
      <c r="D59" s="44" t="s"/>
      <c r="E59" s="44" t="s"/>
      <c r="F59" s="44" t="s"/>
    </row>
    <row r="60" spans="1:6">
      <c r="A60" s="44" t="s"/>
      <c r="B60" s="45" t="s"/>
      <c r="C60" s="44" t="s"/>
      <c r="D60" s="44" t="s"/>
      <c r="E60" s="44" t="s"/>
      <c r="F60" s="44" t="s"/>
    </row>
    <row r="61" spans="1:6">
      <c r="A61" s="44" t="s"/>
      <c r="B61" s="45" t="s"/>
      <c r="C61" s="44" t="s"/>
      <c r="D61" s="44" t="s"/>
      <c r="E61" s="44" t="s"/>
      <c r="F61" s="44" t="s"/>
    </row>
    <row r="62" spans="1:6">
      <c r="A62" s="44" t="s"/>
      <c r="B62" s="45" t="s"/>
      <c r="C62" s="44" t="s"/>
      <c r="D62" s="44" t="s"/>
      <c r="E62" s="44" t="s"/>
      <c r="F62" s="44" t="s"/>
    </row>
    <row r="63" spans="1:6">
      <c r="A63" s="44" t="s"/>
      <c r="B63" s="45" t="s"/>
      <c r="C63" s="44" t="s"/>
      <c r="D63" s="44" t="s"/>
      <c r="E63" s="44" t="s"/>
      <c r="F63" s="44" t="s"/>
    </row>
    <row r="64" spans="1:6">
      <c r="A64" s="44" t="s"/>
      <c r="B64" s="45" t="s"/>
      <c r="C64" s="44" t="s"/>
      <c r="D64" s="44" t="s"/>
      <c r="E64" s="44" t="s"/>
      <c r="F64" s="44" t="s"/>
    </row>
    <row r="65" spans="1:6">
      <c r="A65" s="44" t="s"/>
      <c r="B65" s="45" t="s"/>
      <c r="C65" s="44" t="s"/>
      <c r="D65" s="44" t="s"/>
      <c r="E65" s="44" t="s"/>
      <c r="F65" s="44" t="s"/>
    </row>
    <row r="66" spans="1:6">
      <c r="A66" s="44" t="s"/>
      <c r="B66" s="45" t="s"/>
      <c r="C66" s="44" t="s"/>
      <c r="D66" s="44" t="s"/>
      <c r="E66" s="44" t="s"/>
      <c r="F66" s="44" t="s"/>
    </row>
    <row r="67" spans="1:6">
      <c r="A67" s="44" t="s"/>
      <c r="B67" s="45" t="s"/>
      <c r="C67" s="44" t="s"/>
      <c r="D67" s="44" t="s"/>
      <c r="E67" s="44" t="s"/>
      <c r="F67" s="44" t="s"/>
    </row>
    <row r="68" spans="1:6">
      <c r="A68" s="44" t="s"/>
      <c r="B68" s="45" t="s"/>
      <c r="C68" s="44" t="s"/>
      <c r="D68" s="44" t="s"/>
      <c r="E68" s="44" t="s"/>
      <c r="F68" s="44" t="s"/>
    </row>
    <row r="69" spans="1:6">
      <c r="A69" s="44" t="s"/>
      <c r="B69" s="45" t="s"/>
      <c r="C69" s="44" t="s"/>
      <c r="D69" s="44" t="s"/>
      <c r="E69" s="44" t="s"/>
      <c r="F69" s="44" t="s"/>
    </row>
    <row r="70" spans="1:6">
      <c r="A70" s="44" t="s"/>
      <c r="B70" s="45" t="s"/>
      <c r="C70" s="44" t="s"/>
      <c r="D70" s="44" t="s"/>
      <c r="E70" s="44" t="s"/>
      <c r="F70" s="44" t="s"/>
    </row>
    <row r="71" spans="1:6">
      <c r="A71" s="44" t="s"/>
      <c r="B71" s="45" t="s"/>
      <c r="C71" s="44" t="s"/>
      <c r="D71" s="44" t="s"/>
      <c r="E71" s="44" t="s"/>
      <c r="F71" s="44" t="s"/>
    </row>
    <row r="72" spans="1:6">
      <c r="A72" s="44" t="s"/>
      <c r="B72" s="45" t="s"/>
      <c r="C72" s="44" t="s"/>
      <c r="D72" s="44" t="s"/>
      <c r="E72" s="44" t="s"/>
      <c r="F72" s="44" t="s"/>
    </row>
    <row r="73" spans="1:6">
      <c r="A73" s="44" t="s"/>
      <c r="B73" s="45" t="s"/>
      <c r="C73" s="44" t="s"/>
      <c r="D73" s="44" t="s"/>
      <c r="E73" s="44" t="s"/>
      <c r="F73" s="44" t="s"/>
    </row>
    <row r="74" spans="1:6">
      <c r="A74" s="44" t="s"/>
      <c r="B74" s="45" t="s"/>
      <c r="C74" s="44" t="s"/>
      <c r="D74" s="44" t="s"/>
      <c r="E74" s="44" t="s"/>
      <c r="F74" s="44" t="s"/>
    </row>
    <row r="75" spans="1:6">
      <c r="A75" s="44" t="s"/>
      <c r="B75" s="45" t="s"/>
      <c r="C75" s="44" t="s"/>
      <c r="D75" s="44" t="s"/>
      <c r="E75" s="44" t="s"/>
      <c r="F75" s="44" t="s"/>
    </row>
    <row r="76" spans="1:6">
      <c r="A76" s="44" t="s"/>
      <c r="B76" s="45" t="s"/>
      <c r="C76" s="44" t="s"/>
      <c r="D76" s="44" t="s"/>
      <c r="E76" s="44" t="s"/>
      <c r="F76" s="44" t="s"/>
    </row>
    <row r="77" spans="1:6">
      <c r="A77" s="44" t="s"/>
      <c r="B77" s="45" t="s"/>
      <c r="C77" s="44" t="s"/>
      <c r="D77" s="44" t="s"/>
      <c r="E77" s="44" t="s"/>
      <c r="F77" s="44" t="s"/>
    </row>
    <row r="78" spans="1:6">
      <c r="A78" s="44" t="s"/>
      <c r="B78" s="45" t="s"/>
      <c r="C78" s="44" t="s"/>
      <c r="D78" s="44" t="s"/>
      <c r="E78" s="44" t="s"/>
      <c r="F78" s="44" t="s"/>
    </row>
    <row r="79" spans="1:6">
      <c r="A79" s="44" t="s"/>
      <c r="B79" s="45" t="s"/>
      <c r="C79" s="44" t="s"/>
      <c r="D79" s="44" t="s"/>
      <c r="E79" s="44" t="s"/>
      <c r="F79" s="44" t="s"/>
    </row>
    <row r="80" spans="1:6">
      <c r="A80" s="44" t="s"/>
      <c r="B80" s="45" t="s"/>
      <c r="C80" s="44" t="s"/>
      <c r="D80" s="44" t="s"/>
      <c r="E80" s="44" t="s"/>
      <c r="F80" s="44" t="s"/>
    </row>
    <row r="81" spans="1:6">
      <c r="A81" s="44" t="s"/>
      <c r="B81" s="45" t="s"/>
      <c r="C81" s="44" t="s"/>
      <c r="D81" s="44" t="s"/>
      <c r="E81" s="44" t="s"/>
      <c r="F81" s="44" t="s"/>
    </row>
    <row r="82" spans="1:6">
      <c r="A82" s="44" t="s"/>
      <c r="B82" s="45" t="s"/>
      <c r="C82" s="44" t="s"/>
      <c r="D82" s="44" t="s"/>
      <c r="E82" s="44" t="s"/>
      <c r="F82" s="44" t="s"/>
    </row>
    <row r="83" spans="1:6">
      <c r="A83" s="44" t="s"/>
      <c r="B83" s="45" t="s"/>
      <c r="C83" s="44" t="s"/>
      <c r="D83" s="44" t="s"/>
      <c r="E83" s="44" t="s"/>
      <c r="F83" s="44" t="s"/>
    </row>
    <row r="84" spans="1:6">
      <c r="A84" s="44" t="s"/>
      <c r="B84" s="45" t="s"/>
      <c r="C84" s="44" t="s"/>
      <c r="D84" s="44" t="s"/>
      <c r="E84" s="44" t="s"/>
      <c r="F84" s="44" t="s"/>
    </row>
    <row r="85" spans="1:6">
      <c r="A85" s="44" t="s"/>
      <c r="B85" s="45" t="s"/>
      <c r="C85" s="44" t="s"/>
      <c r="D85" s="44" t="s"/>
      <c r="E85" s="44" t="s"/>
      <c r="F85" s="44" t="s"/>
    </row>
    <row r="86" spans="1:6">
      <c r="A86" s="44" t="s"/>
      <c r="B86" s="45" t="s"/>
      <c r="C86" s="44" t="s"/>
      <c r="D86" s="44" t="s"/>
      <c r="E86" s="44" t="s"/>
      <c r="F86" s="44" t="s"/>
    </row>
    <row r="87" spans="1:6">
      <c r="A87" s="44" t="s"/>
      <c r="B87" s="45" t="s"/>
      <c r="C87" s="44" t="s"/>
      <c r="D87" s="44" t="s"/>
      <c r="E87" s="44" t="s"/>
      <c r="F87" s="44" t="s"/>
    </row>
    <row r="88" spans="1:6">
      <c r="A88" s="44" t="s"/>
      <c r="B88" s="45" t="s"/>
      <c r="C88" s="44" t="s"/>
      <c r="D88" s="44" t="s"/>
      <c r="E88" s="44" t="s"/>
      <c r="F88" s="44" t="s"/>
    </row>
    <row r="89" spans="1:6">
      <c r="A89" s="44" t="s"/>
      <c r="B89" s="45" t="s"/>
      <c r="C89" s="44" t="s"/>
      <c r="D89" s="44" t="s"/>
      <c r="E89" s="44" t="s"/>
      <c r="F89" s="44" t="s"/>
    </row>
    <row r="90" spans="1:6">
      <c r="A90" s="44" t="s"/>
      <c r="B90" s="45" t="s"/>
      <c r="C90" s="44" t="s"/>
      <c r="D90" s="44" t="s"/>
      <c r="E90" s="44" t="s"/>
      <c r="F90" s="44" t="s"/>
    </row>
    <row r="91" spans="1:6">
      <c r="A91" s="44" t="s"/>
      <c r="B91" s="45" t="s"/>
      <c r="C91" s="44" t="s"/>
      <c r="D91" s="44" t="s"/>
      <c r="E91" s="44" t="s"/>
      <c r="F91" s="44" t="s"/>
    </row>
    <row r="92" spans="1:6">
      <c r="A92" s="44" t="s"/>
      <c r="B92" s="45" t="s"/>
      <c r="C92" s="44" t="s"/>
      <c r="D92" s="44" t="s"/>
      <c r="E92" s="44" t="s"/>
      <c r="F92" s="44" t="s"/>
    </row>
    <row r="93" spans="1:6">
      <c r="A93" s="44" t="s"/>
      <c r="B93" s="45" t="s"/>
      <c r="C93" s="44" t="s"/>
      <c r="D93" s="44" t="s"/>
      <c r="E93" s="44" t="s"/>
      <c r="F93" s="44" t="s"/>
    </row>
    <row r="94" spans="1:6">
      <c r="A94" s="44" t="s"/>
      <c r="B94" s="45" t="s"/>
      <c r="C94" s="44" t="s"/>
      <c r="D94" s="44" t="s"/>
      <c r="E94" s="44" t="s"/>
      <c r="F94" s="44" t="s"/>
    </row>
    <row r="95" spans="1:6">
      <c r="A95" s="44" t="s"/>
      <c r="B95" s="45" t="s"/>
      <c r="C95" s="44" t="s"/>
      <c r="D95" s="44" t="s"/>
      <c r="E95" s="44" t="s"/>
      <c r="F95" s="44" t="s"/>
    </row>
    <row r="96" spans="1:6">
      <c r="A96" s="44" t="s"/>
      <c r="B96" s="45" t="s"/>
      <c r="C96" s="44" t="s"/>
      <c r="D96" s="44" t="s"/>
      <c r="E96" s="44" t="s"/>
      <c r="F96" s="44" t="s"/>
    </row>
    <row r="97" spans="1:6">
      <c r="A97" s="44" t="s"/>
      <c r="B97" s="45" t="s"/>
      <c r="C97" s="44" t="s"/>
      <c r="D97" s="44" t="s"/>
      <c r="E97" s="44" t="s"/>
      <c r="F97" s="44" t="s"/>
    </row>
    <row r="98" spans="1:6">
      <c r="A98" s="44" t="s"/>
      <c r="B98" s="45" t="s"/>
      <c r="C98" s="44" t="s"/>
      <c r="D98" s="44" t="s"/>
      <c r="E98" s="44" t="s"/>
      <c r="F98" s="44" t="s"/>
    </row>
    <row r="99" spans="1:6">
      <c r="A99" s="44" t="s"/>
      <c r="B99" s="45" t="s"/>
      <c r="C99" s="44" t="s"/>
      <c r="D99" s="44" t="s"/>
      <c r="E99" s="44" t="s"/>
      <c r="F99" s="44" t="s"/>
    </row>
    <row r="100" spans="1:6">
      <c r="A100" s="44" t="s"/>
      <c r="B100" s="45" t="s"/>
      <c r="C100" s="44" t="s"/>
      <c r="D100" s="44" t="s"/>
      <c r="E100" s="44" t="s"/>
      <c r="F100" s="44" t="s"/>
    </row>
    <row r="101" spans="1:6">
      <c r="A101" s="44" t="s"/>
      <c r="B101" s="45" t="s"/>
      <c r="C101" s="44" t="s"/>
      <c r="D101" s="44" t="s"/>
      <c r="E101" s="44" t="s"/>
      <c r="F101" s="44" t="s"/>
    </row>
    <row r="102" spans="1:6">
      <c r="A102" s="44" t="s"/>
      <c r="B102" s="45" t="s"/>
      <c r="C102" s="44" t="s"/>
      <c r="D102" s="44" t="s"/>
      <c r="E102" s="44" t="s"/>
      <c r="F102" s="44" t="s"/>
    </row>
    <row r="103" spans="1:6">
      <c r="A103" s="44" t="s"/>
      <c r="B103" s="45" t="s"/>
      <c r="C103" s="44" t="s"/>
      <c r="D103" s="44" t="s"/>
      <c r="E103" s="44" t="s"/>
      <c r="F103" s="44" t="s"/>
    </row>
    <row r="104" spans="1:6">
      <c r="A104" s="44" t="s"/>
      <c r="B104" s="45" t="s"/>
      <c r="C104" s="44" t="s"/>
      <c r="D104" s="44" t="s"/>
      <c r="E104" s="44" t="s"/>
      <c r="F104" s="44" t="s"/>
    </row>
    <row r="105" spans="1:6">
      <c r="A105" s="44" t="s"/>
      <c r="B105" s="45" t="s"/>
      <c r="C105" s="44" t="s"/>
      <c r="D105" s="44" t="s"/>
      <c r="E105" s="44" t="s"/>
      <c r="F105" s="44" t="s"/>
    </row>
    <row r="106" spans="1:6">
      <c r="A106" s="44" t="s"/>
      <c r="B106" s="45" t="s"/>
      <c r="C106" s="44" t="s"/>
      <c r="D106" s="44" t="s"/>
      <c r="E106" s="44" t="s"/>
      <c r="F106" s="44" t="s"/>
    </row>
    <row r="107" spans="1:6">
      <c r="A107" s="44" t="s"/>
      <c r="B107" s="45" t="s"/>
      <c r="C107" s="44" t="s"/>
      <c r="D107" s="44" t="s"/>
      <c r="E107" s="44" t="s"/>
      <c r="F107" s="44" t="s"/>
    </row>
    <row r="108" spans="1:6">
      <c r="A108" s="44" t="s"/>
      <c r="B108" s="45" t="s"/>
      <c r="C108" s="44" t="s"/>
      <c r="D108" s="44" t="s"/>
      <c r="E108" s="44" t="s"/>
      <c r="F108" s="44" t="s"/>
    </row>
    <row r="109" spans="1:6">
      <c r="A109" s="44" t="s"/>
      <c r="B109" s="45" t="s"/>
      <c r="C109" s="44" t="s"/>
      <c r="D109" s="44" t="s"/>
      <c r="E109" s="44" t="s"/>
      <c r="F109" s="44" t="s"/>
    </row>
    <row r="110" spans="1:6">
      <c r="A110" s="44" t="s"/>
      <c r="B110" s="45" t="s"/>
      <c r="C110" s="44" t="s"/>
      <c r="D110" s="44" t="s"/>
      <c r="E110" s="44" t="s"/>
      <c r="F110" s="44" t="s"/>
    </row>
    <row r="111" spans="1:6">
      <c r="A111" s="44" t="s"/>
      <c r="B111" s="45" t="s"/>
      <c r="C111" s="44" t="s"/>
      <c r="D111" s="44" t="s"/>
      <c r="E111" s="44" t="s"/>
      <c r="F111" s="44" t="s"/>
    </row>
    <row r="112" spans="1:6">
      <c r="A112" s="44" t="s"/>
      <c r="B112" s="45" t="s"/>
      <c r="C112" s="44" t="s"/>
      <c r="D112" s="44" t="s"/>
      <c r="E112" s="44" t="s"/>
      <c r="F112" s="44" t="s"/>
    </row>
    <row r="113" spans="1:6">
      <c r="A113" s="44" t="s"/>
      <c r="B113" s="45" t="s"/>
      <c r="C113" s="44" t="s"/>
      <c r="D113" s="44" t="s"/>
      <c r="E113" s="44" t="s"/>
      <c r="F113" s="44" t="s"/>
    </row>
    <row r="114" spans="1:6">
      <c r="A114" s="44" t="s"/>
      <c r="B114" s="45" t="s"/>
      <c r="C114" s="44" t="s"/>
      <c r="D114" s="44" t="s"/>
      <c r="E114" s="44" t="s"/>
      <c r="F114" s="44" t="s"/>
    </row>
    <row r="115" spans="1:6">
      <c r="A115" s="44" t="s"/>
      <c r="B115" s="45" t="s"/>
      <c r="C115" s="44" t="s"/>
      <c r="D115" s="44" t="s"/>
      <c r="E115" s="44" t="s"/>
      <c r="F115" s="44" t="s"/>
    </row>
    <row r="116" spans="1:6">
      <c r="A116" s="44" t="s"/>
      <c r="B116" s="45" t="s"/>
      <c r="C116" s="44" t="s"/>
      <c r="D116" s="44" t="s"/>
      <c r="E116" s="44" t="s"/>
      <c r="F116" s="44" t="s"/>
    </row>
    <row r="117" spans="1:6">
      <c r="A117" s="44" t="s"/>
      <c r="B117" s="45" t="s"/>
      <c r="C117" s="44" t="s"/>
      <c r="D117" s="44" t="s"/>
      <c r="E117" s="44" t="s"/>
      <c r="F117" s="44" t="s"/>
    </row>
    <row r="118" spans="1:6">
      <c r="A118" s="44" t="s"/>
      <c r="B118" s="45" t="s"/>
      <c r="C118" s="44" t="s"/>
      <c r="D118" s="44" t="s"/>
      <c r="E118" s="44" t="s"/>
      <c r="F118" s="44" t="s"/>
    </row>
    <row r="119" spans="1:6">
      <c r="A119" s="44" t="s"/>
      <c r="B119" s="45" t="s"/>
      <c r="C119" s="44" t="s"/>
      <c r="D119" s="44" t="s"/>
      <c r="E119" s="44" t="s"/>
      <c r="F119" s="44" t="s"/>
    </row>
    <row r="120" spans="1:6">
      <c r="A120" s="44" t="s"/>
      <c r="B120" s="45" t="s"/>
      <c r="C120" s="44" t="s"/>
      <c r="D120" s="44" t="s"/>
      <c r="E120" s="44" t="s"/>
      <c r="F120" s="44" t="s"/>
    </row>
    <row r="121" spans="1:6">
      <c r="A121" s="44" t="s"/>
      <c r="B121" s="45" t="s"/>
      <c r="C121" s="44" t="s"/>
      <c r="D121" s="44" t="s"/>
      <c r="E121" s="44" t="s"/>
      <c r="F121" s="44" t="s"/>
    </row>
    <row r="122" spans="1:6">
      <c r="A122" s="44" t="s"/>
      <c r="B122" s="45" t="s"/>
      <c r="C122" s="44" t="s"/>
      <c r="D122" s="44" t="s"/>
      <c r="E122" s="44" t="s"/>
      <c r="F122" s="44" t="s"/>
    </row>
    <row r="123" spans="1:6">
      <c r="A123" s="44" t="s"/>
      <c r="B123" s="45" t="s"/>
      <c r="C123" s="44" t="s"/>
      <c r="D123" s="44" t="s"/>
      <c r="E123" s="44" t="s"/>
      <c r="F123" s="44" t="s"/>
    </row>
    <row r="124" spans="1:6">
      <c r="A124" s="44" t="s"/>
      <c r="B124" s="45" t="s"/>
      <c r="C124" s="44" t="s"/>
      <c r="D124" s="44" t="s"/>
      <c r="E124" s="44" t="s"/>
      <c r="F124" s="44" t="s"/>
    </row>
    <row r="125" spans="1:6">
      <c r="A125" s="44" t="s"/>
      <c r="B125" s="45" t="s"/>
      <c r="C125" s="44" t="s"/>
      <c r="D125" s="44" t="s"/>
      <c r="E125" s="44" t="s"/>
      <c r="F125" s="44" t="s"/>
    </row>
    <row r="126" spans="1:6">
      <c r="A126" s="44" t="s"/>
      <c r="B126" s="45" t="s"/>
      <c r="C126" s="44" t="s"/>
      <c r="D126" s="44" t="s"/>
      <c r="E126" s="44" t="s"/>
      <c r="F126" s="44" t="s"/>
    </row>
    <row r="127" spans="1:6">
      <c r="A127" s="44" t="s"/>
      <c r="B127" s="45" t="s"/>
      <c r="C127" s="44" t="s"/>
      <c r="D127" s="44" t="s"/>
      <c r="E127" s="44" t="s"/>
      <c r="F127" s="44" t="s"/>
    </row>
    <row r="128" spans="1:6">
      <c r="A128" s="44" t="s"/>
      <c r="B128" s="45" t="s"/>
      <c r="C128" s="44" t="s"/>
      <c r="D128" s="44" t="s"/>
      <c r="E128" s="44" t="s"/>
      <c r="F128" s="44" t="s"/>
    </row>
    <row r="129" spans="1:6">
      <c r="A129" s="44" t="s"/>
      <c r="B129" s="45" t="s"/>
      <c r="C129" s="44" t="s"/>
      <c r="D129" s="44" t="s"/>
      <c r="E129" s="44" t="s"/>
      <c r="F129" s="44" t="s"/>
    </row>
    <row r="130" spans="1:6">
      <c r="A130" s="44" t="s"/>
      <c r="B130" s="45" t="s"/>
      <c r="C130" s="44" t="s"/>
      <c r="D130" s="44" t="s"/>
      <c r="E130" s="44" t="s"/>
      <c r="F130" s="44" t="s"/>
    </row>
    <row r="131" spans="1:6">
      <c r="A131" s="44" t="s"/>
      <c r="B131" s="45" t="s"/>
      <c r="C131" s="44" t="s"/>
      <c r="D131" s="44" t="s"/>
      <c r="E131" s="44" t="s"/>
      <c r="F131" s="44" t="s"/>
    </row>
    <row r="132" spans="1:6">
      <c r="A132" s="44" t="s"/>
      <c r="B132" s="45" t="s"/>
      <c r="C132" s="44" t="s"/>
      <c r="D132" s="44" t="s"/>
      <c r="E132" s="44" t="s"/>
      <c r="F132" s="44" t="s"/>
    </row>
    <row r="133" spans="1:6">
      <c r="A133" s="44" t="s"/>
      <c r="B133" s="45" t="s"/>
      <c r="C133" s="44" t="s"/>
      <c r="D133" s="44" t="s"/>
      <c r="E133" s="44" t="s"/>
      <c r="F133" s="44" t="s"/>
    </row>
    <row r="134" spans="1:6">
      <c r="A134" s="44" t="s"/>
      <c r="B134" s="45" t="s"/>
      <c r="C134" s="44" t="s"/>
      <c r="D134" s="44" t="s"/>
      <c r="E134" s="44" t="s"/>
      <c r="F134" s="44" t="s"/>
    </row>
    <row r="135" spans="1:6">
      <c r="A135" s="44" t="s"/>
      <c r="B135" s="45" t="s"/>
      <c r="C135" s="44" t="s"/>
      <c r="D135" s="44" t="s"/>
      <c r="E135" s="44" t="s"/>
      <c r="F135" s="44" t="s"/>
    </row>
    <row r="136" spans="1:6">
      <c r="A136" s="44" t="s"/>
      <c r="B136" s="45" t="s"/>
      <c r="C136" s="44" t="s"/>
      <c r="D136" s="44" t="s"/>
      <c r="E136" s="44" t="s"/>
      <c r="F136" s="44" t="s"/>
    </row>
    <row r="137" spans="1:6">
      <c r="A137" s="44" t="s"/>
      <c r="B137" s="45" t="s"/>
      <c r="C137" s="44" t="s"/>
      <c r="D137" s="44" t="s"/>
      <c r="E137" s="44" t="s"/>
      <c r="F137" s="44" t="s"/>
    </row>
    <row r="138" spans="1:6">
      <c r="A138" s="44" t="s"/>
      <c r="B138" s="45" t="s"/>
      <c r="C138" s="44" t="s"/>
      <c r="D138" s="44" t="s"/>
      <c r="E138" s="44" t="s"/>
      <c r="F138" s="44" t="s"/>
    </row>
    <row r="139" spans="1:6">
      <c r="A139" s="44" t="s"/>
      <c r="B139" s="45" t="s"/>
      <c r="C139" s="44" t="s"/>
      <c r="D139" s="44" t="s"/>
      <c r="E139" s="44" t="s"/>
      <c r="F139" s="44" t="s"/>
    </row>
    <row r="140" spans="1:6">
      <c r="A140" s="44" t="s"/>
      <c r="B140" s="45" t="s"/>
      <c r="C140" s="44" t="s"/>
      <c r="D140" s="44" t="s"/>
      <c r="E140" s="44" t="s"/>
      <c r="F140" s="44" t="s"/>
    </row>
    <row r="141" spans="1:6">
      <c r="A141" s="44" t="s"/>
      <c r="B141" s="45" t="s"/>
      <c r="C141" s="44" t="s"/>
      <c r="D141" s="44" t="s"/>
      <c r="E141" s="44" t="s"/>
      <c r="F141" s="44" t="s"/>
    </row>
    <row r="142" spans="1:6">
      <c r="A142" s="44" t="s"/>
      <c r="B142" s="45" t="s"/>
      <c r="C142" s="44" t="s"/>
      <c r="D142" s="44" t="s"/>
      <c r="E142" s="44" t="s"/>
      <c r="F142" s="44" t="s"/>
    </row>
    <row r="143" spans="1:6">
      <c r="A143" s="44" t="s"/>
      <c r="B143" s="45" t="s"/>
      <c r="C143" s="44" t="s"/>
      <c r="D143" s="44" t="s"/>
      <c r="E143" s="44" t="s"/>
      <c r="F143" s="44" t="s"/>
    </row>
    <row r="144" spans="1:6">
      <c r="A144" s="44" t="s"/>
      <c r="B144" s="45" t="s"/>
      <c r="C144" s="44" t="s"/>
      <c r="D144" s="44" t="s"/>
      <c r="E144" s="44" t="s"/>
      <c r="F144" s="44" t="s"/>
    </row>
    <row r="145" spans="1:6">
      <c r="A145" s="44" t="s"/>
      <c r="B145" s="45" t="s"/>
      <c r="C145" s="44" t="s"/>
      <c r="D145" s="44" t="s"/>
      <c r="E145" s="44" t="s"/>
      <c r="F145" s="44" t="s"/>
    </row>
    <row r="146" spans="1:6">
      <c r="A146" s="44" t="s"/>
      <c r="B146" s="45" t="s"/>
      <c r="C146" s="44" t="s"/>
      <c r="D146" s="44" t="s"/>
      <c r="E146" s="44" t="s"/>
      <c r="F146" s="44" t="s"/>
    </row>
    <row r="147" spans="1:6">
      <c r="A147" s="44" t="s"/>
      <c r="B147" s="45" t="s"/>
      <c r="C147" s="44" t="s"/>
      <c r="D147" s="44" t="s"/>
      <c r="E147" s="44" t="s"/>
      <c r="F147" s="44" t="s"/>
    </row>
    <row r="148" spans="1:6">
      <c r="A148" s="44" t="s"/>
      <c r="B148" s="45" t="s"/>
      <c r="C148" s="44" t="s"/>
      <c r="D148" s="44" t="s"/>
      <c r="E148" s="44" t="s"/>
      <c r="F148" s="44" t="s"/>
    </row>
    <row r="149" spans="1:6">
      <c r="A149" s="44" t="s"/>
      <c r="B149" s="45" t="s"/>
      <c r="C149" s="44" t="s"/>
      <c r="D149" s="44" t="s"/>
      <c r="E149" s="44" t="s"/>
      <c r="F149" s="44" t="s"/>
    </row>
    <row r="150" spans="1:6">
      <c r="A150" s="44" t="s"/>
      <c r="B150" s="45" t="s"/>
      <c r="C150" s="44" t="s"/>
      <c r="D150" s="44" t="s"/>
      <c r="E150" s="44" t="s"/>
      <c r="F150" s="44" t="s"/>
    </row>
    <row r="151" spans="1:6">
      <c r="A151" s="44" t="s"/>
      <c r="B151" s="45" t="s"/>
      <c r="C151" s="44" t="s"/>
      <c r="D151" s="44" t="s"/>
      <c r="E151" s="44" t="s"/>
      <c r="F151" s="44" t="s"/>
    </row>
    <row r="152" spans="1:6">
      <c r="A152" s="44" t="s"/>
      <c r="B152" s="45" t="s"/>
      <c r="C152" s="44" t="s"/>
      <c r="D152" s="44" t="s"/>
      <c r="E152" s="44" t="s"/>
      <c r="F152" s="44" t="s"/>
    </row>
    <row r="153" spans="1:6">
      <c r="A153" s="44" t="s"/>
      <c r="B153" s="45" t="s"/>
      <c r="C153" s="44" t="s"/>
      <c r="D153" s="44" t="s"/>
      <c r="E153" s="44" t="s"/>
      <c r="F153" s="44" t="s"/>
    </row>
    <row r="154" spans="1:6">
      <c r="A154" s="44" t="s"/>
      <c r="B154" s="45" t="s"/>
      <c r="C154" s="44" t="s"/>
      <c r="D154" s="44" t="s"/>
      <c r="E154" s="44" t="s"/>
      <c r="F154" s="44" t="s"/>
    </row>
    <row r="155" spans="1:6">
      <c r="A155" s="44" t="s"/>
      <c r="B155" s="45" t="s"/>
      <c r="C155" s="44" t="s"/>
      <c r="D155" s="44" t="s"/>
      <c r="E155" s="44" t="s"/>
      <c r="F155" s="44" t="s"/>
    </row>
    <row r="156" spans="1:6">
      <c r="A156" s="44" t="s"/>
      <c r="B156" s="45" t="s"/>
      <c r="C156" s="44" t="s"/>
      <c r="D156" s="44" t="s"/>
      <c r="E156" s="44" t="s"/>
      <c r="F156" s="44" t="s"/>
    </row>
    <row r="157" spans="1:6">
      <c r="A157" s="44" t="s"/>
      <c r="B157" s="45" t="s"/>
      <c r="C157" s="44" t="s"/>
      <c r="D157" s="44" t="s"/>
      <c r="E157" s="44" t="s"/>
      <c r="F157" s="44" t="s"/>
    </row>
    <row r="158" spans="1:6">
      <c r="A158" s="44" t="s"/>
      <c r="B158" s="45" t="s"/>
      <c r="C158" s="44" t="s"/>
      <c r="D158" s="44" t="s"/>
      <c r="E158" s="44" t="s"/>
      <c r="F158" s="44" t="s"/>
    </row>
    <row r="159" spans="1:6">
      <c r="A159" s="44" t="s"/>
      <c r="B159" s="45" t="s"/>
      <c r="C159" s="44" t="s"/>
      <c r="D159" s="44" t="s"/>
      <c r="E159" s="44" t="s"/>
      <c r="F159" s="44" t="s"/>
    </row>
    <row r="160" spans="1:6">
      <c r="A160" s="44" t="s"/>
      <c r="B160" s="45" t="s"/>
      <c r="C160" s="44" t="s"/>
      <c r="D160" s="44" t="s"/>
      <c r="E160" s="44" t="s"/>
      <c r="F160" s="44" t="s"/>
    </row>
    <row r="161" spans="1:6">
      <c r="A161" s="44" t="s"/>
      <c r="B161" s="45" t="s"/>
      <c r="C161" s="44" t="s"/>
      <c r="D161" s="44" t="s"/>
      <c r="E161" s="44" t="s"/>
      <c r="F161" s="44" t="s"/>
    </row>
    <row r="162" spans="1:6">
      <c r="A162" s="44" t="s"/>
      <c r="B162" s="45" t="s"/>
      <c r="C162" s="44" t="s"/>
      <c r="D162" s="44" t="s"/>
      <c r="E162" s="44" t="s"/>
      <c r="F162" s="44" t="s"/>
    </row>
    <row r="163" spans="1:6">
      <c r="A163" s="44" t="s"/>
      <c r="B163" s="45" t="s"/>
      <c r="C163" s="44" t="s"/>
      <c r="D163" s="44" t="s"/>
      <c r="E163" s="44" t="s"/>
      <c r="F163" s="44" t="s"/>
    </row>
    <row r="164" spans="1:6">
      <c r="A164" s="44" t="s"/>
      <c r="B164" s="45" t="s"/>
      <c r="C164" s="44" t="s"/>
      <c r="D164" s="44" t="s"/>
      <c r="E164" s="44" t="s"/>
      <c r="F164" s="44" t="s"/>
    </row>
    <row r="165" spans="1:6">
      <c r="A165" s="44" t="s"/>
      <c r="B165" s="45" t="s"/>
      <c r="C165" s="44" t="s"/>
      <c r="D165" s="44" t="s"/>
      <c r="E165" s="44" t="s"/>
      <c r="F165" s="44" t="s"/>
    </row>
    <row r="166" spans="1:6">
      <c r="A166" s="44" t="s"/>
      <c r="B166" s="45" t="s"/>
      <c r="C166" s="44" t="s"/>
      <c r="D166" s="44" t="s"/>
      <c r="E166" s="44" t="s"/>
      <c r="F166" s="44" t="s"/>
    </row>
    <row r="167" spans="1:6">
      <c r="A167" s="44" t="s"/>
      <c r="B167" s="45" t="s"/>
      <c r="C167" s="44" t="s"/>
      <c r="D167" s="44" t="s"/>
      <c r="E167" s="44" t="s"/>
      <c r="F167" s="44" t="s"/>
    </row>
    <row r="168" spans="1:6">
      <c r="A168" s="44" t="s"/>
      <c r="B168" s="45" t="s"/>
      <c r="C168" s="44" t="s"/>
      <c r="D168" s="44" t="s"/>
      <c r="E168" s="44" t="s"/>
      <c r="F168" s="44" t="s"/>
    </row>
    <row r="169" spans="1:6">
      <c r="A169" s="44" t="s"/>
      <c r="B169" s="45" t="s"/>
      <c r="C169" s="44" t="s"/>
      <c r="D169" s="44" t="s"/>
      <c r="E169" s="44" t="s"/>
      <c r="F169" s="44" t="s"/>
    </row>
    <row r="170" spans="1:6">
      <c r="A170" s="44" t="s"/>
      <c r="B170" s="45" t="s"/>
      <c r="C170" s="44" t="s"/>
      <c r="D170" s="44" t="s"/>
      <c r="E170" s="44" t="s"/>
      <c r="F170" s="44" t="s"/>
    </row>
    <row r="171" spans="1:6">
      <c r="A171" s="44" t="s"/>
      <c r="B171" s="45" t="s"/>
      <c r="C171" s="44" t="s"/>
      <c r="D171" s="44" t="s"/>
      <c r="E171" s="44" t="s"/>
      <c r="F171" s="44" t="s"/>
    </row>
    <row r="172" spans="1:6">
      <c r="A172" s="44" t="s"/>
      <c r="B172" s="45" t="s"/>
      <c r="C172" s="44" t="s"/>
      <c r="D172" s="44" t="s"/>
      <c r="E172" s="44" t="s"/>
      <c r="F172" s="44" t="s"/>
    </row>
    <row r="173" spans="1:6">
      <c r="A173" s="44" t="s"/>
      <c r="B173" s="45" t="s"/>
      <c r="C173" s="44" t="s"/>
      <c r="D173" s="44" t="s"/>
      <c r="E173" s="44" t="s"/>
      <c r="F173" s="44" t="s"/>
    </row>
    <row r="174" spans="1:6">
      <c r="A174" s="44" t="s"/>
      <c r="B174" s="45" t="s"/>
      <c r="C174" s="44" t="s"/>
      <c r="D174" s="44" t="s"/>
      <c r="E174" s="44" t="s"/>
      <c r="F174" s="44" t="s"/>
    </row>
    <row r="175" spans="1:6">
      <c r="A175" s="44" t="s"/>
      <c r="B175" s="45" t="s"/>
      <c r="C175" s="44" t="s"/>
      <c r="D175" s="44" t="s"/>
      <c r="E175" s="44" t="s"/>
      <c r="F175" s="44" t="s"/>
    </row>
    <row r="176" spans="1:6">
      <c r="A176" s="44" t="s"/>
      <c r="B176" s="45" t="s"/>
      <c r="C176" s="44" t="s"/>
      <c r="D176" s="44" t="s"/>
      <c r="E176" s="44" t="s"/>
      <c r="F176" s="44" t="s"/>
    </row>
    <row r="177" spans="1:6">
      <c r="A177" s="44" t="s"/>
      <c r="B177" s="45" t="s"/>
      <c r="C177" s="44" t="s"/>
      <c r="D177" s="44" t="s"/>
      <c r="E177" s="44" t="s"/>
      <c r="F177" s="44" t="s"/>
    </row>
    <row r="178" spans="1:6">
      <c r="A178" s="44" t="s"/>
      <c r="B178" s="45" t="s"/>
      <c r="C178" s="44" t="s"/>
      <c r="D178" s="44" t="s"/>
      <c r="E178" s="44" t="s"/>
      <c r="F178" s="44" t="s"/>
    </row>
    <row r="179" spans="1:6">
      <c r="A179" s="44" t="s"/>
      <c r="B179" s="45" t="s"/>
      <c r="C179" s="44" t="s"/>
      <c r="D179" s="44" t="s"/>
      <c r="E179" s="44" t="s"/>
      <c r="F179" s="44" t="s"/>
    </row>
    <row r="180" spans="1:6">
      <c r="A180" s="44" t="s"/>
      <c r="B180" s="45" t="s"/>
      <c r="C180" s="44" t="s"/>
      <c r="D180" s="44" t="s"/>
      <c r="E180" s="44" t="s"/>
      <c r="F180" s="44" t="s"/>
    </row>
    <row r="181" spans="1:6">
      <c r="A181" s="44" t="s"/>
      <c r="B181" s="45" t="s"/>
      <c r="C181" s="44" t="s"/>
      <c r="D181" s="44" t="s"/>
      <c r="E181" s="44" t="s"/>
      <c r="F181" s="44" t="s"/>
    </row>
    <row r="182" spans="1:6">
      <c r="A182" s="44" t="s"/>
      <c r="B182" s="45" t="s"/>
      <c r="C182" s="44" t="s"/>
      <c r="D182" s="44" t="s"/>
      <c r="E182" s="44" t="s"/>
      <c r="F182" s="44" t="s"/>
    </row>
    <row r="183" spans="1:6">
      <c r="A183" s="44" t="s"/>
      <c r="B183" s="45" t="s"/>
      <c r="C183" s="44" t="s"/>
      <c r="D183" s="44" t="s"/>
      <c r="E183" s="44" t="s"/>
      <c r="F183" s="44" t="s"/>
    </row>
  </sheetData>
  <mergeCells count="15">
    <mergeCell ref="B8:B10"/>
    <mergeCell ref="A24:A28"/>
    <mergeCell ref="B3:B7"/>
    <mergeCell ref="D3:D7"/>
    <mergeCell ref="A3:A14"/>
    <mergeCell ref="B11:B13"/>
    <mergeCell ref="D11:D13"/>
    <mergeCell ref="B17:B18"/>
    <mergeCell ref="A1:F1"/>
    <mergeCell ref="C3:C7"/>
    <mergeCell ref="C11:C13"/>
    <mergeCell ref="D28:F28"/>
    <mergeCell ref="A32:F32"/>
    <mergeCell ref="A15:A20"/>
    <mergeCell ref="D15:F20"/>
  </mergeCells>
  <pageMargins left="0.7" right="0.7" top="0.75" bottom="0.75" header="0.3" footer="0.3"/>
  <pageSetup paperSize="9" orientation="portrait"/>
  <headerFooter/>
  <drawing r:id="rId0"/>
</worksheet>
</file>

<file path=xl/worksheets/sheet4.xml><?xml version="1.0" encoding="utf-8"?>
<worksheet xmlns="http://schemas.openxmlformats.org/spreadsheetml/2006/main">
  <sheetPr codeName="全局硬件人力干特图（含供应链）">
    <tabColor/>
  </sheetPr>
  <dimension ref="S52"/>
  <sheetViews>
    <sheetView showGridLines="true" workbookViewId="0"/>
  </sheetViews>
  <sheetFormatPr baseColWidth="13" defaultRowHeight="18" customHeight="true"/>
  <cols>
    <col min="1" max="1" width="11.7109" customWidth="true"/>
    <col min="2" max="2" width="16.7109" customWidth="true"/>
    <col min="3" max="3" width="22.7109" customWidth="true"/>
    <col min="4" max="4" width="11.7109" customWidth="true"/>
    <col min="5" max="5" width="10.7109" customWidth="true"/>
    <col min="6" max="6" width="11.7109" customWidth="true"/>
    <col min="7" max="7" width="13.7109" customWidth="true"/>
    <col min="8" max="12" width="13.7109" customWidth="true"/>
    <col min="13" max="13" width="27.7109" customWidth="true"/>
    <col min="14" max="14" width="21.7109" customWidth="true"/>
    <col min="15" max="15" width="11.7109" customWidth="true"/>
    <col min="16" max="16" width="13.7109" customWidth="true"/>
    <col min="17" max="17" width="12.7109" customWidth="true"/>
    <col min="18" max="18" width="8.71094" customWidth="true"/>
    <col min="19" max="19" width="20.7109" customWidth="true"/>
  </cols>
  <sheetData>
    <row r="1" spans="1:19">
      <c r="A1" s="133" t="s">
        <v>75</v>
      </c>
      <c r="B1" s="134" t="s"/>
      <c r="C1" s="134" t="s"/>
      <c r="D1" s="134" t="s"/>
      <c r="E1" s="134" t="s"/>
      <c r="F1" s="134" t="s"/>
      <c r="G1" s="134" t="s"/>
      <c r="H1" s="134" t="s"/>
      <c r="I1" s="134" t="s"/>
      <c r="J1" s="134" t="s"/>
      <c r="K1" s="134" t="s"/>
      <c r="L1" s="134" t="s"/>
      <c r="M1" s="135" t="s"/>
      <c r="N1" s="135" t="s"/>
      <c r="O1" s="135" t="s"/>
      <c r="P1" s="135" t="s"/>
      <c r="Q1" s="135" t="s"/>
      <c r="R1" s="135" t="s"/>
      <c r="S1" s="135" t="s"/>
    </row>
    <row r="2" spans="1:19">
      <c r="A2" s="134" t="s"/>
      <c r="B2" s="134" t="s"/>
      <c r="C2" s="134" t="s"/>
      <c r="D2" s="134" t="s"/>
      <c r="E2" s="134" t="s"/>
      <c r="F2" s="134" t="s"/>
      <c r="G2" s="134" t="s"/>
      <c r="H2" s="134" t="s"/>
      <c r="I2" s="134" t="s"/>
      <c r="J2" s="134" t="s"/>
      <c r="K2" s="134" t="s"/>
      <c r="L2" s="134" t="s"/>
      <c r="M2" s="135" t="s"/>
      <c r="N2" s="135" t="s"/>
      <c r="O2" s="135" t="s"/>
      <c r="P2" s="135" t="s"/>
      <c r="Q2" s="135" t="s"/>
      <c r="R2" s="135" t="s"/>
      <c r="S2" s="135" t="s"/>
    </row>
    <row r="3" spans="1:19">
      <c r="A3" s="136" t="s">
        <v>76</v>
      </c>
      <c r="B3" s="5" t="s"/>
      <c r="C3" s="5" t="s"/>
      <c r="D3" s="137" t="s">
        <v>77</v>
      </c>
      <c r="E3" s="138" t="s"/>
      <c r="F3" s="138" t="s"/>
      <c r="G3" s="138" t="s"/>
      <c r="H3" s="138" t="s"/>
      <c r="I3" s="138" t="s"/>
      <c r="J3" s="138" t="s"/>
      <c r="K3" s="138" t="s"/>
      <c r="L3" s="138" t="s"/>
      <c r="M3" s="135" t="s"/>
      <c r="N3" s="135" t="s"/>
      <c r="O3" s="135" t="s"/>
      <c r="P3" s="135" t="s"/>
      <c r="Q3" s="135" t="s"/>
      <c r="R3" s="135" t="s"/>
      <c r="S3" s="135" t="s"/>
    </row>
    <row r="4" spans="1:19">
      <c r="A4" s="139" t="s">
        <v>78</v>
      </c>
      <c r="B4" s="140" t="s">
        <v>79</v>
      </c>
      <c r="C4" s="139" t="s">
        <v>80</v>
      </c>
      <c r="D4" s="141" t="s">
        <v>81</v>
      </c>
      <c r="E4" s="141" t="s">
        <v>82</v>
      </c>
      <c r="F4" s="141" t="s">
        <v>83</v>
      </c>
      <c r="G4" s="141" t="s">
        <v>84</v>
      </c>
      <c r="H4" s="142" t="s">
        <v>85</v>
      </c>
      <c r="I4" s="143" t="s">
        <v>86</v>
      </c>
      <c r="J4" s="143" t="s">
        <v>87</v>
      </c>
      <c r="K4" s="143" t="s">
        <v>88</v>
      </c>
      <c r="L4" s="144" t="s">
        <v>89</v>
      </c>
      <c r="M4" s="135" t="s"/>
      <c r="N4" s="135" t="s"/>
      <c r="O4" s="135" t="s"/>
      <c r="P4" s="135" t="s"/>
      <c r="Q4" s="135" t="s"/>
      <c r="R4" s="135" t="s"/>
      <c r="S4" s="135" t="s"/>
    </row>
    <row r="5" spans="1:19">
      <c r="A5" s="145" t="s"/>
      <c r="B5" s="146" t="s"/>
      <c r="C5" s="147" t="s"/>
      <c r="D5" s="146" t="s"/>
      <c r="E5" s="146" t="s"/>
      <c r="F5" s="146" t="s"/>
      <c r="G5" s="146" t="s"/>
      <c r="H5" s="146" t="s"/>
      <c r="I5" s="146" t="s"/>
      <c r="J5" s="146" t="s"/>
      <c r="K5" s="146" t="s"/>
      <c r="L5" s="146" t="s"/>
      <c r="M5" s="135" t="s"/>
      <c r="N5" s="135" t="s"/>
      <c r="O5" s="135" t="s"/>
      <c r="P5" s="135" t="s"/>
      <c r="Q5" s="135" t="s"/>
      <c r="R5" s="135" t="s"/>
      <c r="S5" s="135" t="s"/>
    </row>
    <row r="6" spans="1:19">
      <c r="A6" s="148" t="s"/>
      <c r="B6" s="146" t="s"/>
      <c r="C6" s="147" t="s"/>
      <c r="D6" s="146" t="s"/>
      <c r="E6" s="146" t="s"/>
      <c r="F6" s="146" t="s"/>
      <c r="G6" s="146" t="s"/>
      <c r="H6" s="146" t="s"/>
      <c r="I6" s="146" t="s"/>
      <c r="J6" s="146" t="s"/>
      <c r="K6" s="146" t="s"/>
      <c r="L6" s="146" t="s"/>
      <c r="M6" s="135" t="s"/>
      <c r="N6" s="135" t="s"/>
      <c r="O6" s="135" t="s"/>
      <c r="P6" s="135" t="s"/>
      <c r="Q6" s="135" t="s"/>
      <c r="R6" s="135" t="s"/>
      <c r="S6" s="135" t="s"/>
    </row>
    <row r="7" spans="1:19">
      <c r="A7" s="148" t="s"/>
      <c r="B7" s="146" t="s"/>
      <c r="C7" s="147" t="s"/>
      <c r="D7" s="146" t="s"/>
      <c r="E7" s="146" t="s"/>
      <c r="F7" s="146" t="s"/>
      <c r="G7" s="146" t="s"/>
      <c r="H7" s="146" t="s"/>
      <c r="I7" s="146" t="s"/>
      <c r="J7" s="146" t="s"/>
      <c r="K7" s="146" t="s"/>
      <c r="L7" s="146" t="s"/>
      <c r="M7" s="135" t="s"/>
      <c r="N7" s="135" t="s"/>
      <c r="O7" s="135" t="s"/>
      <c r="P7" s="135" t="s"/>
      <c r="Q7" s="135" t="s"/>
      <c r="R7" s="135" t="s"/>
      <c r="S7" s="135" t="s"/>
    </row>
    <row r="8" spans="1:19">
      <c r="A8" s="148" t="s"/>
      <c r="B8" s="146" t="s"/>
      <c r="C8" s="147" t="s"/>
      <c r="D8" s="146" t="s"/>
      <c r="E8" s="146" t="s"/>
      <c r="F8" s="146" t="s"/>
      <c r="G8" s="146" t="s"/>
      <c r="H8" s="146" t="s"/>
      <c r="I8" s="146" t="s"/>
      <c r="J8" s="146" t="s"/>
      <c r="K8" s="146" t="s"/>
      <c r="L8" s="146" t="s"/>
      <c r="M8" s="135" t="s"/>
      <c r="N8" s="135" t="s"/>
      <c r="O8" s="135" t="s"/>
      <c r="P8" s="135" t="s"/>
      <c r="Q8" s="135" t="s"/>
      <c r="R8" s="135" t="s"/>
      <c r="S8" s="135" t="s"/>
    </row>
    <row r="9" spans="1:19">
      <c r="A9" s="148" t="s"/>
      <c r="B9" s="146" t="s"/>
      <c r="C9" s="147" t="s"/>
      <c r="D9" s="146" t="s"/>
      <c r="E9" s="146" t="s"/>
      <c r="F9" s="146" t="s"/>
      <c r="G9" s="146" t="s"/>
      <c r="H9" s="146" t="s"/>
      <c r="I9" s="146" t="s"/>
      <c r="J9" s="146" t="s"/>
      <c r="K9" s="146" t="s"/>
      <c r="L9" s="146" t="s"/>
      <c r="M9" s="135" t="s"/>
      <c r="N9" s="135" t="s"/>
      <c r="O9" s="135" t="s"/>
      <c r="P9" s="135" t="s"/>
      <c r="Q9" s="135" t="s"/>
      <c r="R9" s="135" t="s"/>
      <c r="S9" s="135" t="s"/>
    </row>
    <row r="10" spans="1:19">
      <c r="A10" s="148" t="s"/>
      <c r="B10" s="146" t="s"/>
      <c r="C10" s="147" t="s"/>
      <c r="D10" s="146" t="s"/>
      <c r="E10" s="146" t="s"/>
      <c r="F10" s="146" t="s"/>
      <c r="G10" s="146" t="s"/>
      <c r="H10" s="146" t="s"/>
      <c r="I10" s="146" t="s"/>
      <c r="J10" s="146" t="s"/>
      <c r="K10" s="146" t="s"/>
      <c r="L10" s="146" t="s"/>
      <c r="M10" s="135" t="s"/>
      <c r="N10" s="135" t="s"/>
      <c r="O10" s="135" t="s"/>
      <c r="P10" s="135" t="s"/>
      <c r="Q10" s="135" t="s"/>
      <c r="R10" s="135" t="s"/>
      <c r="S10" s="135" t="s"/>
    </row>
    <row r="11" spans="1:19">
      <c r="A11" s="148" t="s"/>
      <c r="B11" s="146" t="s"/>
      <c r="C11" s="147" t="s"/>
      <c r="D11" s="146" t="s"/>
      <c r="E11" s="146" t="s"/>
      <c r="F11" s="146" t="s"/>
      <c r="G11" s="146" t="s"/>
      <c r="H11" s="146" t="s"/>
      <c r="I11" s="146" t="s"/>
      <c r="J11" s="146" t="s"/>
      <c r="K11" s="146" t="s"/>
      <c r="L11" s="146" t="s"/>
      <c r="M11" s="135" t="s"/>
      <c r="N11" s="135" t="s"/>
      <c r="O11" s="135" t="s"/>
      <c r="P11" s="135" t="s"/>
      <c r="Q11" s="135" t="s"/>
      <c r="R11" s="135" t="s"/>
      <c r="S11" s="135" t="s"/>
    </row>
    <row r="12" spans="1:19">
      <c r="A12" s="148" t="s"/>
      <c r="B12" s="146" t="s"/>
      <c r="C12" s="147" t="s"/>
      <c r="D12" s="146" t="s"/>
      <c r="E12" s="146" t="s"/>
      <c r="F12" s="146" t="s"/>
      <c r="G12" s="146" t="s"/>
      <c r="H12" s="146" t="s"/>
      <c r="I12" s="146" t="s"/>
      <c r="J12" s="146" t="s"/>
      <c r="K12" s="146" t="s"/>
      <c r="L12" s="146" t="s"/>
      <c r="M12" s="135" t="s"/>
      <c r="N12" s="135" t="s"/>
      <c r="O12" s="135" t="s"/>
      <c r="P12" s="135" t="s"/>
      <c r="Q12" s="135" t="s"/>
      <c r="R12" s="135" t="s"/>
      <c r="S12" s="135" t="s"/>
    </row>
    <row r="13" spans="1:19">
      <c r="A13" s="148" t="s"/>
      <c r="B13" s="146" t="s"/>
      <c r="C13" s="147" t="s"/>
      <c r="D13" s="146" t="s"/>
      <c r="E13" s="146" t="s"/>
      <c r="F13" s="146" t="s"/>
      <c r="G13" s="146" t="s"/>
      <c r="H13" s="146" t="s"/>
      <c r="I13" s="146" t="s"/>
      <c r="J13" s="146" t="s"/>
      <c r="K13" s="146" t="s"/>
      <c r="L13" s="146" t="s"/>
      <c r="M13" s="135" t="s"/>
      <c r="N13" s="135" t="s"/>
      <c r="O13" s="135" t="s"/>
      <c r="P13" s="135" t="s"/>
      <c r="Q13" s="135" t="s"/>
      <c r="R13" s="135" t="s"/>
      <c r="S13" s="135" t="s"/>
    </row>
    <row r="14" spans="1:19">
      <c r="A14" s="148" t="s"/>
      <c r="B14" s="146" t="s"/>
      <c r="C14" s="147" t="s"/>
      <c r="D14" s="146" t="s"/>
      <c r="E14" s="146" t="s"/>
      <c r="F14" s="146" t="s"/>
      <c r="G14" s="146" t="s"/>
      <c r="H14" s="146" t="s"/>
      <c r="I14" s="146" t="s"/>
      <c r="J14" s="146" t="s"/>
      <c r="K14" s="146" t="s"/>
      <c r="L14" s="146" t="s"/>
      <c r="M14" s="135" t="s"/>
      <c r="N14" s="135" t="s"/>
      <c r="O14" s="135" t="s"/>
      <c r="P14" s="135" t="s"/>
      <c r="Q14" s="135" t="s"/>
      <c r="R14" s="135" t="s"/>
      <c r="S14" s="135" t="s"/>
    </row>
    <row r="15" spans="1:19">
      <c r="A15" s="148" t="s"/>
      <c r="B15" s="146" t="s"/>
      <c r="C15" s="147" t="s"/>
      <c r="D15" s="146" t="s"/>
      <c r="E15" s="146" t="s"/>
      <c r="F15" s="146" t="s"/>
      <c r="G15" s="146" t="s"/>
      <c r="H15" s="146" t="s"/>
      <c r="I15" s="146" t="s"/>
      <c r="J15" s="146" t="s"/>
      <c r="K15" s="146" t="s"/>
      <c r="L15" s="146" t="s"/>
      <c r="M15" s="135" t="s"/>
      <c r="N15" s="135" t="s"/>
      <c r="O15" s="135" t="s"/>
      <c r="P15" s="135" t="s"/>
      <c r="Q15" s="135" t="s"/>
      <c r="R15" s="135" t="s"/>
      <c r="S15" s="135" t="s"/>
    </row>
    <row r="16" spans="1:19">
      <c r="A16" s="148" t="s"/>
      <c r="B16" s="146" t="s"/>
      <c r="C16" s="147" t="s"/>
      <c r="D16" s="146" t="s"/>
      <c r="E16" s="146" t="s"/>
      <c r="F16" s="146" t="s"/>
      <c r="G16" s="146" t="s"/>
      <c r="H16" s="146" t="s"/>
      <c r="I16" s="146" t="s"/>
      <c r="J16" s="146" t="s"/>
      <c r="K16" s="146" t="s"/>
      <c r="L16" s="146" t="s"/>
      <c r="M16" s="135" t="s"/>
      <c r="N16" s="135" t="s"/>
      <c r="O16" s="135" t="s"/>
      <c r="P16" s="135" t="s"/>
      <c r="Q16" s="135" t="s"/>
      <c r="R16" s="135" t="s"/>
      <c r="S16" s="135" t="s"/>
    </row>
    <row r="17" spans="1:19">
      <c r="A17" s="148" t="s"/>
      <c r="B17" s="146" t="s"/>
      <c r="C17" s="147" t="s"/>
      <c r="D17" s="146" t="s"/>
      <c r="E17" s="146" t="s"/>
      <c r="F17" s="146" t="s"/>
      <c r="G17" s="146" t="s"/>
      <c r="H17" s="146" t="s"/>
      <c r="I17" s="146" t="s"/>
      <c r="J17" s="146" t="s"/>
      <c r="K17" s="146" t="s"/>
      <c r="L17" s="146" t="s"/>
      <c r="M17" s="135" t="s"/>
      <c r="N17" s="135" t="s"/>
      <c r="O17" s="135" t="s"/>
      <c r="P17" s="135" t="s"/>
      <c r="Q17" s="135" t="s"/>
      <c r="R17" s="135" t="s"/>
      <c r="S17" s="135" t="s"/>
    </row>
    <row r="18" spans="1:19">
      <c r="A18" s="148" t="s"/>
      <c r="B18" s="146" t="s"/>
      <c r="C18" s="147" t="s"/>
      <c r="D18" s="146" t="s"/>
      <c r="E18" s="146" t="s"/>
      <c r="F18" s="146" t="s"/>
      <c r="G18" s="146" t="s"/>
      <c r="H18" s="146" t="s"/>
      <c r="I18" s="146" t="s"/>
      <c r="J18" s="146" t="s"/>
      <c r="K18" s="146" t="s"/>
      <c r="L18" s="146" t="s"/>
      <c r="M18" s="135" t="s"/>
      <c r="N18" s="135" t="s"/>
      <c r="O18" s="135" t="s"/>
      <c r="P18" s="135" t="s"/>
      <c r="Q18" s="135" t="s"/>
      <c r="R18" s="135" t="s"/>
      <c r="S18" s="135" t="s"/>
    </row>
    <row r="19" spans="1:19">
      <c r="A19" s="149" t="s"/>
      <c r="B19" s="150" t="s"/>
      <c r="C19" s="151" t="s"/>
      <c r="D19" s="146" t="s"/>
      <c r="E19" s="146" t="s"/>
      <c r="F19" s="146" t="s"/>
      <c r="G19" s="146" t="s"/>
      <c r="H19" s="146" t="s"/>
      <c r="I19" s="146" t="s"/>
      <c r="J19" s="146" t="s"/>
      <c r="K19" s="146" t="s"/>
      <c r="L19" s="146" t="s"/>
      <c r="M19" s="135" t="s"/>
      <c r="N19" s="135" t="s"/>
      <c r="O19" s="135" t="s"/>
      <c r="P19" s="135" t="s"/>
      <c r="Q19" s="135" t="s"/>
      <c r="R19" s="135" t="s"/>
      <c r="S19" s="135" t="s"/>
    </row>
    <row r="20" spans="1:19">
      <c r="A20" s="149" t="s"/>
      <c r="B20" s="150" t="s"/>
      <c r="C20" s="151" t="s"/>
      <c r="D20" s="146" t="s"/>
      <c r="E20" s="146" t="s"/>
      <c r="F20" s="146" t="s"/>
      <c r="G20" s="146" t="s"/>
      <c r="H20" s="146" t="s"/>
      <c r="I20" s="146" t="s"/>
      <c r="J20" s="146" t="s"/>
      <c r="K20" s="146" t="s"/>
      <c r="L20" s="146" t="s"/>
      <c r="M20" s="135" t="s"/>
      <c r="N20" s="135" t="s"/>
      <c r="O20" s="135" t="s"/>
      <c r="P20" s="135" t="s"/>
      <c r="Q20" s="135" t="s"/>
      <c r="R20" s="135" t="s"/>
      <c r="S20" s="135" t="s"/>
    </row>
    <row r="21" spans="1:19">
      <c r="A21" s="149" t="s"/>
      <c r="B21" s="150" t="s"/>
      <c r="C21" s="151" t="s"/>
      <c r="D21" s="146" t="s"/>
      <c r="E21" s="146" t="s"/>
      <c r="F21" s="146" t="s"/>
      <c r="G21" s="146" t="s"/>
      <c r="H21" s="146" t="s"/>
      <c r="I21" s="146" t="s"/>
      <c r="J21" s="146" t="s"/>
      <c r="K21" s="146" t="s"/>
      <c r="L21" s="146" t="s"/>
      <c r="M21" s="135" t="s"/>
      <c r="N21" s="135" t="s"/>
      <c r="O21" s="135" t="s"/>
      <c r="P21" s="135" t="s"/>
      <c r="Q21" s="135" t="s"/>
      <c r="R21" s="135" t="s"/>
      <c r="S21" s="135" t="s"/>
    </row>
    <row r="22" spans="1:19">
      <c r="A22" s="135" t="s"/>
      <c r="B22" s="135" t="s"/>
      <c r="C22" s="135" t="s"/>
      <c r="D22" s="135" t="s"/>
      <c r="E22" s="135" t="s"/>
      <c r="F22" s="135" t="s"/>
      <c r="G22" s="135" t="s"/>
      <c r="H22" s="135" t="s"/>
      <c r="I22" s="135" t="s"/>
      <c r="J22" s="135" t="s"/>
      <c r="K22" s="135" t="s"/>
      <c r="L22" s="135" t="s"/>
      <c r="M22" s="135" t="s"/>
      <c r="N22" s="135" t="s"/>
      <c r="O22" s="135" t="s"/>
      <c r="P22" s="135" t="s"/>
      <c r="Q22" s="135" t="s"/>
      <c r="R22" s="135" t="s"/>
      <c r="S22" s="135" t="s"/>
    </row>
    <row r="23" spans="1:19">
      <c r="A23" s="135" t="s"/>
      <c r="B23" s="135" t="s"/>
      <c r="C23" s="135" t="s"/>
      <c r="D23" s="135" t="s"/>
      <c r="E23" s="135" t="s"/>
      <c r="F23" s="135" t="s"/>
      <c r="G23" s="135" t="s"/>
      <c r="H23" s="135" t="s"/>
      <c r="I23" s="135" t="s"/>
      <c r="J23" s="135" t="s"/>
      <c r="K23" s="135" t="s"/>
      <c r="L23" s="135" t="s"/>
      <c r="M23" s="135" t="s"/>
      <c r="N23" s="135" t="s"/>
      <c r="O23" s="135" t="s"/>
      <c r="P23" s="135" t="s"/>
      <c r="Q23" s="135" t="s"/>
      <c r="R23" s="135" t="s"/>
      <c r="S23" s="135" t="s"/>
    </row>
    <row r="24" spans="1:19">
      <c r="A24" s="135" t="s"/>
      <c r="B24" s="135" t="s"/>
      <c r="C24" s="135" t="s"/>
      <c r="D24" s="135" t="s"/>
      <c r="E24" s="135" t="s"/>
      <c r="F24" s="135" t="s"/>
      <c r="G24" s="135" t="s"/>
      <c r="H24" s="135" t="s"/>
      <c r="I24" s="135" t="s"/>
      <c r="J24" s="135" t="s"/>
      <c r="K24" s="135" t="s"/>
      <c r="L24" s="135" t="s"/>
      <c r="M24" s="135" t="s"/>
      <c r="N24" s="135" t="s"/>
      <c r="O24" s="135" t="s"/>
      <c r="P24" s="135" t="s"/>
      <c r="Q24" s="135" t="s"/>
      <c r="R24" s="135" t="s"/>
      <c r="S24" s="135" t="s"/>
    </row>
    <row r="25" spans="1:19">
      <c r="A25" s="135" t="s"/>
      <c r="B25" s="135" t="s"/>
      <c r="C25" s="135" t="s"/>
      <c r="D25" s="135" t="s"/>
      <c r="E25" s="135" t="s"/>
      <c r="F25" s="135" t="s"/>
      <c r="G25" s="135" t="s"/>
      <c r="H25" s="135" t="s"/>
      <c r="I25" s="135" t="s"/>
      <c r="J25" s="135" t="s"/>
      <c r="K25" s="135" t="s"/>
      <c r="L25" s="135" t="s"/>
      <c r="M25" s="135" t="s"/>
      <c r="N25" s="135" t="s"/>
      <c r="O25" s="135" t="s"/>
      <c r="P25" s="135" t="s"/>
      <c r="Q25" s="135" t="s"/>
      <c r="R25" s="135" t="s"/>
      <c r="S25" s="135" t="s"/>
    </row>
    <row r="26" spans="1:19">
      <c r="A26" s="135" t="s"/>
      <c r="B26" s="135" t="s"/>
      <c r="C26" s="135" t="s"/>
      <c r="D26" s="135" t="s"/>
      <c r="E26" s="135" t="s"/>
      <c r="F26" s="135" t="s"/>
      <c r="G26" s="135" t="s"/>
      <c r="H26" s="135" t="s"/>
      <c r="I26" s="135" t="s"/>
      <c r="J26" s="135" t="s"/>
      <c r="K26" s="135" t="s"/>
      <c r="L26" s="135" t="s"/>
      <c r="M26" s="135" t="s"/>
      <c r="N26" s="135" t="s"/>
      <c r="O26" s="135" t="s"/>
      <c r="P26" s="135" t="s"/>
      <c r="Q26" s="135" t="s"/>
      <c r="R26" s="135" t="s"/>
      <c r="S26" s="135" t="s"/>
    </row>
    <row r="27" spans="1:19">
      <c r="A27" s="135" t="s"/>
      <c r="B27" s="135" t="s"/>
      <c r="C27" s="135" t="s"/>
      <c r="D27" s="135" t="s"/>
      <c r="E27" s="135" t="s"/>
      <c r="F27" s="135" t="s"/>
      <c r="G27" s="135" t="s"/>
      <c r="H27" s="135" t="s"/>
      <c r="I27" s="135" t="s"/>
      <c r="J27" s="135" t="s"/>
      <c r="K27" s="135" t="s"/>
      <c r="L27" s="135" t="s"/>
      <c r="M27" s="135" t="s"/>
      <c r="N27" s="135" t="s"/>
      <c r="O27" s="135" t="s"/>
      <c r="P27" s="135" t="s"/>
      <c r="Q27" s="135" t="s"/>
      <c r="R27" s="135" t="s"/>
      <c r="S27" s="135" t="s"/>
    </row>
    <row r="28" spans="1:19">
      <c r="A28" s="135" t="s"/>
      <c r="B28" s="135" t="s"/>
      <c r="C28" s="135" t="s"/>
      <c r="D28" s="135" t="s"/>
      <c r="E28" s="135" t="s"/>
      <c r="F28" s="135" t="s"/>
      <c r="G28" s="135" t="s"/>
      <c r="H28" s="135" t="s"/>
      <c r="I28" s="135" t="s"/>
      <c r="J28" s="135" t="s"/>
      <c r="K28" s="135" t="s"/>
      <c r="L28" s="135" t="s"/>
      <c r="M28" s="135" t="s"/>
      <c r="N28" s="135" t="s"/>
      <c r="O28" s="135" t="s"/>
      <c r="P28" s="135" t="s"/>
      <c r="Q28" s="135" t="s"/>
      <c r="R28" s="135" t="s"/>
      <c r="S28" s="135" t="s"/>
    </row>
    <row r="29" spans="1:19">
      <c r="A29" s="136" t="s">
        <v>141</v>
      </c>
      <c r="B29" s="5" t="s"/>
      <c r="C29" s="5" t="s"/>
      <c r="D29" s="5" t="s"/>
      <c r="E29" s="5" t="s"/>
      <c r="F29" s="5" t="s"/>
      <c r="G29" s="5" t="s"/>
      <c r="H29" s="5" t="s"/>
      <c r="I29" s="5" t="s"/>
      <c r="J29" s="5" t="s"/>
      <c r="K29" s="5" t="s"/>
      <c r="L29" s="5" t="s"/>
      <c r="M29" s="152" t="s"/>
      <c r="N29" s="153" t="s"/>
      <c r="O29" s="5" t="s"/>
      <c r="P29" s="5" t="s"/>
      <c r="Q29" s="5" t="s"/>
      <c r="R29" s="5" t="s"/>
      <c r="S29" s="5" t="s"/>
    </row>
    <row r="30" spans="1:19">
      <c r="A30" s="5" t="s"/>
      <c r="B30" s="5" t="s"/>
      <c r="C30" s="5" t="s"/>
      <c r="D30" s="5" t="s"/>
      <c r="E30" s="5" t="s"/>
      <c r="F30" s="5" t="s"/>
      <c r="G30" s="5" t="s"/>
      <c r="H30" s="5" t="s"/>
      <c r="I30" s="5" t="s"/>
      <c r="J30" s="5" t="s"/>
      <c r="K30" s="5" t="s"/>
      <c r="L30" s="5" t="s"/>
      <c r="M30" s="152" t="s"/>
      <c r="N30" s="154" t="s"/>
      <c r="O30" s="155" t="s"/>
      <c r="P30" s="156" t="s"/>
      <c r="Q30" s="157" t="s"/>
      <c r="R30" s="157" t="s"/>
      <c r="S30" s="154" t="s"/>
    </row>
    <row r="31" spans="1:19">
      <c r="A31" s="136" t="s">
        <v>142</v>
      </c>
      <c r="B31" s="5" t="s"/>
      <c r="C31" s="5" t="s"/>
      <c r="D31" s="158" t="s">
        <v>77</v>
      </c>
      <c r="E31" s="5" t="s"/>
      <c r="F31" s="5" t="s"/>
      <c r="G31" s="5" t="s"/>
      <c r="H31" s="5" t="s"/>
      <c r="I31" s="5" t="s"/>
      <c r="J31" s="5" t="s"/>
      <c r="K31" s="5" t="s"/>
      <c r="L31" s="5" t="s"/>
      <c r="M31" s="152" t="s"/>
      <c r="N31" s="154" t="s"/>
      <c r="O31" s="159" t="s"/>
      <c r="P31" s="160" t="s"/>
      <c r="Q31" s="157" t="s"/>
      <c r="R31" s="157" t="s"/>
      <c r="S31" s="154" t="s"/>
    </row>
    <row r="32" spans="1:19">
      <c r="A32" s="161" t="s">
        <v>143</v>
      </c>
      <c r="B32" s="161" t="s">
        <v>79</v>
      </c>
      <c r="C32" s="162" t="s">
        <v>144</v>
      </c>
      <c r="D32" s="163" t="s">
        <v>81</v>
      </c>
      <c r="E32" s="163" t="s">
        <v>82</v>
      </c>
      <c r="F32" s="163" t="s">
        <v>83</v>
      </c>
      <c r="G32" s="163" t="s">
        <v>84</v>
      </c>
      <c r="H32" s="164" t="s">
        <v>85</v>
      </c>
      <c r="I32" s="165" t="s">
        <v>86</v>
      </c>
      <c r="J32" s="165" t="s">
        <v>87</v>
      </c>
      <c r="K32" s="165" t="s">
        <v>88</v>
      </c>
      <c r="L32" s="165" t="s">
        <v>89</v>
      </c>
      <c r="M32" s="152" t="s"/>
      <c r="N32" s="154" t="s"/>
      <c r="O32" s="159" t="s"/>
      <c r="P32" s="160" t="s"/>
      <c r="Q32" s="157" t="s"/>
      <c r="R32" s="157" t="s"/>
      <c r="S32" s="154" t="s"/>
    </row>
    <row r="33" spans="1:19">
      <c r="A33" s="146" t="s"/>
      <c r="B33" s="166" t="s"/>
      <c r="C33" s="167" t="s"/>
      <c r="D33" s="146" t="s"/>
      <c r="E33" s="146" t="s"/>
      <c r="F33" s="146" t="s"/>
      <c r="G33" s="146" t="s"/>
      <c r="H33" s="146" t="s"/>
      <c r="I33" s="146" t="s"/>
      <c r="J33" s="146" t="s"/>
      <c r="K33" s="146" t="s"/>
      <c r="L33" s="146" t="s"/>
      <c r="M33" s="152" t="s"/>
      <c r="N33" s="157" t="s"/>
      <c r="O33" s="159" t="s"/>
      <c r="P33" s="160" t="s"/>
      <c r="Q33" s="157" t="s"/>
      <c r="R33" s="157" t="s"/>
      <c r="S33" s="154" t="s"/>
    </row>
    <row r="34" spans="1:19">
      <c r="A34" s="5" t="s"/>
      <c r="B34" s="166" t="s"/>
      <c r="C34" s="167" t="s"/>
      <c r="D34" s="146" t="s"/>
      <c r="E34" s="146" t="s"/>
      <c r="F34" s="146" t="s"/>
      <c r="G34" s="146" t="s"/>
      <c r="H34" s="146" t="s"/>
      <c r="I34" s="146" t="s"/>
      <c r="J34" s="146" t="s"/>
      <c r="K34" s="146" t="s"/>
      <c r="L34" s="146" t="s"/>
      <c r="M34" s="152" t="s"/>
      <c r="N34" s="157" t="s"/>
      <c r="O34" s="159" t="s"/>
      <c r="P34" s="160" t="s"/>
      <c r="Q34" s="157" t="s"/>
      <c r="R34" s="157" t="s"/>
      <c r="S34" s="154" t="s"/>
    </row>
    <row r="35" spans="1:19">
      <c r="A35" s="148" t="s"/>
      <c r="B35" s="166" t="s"/>
      <c r="C35" s="167" t="s"/>
      <c r="D35" s="168" t="s"/>
      <c r="E35" s="168" t="s"/>
      <c r="F35" s="168" t="s"/>
      <c r="G35" s="146" t="s"/>
      <c r="H35" s="146" t="s"/>
      <c r="I35" s="146" t="s"/>
      <c r="J35" s="146" t="s"/>
      <c r="K35" s="146" t="s"/>
      <c r="L35" s="146" t="s"/>
      <c r="M35" s="152" t="s"/>
      <c r="N35" s="157" t="s"/>
      <c r="O35" s="159" t="s"/>
      <c r="P35" s="160" t="s"/>
      <c r="Q35" s="157" t="s"/>
      <c r="R35" s="157" t="s"/>
      <c r="S35" s="154" t="s"/>
    </row>
    <row r="36" spans="1:19">
      <c r="A36" s="5" t="s"/>
      <c r="B36" s="166" t="s"/>
      <c r="C36" s="167" t="s"/>
      <c r="D36" s="168" t="s"/>
      <c r="E36" s="168" t="s"/>
      <c r="F36" s="168" t="s"/>
      <c r="G36" s="146" t="s"/>
      <c r="H36" s="146" t="s"/>
      <c r="I36" s="146" t="s"/>
      <c r="J36" s="146" t="s"/>
      <c r="K36" s="146" t="s"/>
      <c r="L36" s="146" t="s"/>
      <c r="M36" s="152" t="s"/>
      <c r="N36" s="157" t="s"/>
      <c r="O36" s="159" t="s"/>
      <c r="P36" s="160" t="s"/>
      <c r="Q36" s="157" t="s"/>
      <c r="R36" s="157" t="s"/>
      <c r="S36" s="154" t="s"/>
    </row>
    <row r="37" spans="1:19">
      <c r="A37" s="148" t="s"/>
      <c r="B37" s="146" t="s"/>
      <c r="C37" s="167" t="s"/>
      <c r="D37" s="168" t="s"/>
      <c r="E37" s="168" t="s"/>
      <c r="F37" s="169" t="s"/>
      <c r="G37" s="169" t="s"/>
      <c r="H37" s="169" t="s"/>
      <c r="I37" s="168" t="s"/>
      <c r="J37" s="168" t="s"/>
      <c r="K37" s="168" t="s"/>
      <c r="L37" s="168" t="s"/>
      <c r="M37" s="152" t="s"/>
      <c r="N37" s="157" t="s"/>
      <c r="O37" s="159" t="s"/>
      <c r="P37" s="160" t="s"/>
      <c r="Q37" s="157" t="s"/>
      <c r="R37" s="157" t="s"/>
      <c r="S37" s="154" t="s"/>
    </row>
    <row r="38" spans="1:19">
      <c r="A38" s="5" t="s"/>
      <c r="B38" s="146" t="s"/>
      <c r="C38" s="167" t="s"/>
      <c r="D38" s="168" t="s"/>
      <c r="E38" s="168" t="s"/>
      <c r="F38" s="146" t="s"/>
      <c r="G38" s="146" t="s"/>
      <c r="H38" s="146" t="s"/>
      <c r="I38" s="168" t="s"/>
      <c r="J38" s="168" t="s"/>
      <c r="K38" s="168" t="s"/>
      <c r="L38" s="168" t="s"/>
      <c r="M38" s="152" t="s"/>
      <c r="N38" s="154" t="s"/>
      <c r="O38" s="159" t="s"/>
      <c r="P38" s="156" t="s"/>
      <c r="Q38" s="157" t="s"/>
      <c r="R38" s="157" t="s"/>
      <c r="S38" s="154" t="s"/>
    </row>
    <row r="39" spans="1:19">
      <c r="A39" s="146" t="s"/>
      <c r="B39" s="146" t="s"/>
      <c r="C39" s="167" t="s"/>
      <c r="D39" s="146" t="s"/>
      <c r="E39" s="146" t="s"/>
      <c r="F39" s="146" t="s"/>
      <c r="G39" s="146" t="s"/>
      <c r="H39" s="146" t="s"/>
      <c r="I39" s="146" t="s"/>
      <c r="J39" s="146" t="s"/>
      <c r="K39" s="146" t="s"/>
      <c r="L39" s="146" t="s"/>
      <c r="M39" s="152" t="s"/>
      <c r="N39" s="170" t="s"/>
      <c r="O39" s="171" t="s"/>
      <c r="P39" s="172" t="s"/>
      <c r="Q39" s="170" t="s"/>
      <c r="R39" s="170" t="s"/>
      <c r="S39" s="170" t="s"/>
    </row>
    <row r="40" spans="1:19">
      <c r="A40" s="5" t="s"/>
      <c r="B40" s="146" t="s"/>
      <c r="C40" s="167" t="s"/>
      <c r="D40" s="146" t="s"/>
      <c r="E40" s="146" t="s"/>
      <c r="F40" s="146" t="s"/>
      <c r="G40" s="146" t="s"/>
      <c r="H40" s="146" t="s"/>
      <c r="I40" s="146" t="s"/>
      <c r="J40" s="146" t="s"/>
      <c r="K40" s="146" t="s"/>
      <c r="L40" s="146" t="s"/>
      <c r="M40" s="152" t="s"/>
      <c r="N40" s="170" t="s"/>
      <c r="O40" s="171" t="s"/>
      <c r="P40" s="172" t="s"/>
      <c r="Q40" s="170" t="s"/>
      <c r="R40" s="170" t="s"/>
      <c r="S40" s="170" t="s"/>
    </row>
    <row r="41" spans="1:19">
      <c r="A41" s="146" t="s"/>
      <c r="B41" s="146" t="s"/>
      <c r="C41" s="167" t="s"/>
      <c r="D41" s="146" t="s"/>
      <c r="E41" s="146" t="s"/>
      <c r="F41" s="146" t="s"/>
      <c r="G41" s="146" t="s"/>
      <c r="H41" s="146" t="s"/>
      <c r="I41" s="146" t="s"/>
      <c r="J41" s="146" t="s"/>
      <c r="K41" s="146" t="s"/>
      <c r="L41" s="146" t="s"/>
      <c r="M41" s="152" t="s"/>
      <c r="N41" s="172" t="s"/>
      <c r="O41" s="172" t="s"/>
      <c r="P41" s="172" t="s"/>
      <c r="Q41" s="172" t="s"/>
      <c r="R41" s="172" t="s"/>
      <c r="S41" s="172" t="s"/>
    </row>
    <row r="42" spans="1:19">
      <c r="A42" s="5" t="s"/>
      <c r="B42" s="146" t="s"/>
      <c r="C42" s="167" t="s"/>
      <c r="D42" s="146" t="s"/>
      <c r="E42" s="146" t="s"/>
      <c r="F42" s="146" t="s"/>
      <c r="G42" s="146" t="s"/>
      <c r="H42" s="146" t="s"/>
      <c r="I42" s="146" t="s"/>
      <c r="J42" s="146" t="s"/>
      <c r="K42" s="146" t="s"/>
      <c r="L42" s="146" t="s"/>
      <c r="M42" s="152" t="s"/>
      <c r="N42" s="173" t="s">
        <v>236</v>
      </c>
      <c r="O42" s="174" t="s">
        <v>110</v>
      </c>
      <c r="P42" s="175">
        <v>33155</v>
      </c>
      <c r="Q42" s="176" t="s">
        <v>237</v>
      </c>
      <c r="R42" s="172" t="s"/>
      <c r="S42" s="172" t="s"/>
    </row>
    <row r="43" spans="1:19">
      <c r="A43" s="146" t="s"/>
      <c r="B43" s="146" t="s"/>
      <c r="C43" s="167" t="s"/>
      <c r="D43" s="146" t="s"/>
      <c r="E43" s="146" t="s"/>
      <c r="F43" s="146" t="s"/>
      <c r="G43" s="146" t="s"/>
      <c r="H43" s="146" t="s"/>
      <c r="I43" s="146" t="s"/>
      <c r="J43" s="146" t="s"/>
      <c r="K43" s="146" t="s"/>
      <c r="L43" s="146" t="s"/>
      <c r="M43" s="152" t="s"/>
      <c r="N43" s="5" t="s"/>
      <c r="O43" s="174" t="s">
        <v>94</v>
      </c>
      <c r="P43" s="175">
        <v>32348</v>
      </c>
      <c r="Q43" s="176" t="s">
        <v>238</v>
      </c>
      <c r="R43" s="172" t="s"/>
      <c r="S43" s="172" t="s"/>
    </row>
    <row r="44" spans="1:19">
      <c r="A44" s="5" t="s"/>
      <c r="B44" s="146" t="s"/>
      <c r="C44" s="167" t="s"/>
      <c r="D44" s="146" t="s"/>
      <c r="E44" s="146" t="s"/>
      <c r="F44" s="146" t="s"/>
      <c r="G44" s="146" t="s"/>
      <c r="H44" s="146" t="s"/>
      <c r="I44" s="146" t="s"/>
      <c r="J44" s="146" t="s"/>
      <c r="K44" s="146" t="s"/>
      <c r="L44" s="146" t="s"/>
      <c r="M44" s="152" t="s"/>
      <c r="N44" s="5" t="s"/>
      <c r="O44" s="174" t="s">
        <v>118</v>
      </c>
      <c r="P44" s="175">
        <v>33124</v>
      </c>
      <c r="Q44" s="176" t="s">
        <v>239</v>
      </c>
      <c r="R44" s="172" t="s"/>
      <c r="S44" s="172" t="s"/>
    </row>
    <row r="45" spans="1:19">
      <c r="A45" s="146" t="s"/>
      <c r="B45" s="146" t="s"/>
      <c r="C45" s="167" t="s"/>
      <c r="D45" s="146" t="s"/>
      <c r="E45" s="146" t="s"/>
      <c r="F45" s="146" t="s"/>
      <c r="G45" s="146" t="s"/>
      <c r="H45" s="146" t="s"/>
      <c r="I45" s="146" t="s"/>
      <c r="J45" s="146" t="s"/>
      <c r="K45" s="146" t="s"/>
      <c r="L45" s="146" t="s"/>
      <c r="M45" s="152" t="s"/>
      <c r="N45" s="177" t="s"/>
      <c r="O45" s="177" t="s"/>
      <c r="P45" s="177" t="s"/>
      <c r="Q45" s="177" t="s"/>
      <c r="R45" s="172" t="s"/>
      <c r="S45" s="172" t="s"/>
    </row>
    <row r="46" spans="1:19">
      <c r="A46" s="146" t="s"/>
      <c r="B46" s="148" t="s"/>
      <c r="C46" s="146" t="s"/>
      <c r="D46" s="146" t="s"/>
      <c r="E46" s="146" t="s"/>
      <c r="F46" s="146" t="s"/>
      <c r="G46" s="146" t="s"/>
      <c r="H46" s="146" t="s"/>
      <c r="I46" s="146" t="s"/>
      <c r="J46" s="146" t="s"/>
      <c r="K46" s="146" t="s"/>
      <c r="L46" s="146" t="s"/>
      <c r="M46" s="152" t="s"/>
      <c r="N46" s="173" t="s">
        <v>240</v>
      </c>
      <c r="O46" s="178" t="s">
        <v>114</v>
      </c>
      <c r="P46" s="175">
        <v>34553</v>
      </c>
      <c r="Q46" s="176" t="s">
        <v>241</v>
      </c>
      <c r="R46" s="172" t="s"/>
      <c r="S46" s="172" t="s"/>
    </row>
    <row r="47" spans="1:19">
      <c r="A47" s="5" t="s"/>
      <c r="B47" s="146" t="s"/>
      <c r="C47" s="146" t="s"/>
      <c r="D47" s="146" t="s"/>
      <c r="E47" s="146" t="s"/>
      <c r="F47" s="146" t="s"/>
      <c r="G47" s="146" t="s"/>
      <c r="H47" s="146" t="s"/>
      <c r="I47" s="146" t="s"/>
      <c r="J47" s="146" t="s"/>
      <c r="K47" s="146" t="s"/>
      <c r="L47" s="146" t="s"/>
      <c r="M47" s="152" t="s"/>
      <c r="N47" s="5" t="s"/>
      <c r="O47" s="174" t="s">
        <v>108</v>
      </c>
      <c r="P47" s="175">
        <v>33370</v>
      </c>
      <c r="Q47" s="176" t="s">
        <v>242</v>
      </c>
      <c r="R47" s="172" t="s"/>
      <c r="S47" s="172" t="s"/>
    </row>
    <row r="48" spans="1:19">
      <c r="A48" s="179" t="s"/>
      <c r="B48" s="179" t="s"/>
      <c r="C48" s="180" t="s"/>
      <c r="D48" s="179" t="s"/>
      <c r="E48" s="179" t="s"/>
      <c r="F48" s="179" t="s"/>
      <c r="G48" s="179" t="s"/>
      <c r="H48" s="181" t="s"/>
      <c r="I48" s="179" t="s"/>
      <c r="J48" s="181" t="s"/>
      <c r="K48" s="146" t="s"/>
      <c r="L48" s="146" t="s"/>
      <c r="M48" s="152" t="s"/>
      <c r="N48" s="5" t="s"/>
      <c r="O48" s="178" t="s">
        <v>101</v>
      </c>
      <c r="P48" s="175">
        <v>34738</v>
      </c>
      <c r="Q48" s="176" t="s">
        <v>243</v>
      </c>
      <c r="R48" s="172" t="s"/>
      <c r="S48" s="172" t="s"/>
    </row>
    <row r="49" spans="1:19">
      <c r="A49" s="146" t="s"/>
      <c r="B49" s="148" t="s"/>
      <c r="C49" s="146" t="s"/>
      <c r="D49" s="146" t="s"/>
      <c r="E49" s="146" t="s"/>
      <c r="F49" s="146" t="s"/>
      <c r="G49" s="146" t="s"/>
      <c r="H49" s="146" t="s"/>
      <c r="I49" s="146" t="s"/>
      <c r="J49" s="146" t="s"/>
      <c r="K49" s="146" t="s"/>
      <c r="L49" s="146" t="s"/>
      <c r="M49" s="152" t="s"/>
      <c r="N49" s="177" t="s"/>
      <c r="O49" s="177" t="s"/>
      <c r="P49" s="177" t="s"/>
      <c r="Q49" s="177" t="s"/>
      <c r="R49" s="172" t="s"/>
      <c r="S49" s="172" t="s"/>
    </row>
    <row r="50" spans="1:19">
      <c r="A50" s="5" t="s"/>
      <c r="B50" s="146" t="s"/>
      <c r="C50" s="146" t="s"/>
      <c r="D50" s="146" t="s"/>
      <c r="E50" s="146" t="s"/>
      <c r="F50" s="146" t="s"/>
      <c r="G50" s="146" t="s"/>
      <c r="H50" s="146" t="s"/>
      <c r="I50" s="146" t="s"/>
      <c r="J50" s="146" t="s"/>
      <c r="K50" s="146" t="s"/>
      <c r="L50" s="146" t="s"/>
      <c r="M50" s="152" t="s"/>
      <c r="N50" s="173">
        <v>25</v>
      </c>
      <c r="O50" s="182" t="s">
        <v>244</v>
      </c>
      <c r="P50" s="183" t="s">
        <v>245</v>
      </c>
      <c r="Q50" s="177" t="s"/>
      <c r="R50" s="170" t="s"/>
      <c r="S50" s="172" t="s"/>
    </row>
    <row r="51" spans="1:19">
      <c r="A51" s="135" t="s"/>
      <c r="B51" s="135" t="s"/>
      <c r="C51" s="135" t="s"/>
      <c r="D51" s="135" t="s"/>
      <c r="E51" s="135" t="s"/>
      <c r="F51" s="135" t="s"/>
      <c r="G51" s="135" t="s"/>
      <c r="H51" s="135" t="s"/>
      <c r="I51" s="135" t="s"/>
      <c r="J51" s="135" t="s"/>
      <c r="K51" s="135" t="s"/>
      <c r="L51" s="135" t="s"/>
      <c r="M51" s="135" t="s"/>
      <c r="N51" s="5" t="s"/>
      <c r="O51" s="182" t="s">
        <v>246</v>
      </c>
      <c r="P51" s="183" t="s">
        <v>247</v>
      </c>
      <c r="Q51" s="177" t="s"/>
      <c r="R51" s="135" t="s"/>
      <c r="S51" s="135" t="s"/>
    </row>
    <row r="52" spans="1:19">
      <c r="A52" s="135" t="s"/>
      <c r="B52" s="135" t="s"/>
      <c r="C52" s="135" t="s"/>
      <c r="D52" s="135" t="s"/>
      <c r="E52" s="135" t="s"/>
      <c r="F52" s="135" t="s"/>
      <c r="G52" s="135" t="s"/>
      <c r="H52" s="135" t="s"/>
      <c r="I52" s="135" t="s"/>
      <c r="J52" s="135" t="s"/>
      <c r="K52" s="135" t="s"/>
      <c r="L52" s="135" t="s"/>
      <c r="M52" s="135" t="s"/>
      <c r="N52" s="5" t="s"/>
      <c r="O52" s="182" t="s">
        <v>248</v>
      </c>
      <c r="P52" s="183" t="s">
        <v>249</v>
      </c>
      <c r="Q52" s="177" t="s"/>
      <c r="R52" s="135" t="s"/>
      <c r="S52" s="135" t="s"/>
    </row>
  </sheetData>
  <mergeCells count="18">
    <mergeCell ref="A1:L2"/>
    <mergeCell ref="A3:C3"/>
    <mergeCell ref="D3:L3"/>
    <mergeCell ref="A29:L30"/>
    <mergeCell ref="N29:S29"/>
    <mergeCell ref="A31:C31"/>
    <mergeCell ref="D31:L31"/>
    <mergeCell ref="A33:A34"/>
    <mergeCell ref="A35:A36"/>
    <mergeCell ref="A37:A38"/>
    <mergeCell ref="A39:A40"/>
    <mergeCell ref="A41:A42"/>
    <mergeCell ref="N42:N44"/>
    <mergeCell ref="A43:A44"/>
    <mergeCell ref="A46:A47"/>
    <mergeCell ref="N46:N48"/>
    <mergeCell ref="A49:A50"/>
    <mergeCell ref="N50:N52"/>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2026-04-29T15:46:18Z</dcterms:created>
  <dcterms:modified xsi:type="dcterms:W3CDTF">2026-04-29T15:46:18Z</dcterms:modified>
</cp:coreProperties>
</file>