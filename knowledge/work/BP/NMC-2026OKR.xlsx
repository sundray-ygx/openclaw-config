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sheets/sheet18.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8.xml" ContentType="application/vnd.openxmlformats-officedocument.spreadsheetml.worksheet+xml"/>
  <Override PartName="/xl/threadedComments/threadedComment3.xml" ContentType="application/vnd.ms-excel.threadedcomments+xml"/>
  <Override PartName="/xl/worksheets/sheet9.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Override PartName="/xl/comments3.xml" ContentType="application/vnd.openxmlformats-officedocument.spreadsheetml.comments+xml"/>
  <Override PartName="/xl/sharedStrings.xml" ContentType="application/vnd.openxmlformats-officedocument.spreadsheetml.sharedStrings+xml"/>
  <Override PartName="/xl/threadedComments/threadedComment1.xml" ContentType="application/vnd.ms-excel.threadedcomments+xml"/>
  <Override PartName="/xl/theme/theme1.xml" ContentType="application/vnd.openxmlformats-officedocument.theme+xml"/>
  <Override PartName="/xl/worksheets/sheet5.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persons/person.xml" ContentType="application/vnd.ms-excel.person+xml"/>
  <Override PartName="/xl/comments1.xml" ContentType="application/vnd.openxmlformats-officedocument.spreadsheetml.comments+xml"/>
  <Override PartName="/xl/worksheets/sheet19.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026 OKR" sheetId="1" r:id="rId4"/>
    <sheet name="2026人力计划" sheetId="2" r:id="rId5"/>
    <sheet name="2026业务投资地图(Q3)" sheetId="3" r:id="rId6"/>
    <sheet name="26年roadmap" sheetId="4" r:id="rId7"/>
    <sheet name="责任田(2026)" sheetId="5" r:id="rId8"/>
    <sheet name="跨部门协作需求" sheetId="6" r:id="rId9"/>
    <sheet name="核心业务盘点" sheetId="7" state="hidden" r:id="rId10"/>
    <sheet name="计划roadmap" sheetId="8" state="hidden" r:id="rId11"/>
    <sheet name="控制器_v2" sheetId="9" state="hidden" r:id="rId12"/>
    <sheet name="控制器" sheetId="10" state="hidden" r:id="rId13"/>
    <sheet name="记录" sheetId="11" state="hidden" r:id="rId14"/>
    <sheet name="离职、转部门员工备份" sheetId="12" r:id="rId15"/>
    <sheet name="对外承诺项" sheetId="13" r:id="rId16"/>
    <sheet name="绩效计算表" sheetId="14" state="hidden" r:id="rId17"/>
    <sheet name="绩效汇总表Q3" sheetId="15" state="hidden" r:id="rId18"/>
    <sheet name="绩效汇总表Q4" sheetId="16" state="hidden" r:id="rId19"/>
    <sheet name="绩效汇总表Q2" sheetId="17" state="hidden" r:id="rId20"/>
    <sheet name="Q1绩效考核原始表" sheetId="18" state="hidden" r:id="rId21"/>
    <sheet name="Q1绩效考核汇总名单" sheetId="19" state="hidden" r:id="rId22"/>
  </sheets>
  <definedNames>
    <definedName name="_xlnm._FilterDatabase" localSheetId="16" hidden="true">绩效汇总表Q2!$A$3:$Y$38</definedName>
    <definedName name="_xlnm._FilterDatabase" localSheetId="8" hidden="true">控制器_v2!$A$1:$J$38</definedName>
    <definedName name="_xlnm._FilterDatabase" localSheetId="14" hidden="true">绩效汇总表Q3!$A$3:$X$35</definedName>
    <definedName name="_xlnm._FilterDatabase" localSheetId="15">绩效汇总表Q4!$A$3:$X$38</definedName>
  </definedNames>
  <calcPr calcId="191029"/>
</workbook>
</file>

<file path=xl/comments1.xml><?xml version="1.0" encoding="utf-8"?>
<comments xmlns="http://schemas.openxmlformats.org/spreadsheetml/2006/main">
  <authors>
    <author>tc={056826BE-9CED-4163-85E3-FE1B0F721BDB}</author>
    <author>tc={58AEAE33-66B6-4C2D-ABAE-21EF84EC614F}</author>
  </authors>
  <commentList>
    <comment ref="K27" authorId="0">
      <text>
        <r>
          <t>职级T2</t>
        </r>
      </text>
    </comment>
    <comment ref="K25" authorId="1">
      <text>
        <r>
          <t>T5</t>
        </r>
      </text>
    </comment>
  </commentList>
</comments>
</file>

<file path=xl/comments2.xml><?xml version="1.0" encoding="utf-8"?>
<comments xmlns="http://schemas.openxmlformats.org/spreadsheetml/2006/main">
  <authors>
    <author>tc={6E427C56-4A95-41FB-97C3-E40C5A247948}</author>
  </authors>
  <commentList>
    <comment ref="L1" authorId="0">
      <text>
        <r>
          <t>管理2，质量8，定制精品化8，支援1，收尾3
熟悉后台1</t>
        </r>
      </text>
    </comment>
  </commentList>
</comments>
</file>

<file path=xl/comments3.xml><?xml version="1.0" encoding="utf-8"?>
<comments xmlns="http://schemas.openxmlformats.org/spreadsheetml/2006/main">
  <authors>
    <author>tc={36267EDF-BC25-412D-A316-C94BBC6DF108}</author>
    <author>tc={63400A1B-D92C-4789-839E-F73B25FF6A4C}</author>
    <author>tc={E30A5F88-86B2-42FD-B0A2-DC18EE8AA302}</author>
    <author>tc={F000CA9B-BABD-4BDD-9230-1F8C8644F5A8}</author>
    <author>tc={23FD6F3D-3C71-440D-9199-F1AAA4575EEE}</author>
    <author>tc={5B835030-028D-416C-80CD-CD6981F5A48E}</author>
    <author>tc={81707667-B44D-4353-8EB3-548FC4AA039B}</author>
    <author>tc={2080EE26-1B02-4218-B3C6-36ACF84339F8}</author>
    <author>tc={8819EEB9-3622-411E-A9CD-40D7A5AE5660}</author>
    <author>tc={D1609EF1-4A4E-4C55-B839-B47D2F62F87B}</author>
    <author>tc={3BAEF612-7F84-42E5-B197-40131FB907C9}</author>
    <author>tc={D5D77FC5-99DC-4B15-8A79-5EAE0221C9BE}</author>
    <author>tc={9629EEA8-527C-4E8F-AADA-25D2A17E7EEA}</author>
    <author>tc={07FB15BD-742F-4CF1-9CE5-BA04D65706DE}</author>
    <author>tc={D10D1786-D727-4ABD-8871-69E9F4F7A5D1}</author>
    <author>tc={3D902871-EA63-43CA-8C8F-50D0FD2B0119}</author>
    <author>tc={40A578A1-36D0-42A3-875E-D90634DA0EE1}</author>
    <author>tc={471B4DD7-AB7E-4CAE-8C07-5F9DD0C05A4F}</author>
    <author>tc={96887BF0-5A47-443D-9B22-9E875FA4C245}</author>
    <author>tc={A96D9250-D079-4504-9B16-9204A51FE104}</author>
    <author>tc={E3710597-2DFA-426C-8FC3-827A1339366D}</author>
    <author>tc={C8669DA3-B4E0-4303-96B0-FEE5292F1549}</author>
    <author>tc={3EC58B4A-279F-4752-976A-D92566A1B69F}</author>
    <author>tc={43E68E1A-5115-43C3-88D5-7E5D6E36F88E}</author>
    <author>tc={3E6B10CD-DD03-4AA7-A58D-1428F9DEA552}</author>
    <author>tc={94A35FC5-A4A3-422D-8B95-8C8B611F0C67}</author>
    <author>tc={BAD07718-2352-4544-AB12-8D4E02F5A86E}</author>
    <author>tc={FCB3AC78-D1E0-4F32-A523-6D6E0A7F7C5F}</author>
    <author>tc={71B9CE28-509C-4FC4-8E1F-55A4AD779B74}</author>
    <author>tc={D627EA94-D184-4834-9724-769FBFFB71F2}</author>
    <author>tc={3186B3E3-7339-49B1-832A-58EB60D74CB7}</author>
    <author>tc={DED45485-6A49-484F-A2BF-EA260713ECF6}</author>
    <author>tc={E70BF63D-A68B-46A3-A1ED-4764B95B3E77}</author>
    <author>tc={5C640BA0-EDAF-436C-9252-ACAC7C9C5559}</author>
    <author>tc={334B3C49-A052-49B5-8FE5-E342122BD741}</author>
    <author>tc={1A3DD146-A729-43E2-851A-80BA7632D1F4}</author>
    <author>tc={E3ADF6BB-EF8D-4120-AA1C-23A35943E9C2}</author>
    <author>tc={AEE19939-2D22-4419-A36B-2C98A8B0DDC9}</author>
    <author>tc={AB07BD37-5137-4765-96A5-AA13C539F295}</author>
    <author>tc={1F37036D-DDE5-4BBC-AE48-2B8DF4175E0D}</author>
    <author>tc={62EDD0BE-0EB2-4C66-BE99-1995C5B21714}</author>
    <author>tc={78CDAAE2-8443-46B8-A732-9943B7F162A4}</author>
    <author>tc={DF95CBBA-092A-43E9-BF85-CFA25B324CCC}</author>
    <author>tc={AC407BCD-87EA-423E-BA9E-83465B84ADCC}</author>
    <author>tc={B451E891-2DBE-4121-840C-F6D7A091A6A9}</author>
    <author>tc={F4577336-7BEC-4215-B28A-500511A4C3DA}</author>
    <author>tc={4D7FF448-C891-452F-85A5-E1798A7DAF39}</author>
    <author>tc={8C2BC3AF-6B3C-4AEF-851E-9ADCF341BE06}</author>
    <author>tc={75EB7886-DCBC-4A20-91B7-76C38DFF6C76}</author>
    <author>tc={71D4208A-8F85-4527-B2DA-B53D4972D735}</author>
    <author>tc={C32B21AF-D45E-46B0-8831-E5BD1C2EDEB0}</author>
    <author>tc={EE4BC01E-2BB9-41F0-8D95-861F9C2D8DF9}</author>
    <author>tc={68102591-26EF-41ED-BC89-CAED2DE001CB}</author>
    <author>tc={0D7D7E87-044A-4371-BD6D-6D9E572C74B3}</author>
    <author>tc={0D115968-2CAF-4403-9AB0-A543C2C6B6EB}</author>
    <author>tc={844D242B-E331-4042-A2CF-DAA1AD11D68F}</author>
    <author>tc={190FF6F3-32EF-4522-8380-11D91E2A8149}</author>
    <author>tc={362C2E6A-CADE-4F44-BC64-73340383F5FE}</author>
    <author>tc={43EC8D85-47F8-4AF5-81DA-D9B257B8DB76}</author>
    <author>tc={E2B5CB91-F0B4-42F6-B373-69411F6782F4}</author>
    <author>tc={EF5B02D0-CB9B-46AC-A13A-DF61E84C5B16}</author>
  </authors>
  <commentList>
    <comment ref="I29" authorId="0">
      <text>
        <r>
          <t>76238:
黄委</t>
        </r>
      </text>
    </comment>
    <comment ref="O10" authorId="1">
      <text>
        <r>
          <t>76238:
机动人力，最近投入无线MLO遗留bug</t>
        </r>
      </text>
    </comment>
    <comment ref="J12" authorId="2">
      <text>
        <r>
          <t>76238:
周三方案定下开干</t>
        </r>
      </text>
    </comment>
    <comment ref="I31" authorId="3">
      <text>
        <r>
          <t>76238:
国寿财</t>
        </r>
      </text>
    </comment>
    <comment ref="I28" authorId="4">
      <text>
        <r>
          <t>76238:
工业网关/MLO</t>
        </r>
      </text>
    </comment>
    <comment ref="J5" authorId="5">
      <text>
        <r>
          <t>76238:
国寿财大客户定制收尾
历史遗留问题处理？</t>
        </r>
      </text>
    </comment>
    <comment ref="M36" authorId="6">
      <text>
        <r>
          <t>76238:
告警优化收尾 邮箱告警 短信发送 交互设计</t>
        </r>
      </text>
    </comment>
    <comment ref="O37" authorId="7">
      <text>
        <r>
          <t>76238:
会议主机</t>
        </r>
      </text>
    </comment>
    <comment ref="L36" authorId="8">
      <text>
        <r>
          <t>76238:
告警优化收尾 邮箱告警 短信发送 交互设计</t>
        </r>
      </text>
    </comment>
    <comment ref="I37" authorId="9">
      <text>
        <r>
          <t>76238:
会议主机</t>
        </r>
      </text>
    </comment>
    <comment ref="I26" authorId="10">
      <text>
        <r>
          <t>76238:
豪森，预计本周</t>
        </r>
      </text>
    </comment>
    <comment ref="P10" authorId="11">
      <text>
        <r>
          <t>76238:
机动人力，最近投入无线MLO遗留bug</t>
        </r>
      </text>
    </comment>
    <comment ref="I4" authorId="12">
      <text>
        <r>
          <t>76238:
肿瘤医院，钉钉鉴权</t>
        </r>
      </text>
    </comment>
    <comment ref="J1" authorId="13">
      <text>
        <r>
          <t>管理2，质量8，定制精品化8，支援1，收尾3
熟悉后台1</t>
        </r>
      </text>
    </comment>
    <comment ref="M37" authorId="14">
      <text>
        <r>
          <t>76238:
会议主机</t>
        </r>
      </text>
    </comment>
    <comment ref="O17" authorId="15">
      <text>
        <r>
          <t>76238:
机动人力，最近投入无线MLO遗留bug</t>
        </r>
      </text>
    </comment>
    <comment ref="K36" authorId="16">
      <text>
        <r>
          <t>76238:
告警优化收尾 邮箱告警 短信发送 交互设计</t>
        </r>
      </text>
    </comment>
    <comment ref="K10" authorId="17">
      <text>
        <r>
          <t>76238:
机动人力，最近投入无线MLO遗留bug</t>
        </r>
      </text>
    </comment>
    <comment ref="P36" authorId="18">
      <text>
        <r>
          <t>76238:
告警优化收尾 邮箱告警 短信发送 交互设计</t>
        </r>
      </text>
    </comment>
    <comment ref="L10" authorId="19">
      <text>
        <r>
          <t>76238:
机动人力，最近投入无线MLO遗留bug</t>
        </r>
      </text>
    </comment>
    <comment ref="I36" authorId="20">
      <text>
        <r>
          <t>76238:
告警优化收尾 邮箱告警 短信发送 交互设计</t>
        </r>
      </text>
    </comment>
    <comment ref="L37" authorId="21">
      <text>
        <r>
          <t>76238:
告警优化收尾 邮箱告警 短信发送 交互设计</t>
        </r>
      </text>
    </comment>
    <comment ref="K16" authorId="22">
      <text>
        <r>
          <t>76238:
机动人力，最近投入无线MLO遗留bug</t>
        </r>
      </text>
    </comment>
    <comment ref="J3" authorId="23">
      <text>
        <r>
          <t>76238:
控制器MQTT安全
完成时间点?</t>
        </r>
      </text>
    </comment>
    <comment ref="J14" authorId="24">
      <text>
        <r>
          <t>76238:
华润电力</t>
        </r>
      </text>
    </comment>
    <comment ref="I15" authorId="25">
      <text>
        <r>
          <t>76238:
豪森，预计到 2 月底</t>
        </r>
      </text>
    </comment>
    <comment ref="I9" authorId="26">
      <text>
        <r>
          <t>76238:
安全加固方案设计</t>
        </r>
      </text>
    </comment>
    <comment ref="I6" authorId="27">
      <text>
        <r>
          <t>76238:
pppoev6收尾</t>
        </r>
      </text>
    </comment>
    <comment ref="N10" authorId="28">
      <text>
        <r>
          <t>76238:
机动人力，最近投入无线MLO遗留bug</t>
        </r>
      </text>
    </comment>
    <comment ref="N8" authorId="29">
      <text>
        <r>
          <t>76238:
平滑切换</t>
        </r>
      </text>
    </comment>
    <comment ref="J4" authorId="30">
      <text>
        <r>
          <t>76238:
海外 访客码</t>
        </r>
      </text>
    </comment>
    <comment ref="J19" authorId="31">
      <text>
        <r>
          <t>76238:
豪森周三转测，后续5229收尾</t>
        </r>
      </text>
    </comment>
    <comment ref="J10" authorId="32">
      <text>
        <r>
          <t>76238:
机动人力，最近投入无线MLO遗留bug</t>
        </r>
      </text>
    </comment>
    <comment ref="J15" authorId="33">
      <text>
        <r>
          <t>76238:
豪森，预计到 2 月底</t>
        </r>
      </text>
    </comment>
    <comment ref="I27" authorId="34">
      <text>
        <r>
          <t>76238:
豪森，预计本周</t>
        </r>
      </text>
    </comment>
    <comment ref="M16" authorId="35">
      <text>
        <r>
          <t>76238:
机动人力，最近投入无线MLO遗留bug</t>
        </r>
      </text>
    </comment>
    <comment ref="N36" authorId="36">
      <text>
        <r>
          <t>76238:
告警优化收尾 邮箱告警 短信发送 交互设计</t>
        </r>
      </text>
    </comment>
    <comment ref="N37" authorId="37">
      <text>
        <r>
          <t>76238:
告警优化收尾 邮箱告警 短信发送 交互设计</t>
        </r>
      </text>
    </comment>
    <comment ref="L12" authorId="38">
      <text>
        <r>
          <t>76238:
周三方案定下开干</t>
        </r>
      </text>
    </comment>
    <comment ref="O36" authorId="39">
      <text>
        <r>
          <t>76238:
告警优化收尾 邮箱告警 短信发送 交互设计</t>
        </r>
      </text>
    </comment>
    <comment ref="I11" authorId="40">
      <text>
        <r>
          <t>76238:
会议主机，AP管理+认证 需求梳理与方案设计</t>
        </r>
      </text>
    </comment>
    <comment ref="O16" authorId="41">
      <text>
        <r>
          <t>76238:
机动人力，最近投入无线MLO遗留bug</t>
        </r>
      </text>
    </comment>
    <comment ref="K37" authorId="42">
      <text>
        <r>
          <t>76238:
会议主机</t>
        </r>
      </text>
    </comment>
    <comment ref="I33" authorId="43">
      <text>
        <r>
          <t>76238:
工业网关/MLO</t>
        </r>
      </text>
    </comment>
    <comment ref="J13" authorId="44">
      <text>
        <r>
          <t>76238:
小需求&amp;通用定制合入版本</t>
        </r>
      </text>
    </comment>
    <comment ref="J8" authorId="45">
      <text>
        <r>
          <t>76238:
平滑切换</t>
        </r>
      </text>
    </comment>
    <comment ref="J11" authorId="46">
      <text>
        <r>
          <t>76238:
本周移植搞定，中间插了airplay接口设计，可能会占用两天，要下周二完成编译通过</t>
        </r>
      </text>
    </comment>
    <comment ref="I8" authorId="47">
      <text>
        <r>
          <t>76238:
会议主机 漫游引导重构，本周完成</t>
        </r>
      </text>
    </comment>
    <comment ref="I19" authorId="48">
      <text>
        <r>
          <t>76238:
豪森，预计到 2 月底</t>
        </r>
      </text>
    </comment>
    <comment ref="J18" authorId="49">
      <text>
        <r>
          <t>76238:
小信云安全加固，小信云质量问题收尾</t>
        </r>
      </text>
    </comment>
    <comment ref="P37" authorId="50">
      <text>
        <r>
          <t>76238:
告警优化收尾 邮箱告警 短信发送 交互设计</t>
        </r>
      </text>
    </comment>
    <comment ref="L8" authorId="51">
      <text>
        <r>
          <t>76238:
平滑切换</t>
        </r>
      </text>
    </comment>
    <comment ref="J9" authorId="52">
      <text>
        <r>
          <t>76238:
方案预言与设计，数据面到内核主机流量性能提升</t>
        </r>
      </text>
    </comment>
    <comment ref="I5" authorId="53">
      <text>
        <r>
          <t>76238:
国寿财</t>
        </r>
      </text>
    </comment>
    <comment ref="I10" authorId="54">
      <text>
        <r>
          <t>76238:
机动人力，最近投入无线MLO遗留bug</t>
        </r>
      </text>
    </comment>
    <comment ref="M10" authorId="55">
      <text>
        <r>
          <t>76238:
机动人力，最近投入无线MLO遗留bug</t>
        </r>
      </text>
    </comment>
    <comment ref="I30" authorId="56">
      <text>
        <r>
          <t>76238:
工业网关/MLO</t>
        </r>
      </text>
    </comment>
    <comment ref="K17" authorId="57">
      <text>
        <r>
          <t>76238:
机动人力，最近投入无线MLO遗留bug</t>
        </r>
      </text>
    </comment>
    <comment ref="P8" authorId="58">
      <text>
        <r>
          <t>76238:
平滑切换</t>
        </r>
      </text>
    </comment>
    <comment ref="J6" authorId="59">
      <text>
        <r>
          <t>76238:
一线多拨，后台3人月</t>
        </r>
      </text>
    </comment>
    <comment ref="M17" authorId="60">
      <text>
        <r>
          <t>76238:
机动人力，最近投入无线MLO遗留bug</t>
        </r>
      </text>
    </comment>
  </commentList>
</comments>
</file>

<file path=xl/sharedStrings.xml><?xml version="1.0" encoding="utf-8"?>
<sst xmlns="http://schemas.openxmlformats.org/spreadsheetml/2006/main" count="778" uniqueCount="778">
  <si>
    <t/>
  </si>
  <si>
    <t>工号</t>
  </si>
  <si>
    <t>姓名</t>
  </si>
  <si>
    <t>职级</t>
  </si>
  <si>
    <t>一级部门</t>
  </si>
  <si>
    <t>二级部门</t>
  </si>
  <si>
    <t>三级部门</t>
  </si>
  <si>
    <t>原部门</t>
  </si>
  <si>
    <t>岗位</t>
  </si>
  <si>
    <t>入职时间</t>
  </si>
  <si>
    <t>离职时间</t>
  </si>
  <si>
    <t>25.02.10</t>
  </si>
  <si>
    <t>25.02.17</t>
  </si>
  <si>
    <t>25.02.24</t>
  </si>
  <si>
    <t>25.03.03</t>
  </si>
  <si>
    <t>25.03.10</t>
  </si>
  <si>
    <t>25.03.17</t>
  </si>
  <si>
    <t>25.03.24</t>
  </si>
  <si>
    <t>25.03.31</t>
  </si>
  <si>
    <t>25.04.7</t>
  </si>
  <si>
    <t>25.04.14</t>
  </si>
  <si>
    <t>25.04.21</t>
  </si>
  <si>
    <t>25.04.27</t>
  </si>
  <si>
    <t>25.05.06</t>
  </si>
  <si>
    <t>25.05.12</t>
  </si>
  <si>
    <t>25.05.19</t>
  </si>
  <si>
    <t>25.05.26</t>
  </si>
  <si>
    <t>25.06.03</t>
  </si>
  <si>
    <t>25.06.09</t>
  </si>
  <si>
    <t>苏志卓</t>
  </si>
  <si>
    <t>T2</t>
  </si>
  <si>
    <t>软件研发体系</t>
  </si>
  <si>
    <t>基础网络</t>
  </si>
  <si>
    <t>NMC软件研发部</t>
  </si>
  <si>
    <t>(实习)</t>
  </si>
  <si>
    <t>2025年Q1</t>
  </si>
  <si>
    <t>价值</t>
  </si>
  <si>
    <t>小信GPT预言</t>
  </si>
  <si>
    <t>小信GPT优化+预言</t>
  </si>
  <si>
    <t>休假</t>
  </si>
  <si>
    <t>上手</t>
  </si>
  <si>
    <t>熟悉软件代码</t>
  </si>
  <si>
    <t>吕明洋</t>
  </si>
  <si>
    <t>T5</t>
  </si>
  <si>
    <t>软件开发工程师</t>
  </si>
  <si>
    <t>2025年Q3</t>
  </si>
  <si>
    <t>GPT</t>
  </si>
  <si>
    <t>GPT AI Agent移植</t>
  </si>
  <si>
    <t>支援</t>
  </si>
  <si>
    <t>交换机ipv6</t>
  </si>
  <si>
    <t>任海斌</t>
  </si>
  <si>
    <t>T8</t>
  </si>
  <si>
    <t>管理</t>
  </si>
  <si>
    <t>Xmeeting移植</t>
  </si>
  <si>
    <t>网关梯队调整</t>
  </si>
  <si>
    <t>版本管理</t>
  </si>
  <si>
    <t>熊宽</t>
  </si>
  <si>
    <t>定制</t>
  </si>
  <si>
    <t>常规定制</t>
  </si>
  <si>
    <t>杨明亮</t>
  </si>
  <si>
    <t>FEX(PHP)</t>
  </si>
  <si>
    <t>2025.10月</t>
  </si>
  <si>
    <t>罗政</t>
  </si>
  <si>
    <t>T6</t>
  </si>
  <si>
    <t>FEX(JS)</t>
  </si>
  <si>
    <t>吕东锋</t>
  </si>
  <si>
    <t>T4</t>
  </si>
  <si>
    <t>乔广大</t>
  </si>
  <si>
    <t>T3</t>
  </si>
  <si>
    <t>开发</t>
  </si>
  <si>
    <t>2026.01.20</t>
  </si>
  <si>
    <t>团队-TL</t>
  </si>
  <si>
    <t>责任田</t>
  </si>
  <si>
    <t>维度</t>
  </si>
  <si>
    <t>维度细分</t>
  </si>
  <si>
    <t>目标</t>
  </si>
  <si>
    <t>当前现状</t>
  </si>
  <si>
    <t>下一步举措</t>
  </si>
  <si>
    <t>NMC-全局数据</t>
  </si>
  <si>
    <t>整体质量</t>
  </si>
  <si>
    <t>客户满意度</t>
  </si>
  <si>
    <t>质量/SLA</t>
  </si>
  <si>
    <t>Top2问题下降20%</t>
  </si>
  <si>
    <t>AI转身</t>
  </si>
  <si>
    <t>效能</t>
  </si>
  <si>
    <t>测试-郑泽滨</t>
  </si>
  <si>
    <t>自动化</t>
  </si>
  <si>
    <t>可测试性</t>
  </si>
  <si>
    <t>自动化覆盖</t>
  </si>
  <si>
    <t>核心场景自动化端到端覆盖: 70%
新版本自动化用例覆盖: 80%</t>
  </si>
  <si>
    <t>自动化系统老旧，难以维护高效开发
核心场景自动化覆盖率不足3%</t>
  </si>
  <si>
    <t>AI转身虚拟团队-张志</t>
  </si>
  <si>
    <t>AI提效</t>
  </si>
  <si>
    <t>AI效能</t>
  </si>
  <si>
    <t>质量-韩文龙</t>
  </si>
  <si>
    <t>设备管理
认证授权
流量转发
网关</t>
  </si>
  <si>
    <t>AI-张晓东</t>
  </si>
  <si>
    <t>基础运维
全网智能
AI Agent</t>
  </si>
  <si>
    <t>夏国富</t>
  </si>
  <si>
    <t>NMC</t>
  </si>
  <si>
    <t>开发人员</t>
  </si>
  <si>
    <t>A</t>
  </si>
  <si>
    <t>1.同时承接多个项目，并且都能按预计交付，不阻塞他人，进度和质量都比较不错</t>
  </si>
  <si>
    <t>张洁</t>
  </si>
  <si>
    <t>亮点：
    1，承接多个项目任务重、主动加班按时交付
    2，做到带头疑难攻坚：AM的web代理、NMC分级分权细分复杂度较高、落地方案合理
待改进：
    1，分权细化的用户场景还是会有考虑不全</t>
  </si>
  <si>
    <t>4</t>
  </si>
  <si>
    <t>无</t>
  </si>
  <si>
    <t>赵锐辉</t>
  </si>
  <si>
    <t>B+</t>
  </si>
  <si>
    <t>做得好：
1、技术支持相关工作工作态度很好，做事认真细致，认真对待每项工作任务
2、. 网上问题补丁包与定制包质量很好，响应速度很快，赢得客户与技服的好评
3、负责SW产品线PHP开发支撑，在处理ACL相关约束的代码重构编码复杂度较大，没有延期情况，版本没有改动引发、reopen TD，产品线没有负反馈
待改善：
1、IPv6 ACL 华润定制版本的编码问题TD数量还有提升空间</t>
  </si>
  <si>
    <t>亮点：
1、技术支持过程做事认真细致，响应速度很快，网上问题支撑质量好，赢得客户与技服的好评
2、负责SW产品线PHP支撑IPv6各迭代开发、确保项目进度正常，在优化ACL高复杂场景、可做到无改动引发TD
待改善：
1、赵锐辉产出质量一直很好，本次华润定制版本TD比以往有提升空间</t>
  </si>
  <si>
    <t>3.9</t>
  </si>
  <si>
    <t>黄涛</t>
  </si>
  <si>
    <t>1.3.15.0版本后期质量未出现问题，也无负面反馈，整体质量可控。
2.portal优化编码设计划分合理，且提取出业务组件9个；编码任何基本无交集，各自编码完后直接按照原定的编码方案对接即可；
3、AM上控制器技术预研效果良好，将两个系统完全隔离开来，无需处理任何两个系统的代码耦合带来的任何问题，为质量带来很大保障。</t>
  </si>
  <si>
    <t>亮点：
1.portal优化编码设计方案质量较好、编码分工明确清晰；
2、AM上控制器技术预研效果良好，将两个系统完全隔离开来，两个系统可做到未来独立维护，大幅降低了维护成本。
待改善：
AM上控制器业务不熟，UI上存在场景疏漏</t>
  </si>
  <si>
    <t>王永强</t>
  </si>
  <si>
    <t>B</t>
  </si>
  <si>
    <t>亮点：
1.负责多个项目的缺陷修复和模块编码任务，整体上按时完成了各项任务，并且在质量上达到了预期水平；
2.对云管家日志和告警推送做了优化改进，减少了此类客户问题；
待改进：
1.在创新性和攻坚性方面，未涉及特别复杂的攻坚工作。</t>
  </si>
  <si>
    <t>亮点：
1.承接了无线所有项目PHP工作，整体任务比较重，且能保障完成进度OK；
2.对云管家日志和告警推送做了优化改进，减少了此类客户问题；
待改进：
1.无线工业网关历史业务TD较多、可聚焦分析改进。</t>
  </si>
  <si>
    <t>刘华腾</t>
  </si>
  <si>
    <t>亮点：
    1，零中断2.0需求过程参考1.0的设计方案，提出多个体验改进
    2，智能交付与规划一起讨论场景，参与评审并提出建议方案</t>
  </si>
  <si>
    <t>亮点：
    1，零中断2.0需求过程参考1.0的设计方案，提出多个体验改进
待改进：
    1，个别项目存在交互细节不够清晰具体，需要开发自己把握或再次沟通，容易出现返工、效果理解不一致情况</t>
  </si>
  <si>
    <t>3.84</t>
  </si>
  <si>
    <t>承接任务均按时完成、进度部分超预期</t>
  </si>
  <si>
    <t>亮点：
    1，工作产出效率高，支撑交换机IPv6所有迭代、11款新硬件适配等，同时有余力支持部分大客户定制、公共组件建设；
待改进：
    1，效率虽高，期望高T带头攻坚奋斗</t>
  </si>
  <si>
    <t>彭依岳</t>
  </si>
  <si>
    <t>1、快速响应计划外事项
2、进度部分超预期
3、质量良好，责任TD少
4、认真审核代码；及时解答小组中遇到的编码问题；在嵌入AM版本，portal优化版本表单编码、预览页面联动等需求给出了合适的解决方案。</t>
  </si>
  <si>
    <t>亮点：
    1，工作产出质量良好，责任TD少；
    2，嵌入AM版本前端预研迎难而上，推动方案快速落地
待改进：
    1，效率虽高，期望作为高T，能够带头创业奋斗精神</t>
  </si>
  <si>
    <t>测试开发</t>
  </si>
  <si>
    <t>何星宇</t>
  </si>
  <si>
    <t>自评：
1.1-2月中旬在技术支持产品线，在网上问题排查方面有较多经验，所以排查较为迅速且精准。同时定制任务也都是有序进行，出浙江肿瘤外其他都按期转测。所以在技术支持这块的工作是按预期进行了收尾
2.2月中旬到3月底转到php，由于刚转到php，对整体框架和开发流程都不熟悉，所以整体编码进度较慢，相信在熟悉之后，开发效率会变高。</t>
  </si>
  <si>
    <t>亮点：
    1，在UED组资源不均php人力不足的前提下，主动担当，投入php开发
    2，技术支持过程响应积极，得到技术支持好评
待改进：
    1，php业务框架不熟、php开发效率有提升空间；</t>
  </si>
  <si>
    <t>3.6</t>
  </si>
  <si>
    <t>规划人员</t>
  </si>
  <si>
    <t>苏华迪</t>
  </si>
  <si>
    <t>1、完成AIGC剩余的功能需求，代码生成准确率更高
2、定制和网上问题都能够按时完成，插队定制或网上问题超预期完成</t>
  </si>
  <si>
    <t>亮点：
    1，投入到公共组件库的维护优化、对代码生成准确率有提升
    2，服从组织调配，主动承担技术支持工作
待改进：
    1，新投入技术支持工作，支持效率还有提升空间；高T期待带头创业奋斗精神</t>
  </si>
  <si>
    <t>3.77</t>
  </si>
  <si>
    <t>组长</t>
  </si>
  <si>
    <t>黄双</t>
  </si>
  <si>
    <t>亮点：
1.以图管网设计过程中，积极主动与技服同事沟通交付时VLAN划分场景，梳理以图管网覆盖的VLAN场景并提出设计方案。
2、黄委项目投入js开发，对整个产品比较熟悉，梳理涉及手机号码的场景很完整，没有遗漏。</t>
  </si>
  <si>
    <t>亮点：
1.在组织资源不均衡的状况下，接受调配，投入js开发，提升整体组织资源利用率；
2.投入js开发，能基本保障项目交付预期和质量；
待提升：
投入js开发时间较短，业务框架不熟悉</t>
  </si>
  <si>
    <t>3.64</t>
  </si>
  <si>
    <t>刘秋兰</t>
  </si>
  <si>
    <t xml:space="preserve">
亮点：
1、会议室主机设计质量上，视觉侧问题较少，整体质量效率得到项目组认可
2.Portal优化设计过程中优化了交互文案，提出交互优化建议10+，并被交互设计师采纳</t>
  </si>
  <si>
    <t>推荐绩效：B/B+ 
亮点：
        1、承接整个会议主机相关业务的交互设计工作，过程中有较多零散需求调整，能积极应对，整体进度正常，非最长路径
        2、各版本产出质量良好，能基于自身专业度提出优化建议
        3、前期会主动积极找需求方了解业务需求细节
待改进：
        1、前期业务需求理解不彻底会导致产出不及预期，如开局向导版本、二代主机版本，存在反复修改情况
        2、一些交互细节未能体现在视觉图，需要开发自己把握，容易出现效果理解不一致情况</t>
  </si>
  <si>
    <t>杨建锋</t>
  </si>
  <si>
    <t>亮点：
    1，编码过程中发现可以提升质量的改进，落地2个创新
    2，季度内没有reopen的TD
    3，快速上手ext、快速承接ap业务，未出现进度和质量问题
待改进：
    1，控制器业务和ap业务，需继续深入学习</t>
  </si>
  <si>
    <t>亮点：
    1，编码过程中发现可以提升质量的改进，落地2个创新
    2，资源调度支撑无线业务，未阻塞、交付符合预期
待改进：
    1，控制器业务和ap业务，需继续深入学习</t>
  </si>
  <si>
    <t>3.56</t>
  </si>
  <si>
    <t>1.  兼顾多个版本，没有拖延进度，并能在规定时间内完成。
2. 落地需求时不是一味的执行，而通过积极思考，减少实现时间。如让预研Portal的CSS变量兼容性时，对需求有疑问，沟通后，提出了另一个模板的方案。无需给CSS变量方案不兼容时再出一个兜底方案，减少了至少3-4天的工作量。
3. 有时不止是问题的解决，还要给类似的问题提出解决方案。如给指定文件插入运行时代码，开始是通过变量控制是否运行指定代码，后来写了个插件，可以无侵入的给指定文件函数插入运行时代码。这样可以减少了无用代码的入侵，也可以更方便无侵入的添加代码。</t>
  </si>
  <si>
    <t>亮点：
    1，链路多播版本冲刺阶段周末无休、达成市场预期目标；
    2，承接版本产出质量基本正常
待改进：
    1，从个别版本观察到工作效率还有提升空间</t>
  </si>
  <si>
    <t>3.5</t>
  </si>
  <si>
    <t>张志</t>
  </si>
  <si>
    <t>NMC研发部</t>
  </si>
  <si>
    <t>在工作过程中，我能够按时完成各项任务。如果任务中遇到问题，会主动寻求解决方案进行处理，并及时反馈任务结果。希望在今后的工作中进一步提升创新的能力，以实现更高的自我要求和团队目标。</t>
  </si>
  <si>
    <t>B+/B</t>
  </si>
  <si>
    <t>亮点：
1、小信GPT链路追踪功能后续开发和维护的工作，并且解决了过程遇到的问题，WIKI内容较为详细，可以为后续问题排查提供思路和方法。
2、工作意愿和执行力强，对安排的任务都能比较好的完成，AI Agent瘦身任务中，能快速的完成基础功能的开发，也能找到比较优的解决方案；
待改进：
1、任务过程中的沟通反馈太少，进展和一些确认性的事项，没有主动反馈，需要追问才有结果；
2、设计全局意识和风险识别能力需要加强，在做AM期间，遗漏的场景较多，出现问题只是去修复问题，没有从全局上分析可能存在风险的地方，及时调整实现方案；</t>
  </si>
  <si>
    <t>TL</t>
  </si>
  <si>
    <t>张晓东</t>
  </si>
  <si>
    <t>亮点：
1.一线多拨进度把控还算不错，常规时间内搞不定想办法利用额外时间完成。
待改进：
1.质量问题需强力把关，自测需尽量模拟真实环境，覆盖场景也应多进行发散。
2.测试部所提问题应平常心面对，所有问题均需解决，给方案即可，无需争辩。</t>
  </si>
  <si>
    <t>亮点：
1、IPv6功能，临时接手已经完成编码和自测的功能，后续修复问题过程中，发现较多不支持的场景，能快速完成修复，有风险意识，主动发现前人实现中有问题的地方，完成方案更新和修复；
2、一线多拨需求，在不熟悉vswitch的情况下，能比较快的给出技术方案和完成编码，方案有一定的创新性和难度，由于IPv6项目质量偏差（非自身原因），导致一线多拨未能按照预期的时间完成交付，存在一定的延期，但是主动周末加班，让交付时间缩短，在规定时间内给出一个可以用于测试的包提交到用户验收；
待改进：
1、比较粗心大意，编码不够仔细，自测场景不充分，IPv6基础测试场景准备不充分，导致在客户侧，遇到问题，但是能快速的排查出问题根因，解决客户问题；
2、加强网关基础功能实现的了解， 后续主要开发任务都围绕网关来做；</t>
  </si>
  <si>
    <t>测试TSE</t>
  </si>
  <si>
    <t>吴盾</t>
  </si>
  <si>
    <t>亮点：
1. 项目工时、完成的进度都在合理的时间范围之内，效率还是比较搞的，对不同的项目组都提供了支持。对于每个不同的模块，都能快速上手并且进行开发。
2. 在保证项目进度的情况之下，自测比较充分，质量上没有问题，本季度产生的TD数量较低，较上季度有提升
待改进：
1. 当前季度，转为后台开发后，可以看到开发进度上变慢，效率不够高，当前在SFG/XMG的项目中，要做进一步熟悉，要迭代出比较好的后台开发习惯，提高开发效率</t>
  </si>
  <si>
    <t>A/B+</t>
  </si>
  <si>
    <t>亮点：
1、从PHP转到C语言开发，从Q1开发的几个小需求看，能力较强，能快速的适应C语言开发的环境，转变也比较快，代码质量较好；
2、遇到疑难问题也能找到对应的解决方案，进度延期之后，主动加班追赶进度解决问题，几个需求进度和质量都符合预期；
待改进：
1、Q1完成的几个需求都比较独立，没有深入到NMC业务上，加强NMC业务的了解，可以快速上手其他复杂业务；</t>
  </si>
  <si>
    <t>曹奕</t>
  </si>
  <si>
    <t>本季度本人主导完成小信GPT云版本核心功能开发与Clickhouse会话管理模块适配，通过持续优化确保系统稳定运行。
在私有化部署项目中，自主攻克Docker环境适配与Deepseek效果优化难题，高效完成镜像打包、升级脚本及全流程测试工作。
多场景预研阶段，独立设计标签分层与混合检索方案，为后续场景选择效率提升打了基础。
创新方面，完成4项创新方案设计，其中基于对比学习的场景分类方案获3+级认证，另开发多项工具提升团队协作效率。工作中始终以问题为导向，主动突破技术瓶颈，确保高质量交付各项任务。
在保证进度目标的情况下质量依旧能达标，同时持续在创新上不断努力，突破瓶颈提升效率。</t>
  </si>
  <si>
    <t>亮点：
1、较好的完成了小信GPT版本后期剩余问题的修复以及体验性问题的优化工作；
2、在小信GPT私有化部署中与团队成员一起完成了私有化部署从0到1的突破,并且解决了包括docker适配、模型部署、内存优化等问题。
3、进度和质量都符合预期；
4、创新产出多； 
待改进：
1、质量意识需要加强，在AI Agent环境中遇到的问题，未能全局分析，识别风险；</t>
  </si>
  <si>
    <t>测试人员</t>
  </si>
  <si>
    <t>赵呈祥</t>
  </si>
  <si>
    <t>技术支持</t>
  </si>
  <si>
    <t>1、质量版本问题修复和定制开发工作，进度和质量基本符合预期；
待改进：
1、异常发散场景的自测可以适当的自己思考自测一下，避免影响测试进度；
2、很多定制需求后续变动概率大，后续应该提前了解完全，包括一些能想到的，但是客户或者技服完全没有提供的要找他们确认。</t>
  </si>
  <si>
    <t>团队考核定制开发人员，主要看是否识别到通用需求，并且按照主线的要求完成开发，Q1未产出直接可以合入版本的需求，定制这部分工作进度3.5，质量未能合入版本，3.0,；团队整体评价B。</t>
  </si>
  <si>
    <t>进度基本符合预期。质量有待提升，fix前应该要多发散测试一下，不能只测基本场景。</t>
  </si>
  <si>
    <t>韩文龙</t>
  </si>
  <si>
    <t>T7</t>
  </si>
  <si>
    <t>亮点：
1、质量方面相对比较好一点，转测试后基本没花时间了。主要得益于各种工具的使用；
2、在工作工程中遇到重复繁琐的事，基本都是使用工具代理手工，提供工作效率；
待改进：
1、解决问题时容易陷入细节，导致耗时比较长，不断盲目各种尝试。后续应该先弄清楚问题的本质，再开始解决；</t>
  </si>
  <si>
    <t>1、对业务比较熟悉，在做集中管理配置合并功能时，比较细心整理所有配置的关系，提出创新的方法，解决配置合并的需求场景，同时有较好的拓展性，但是引入的新概念比较多，后续维护成本较大；
2、漫游引导功能重构后，质量较好，但是进度超预期，同时在之前开发漫游引导功能的指导不足，导致开发人员质量和进度偏差较大；</t>
  </si>
  <si>
    <t>架构师</t>
  </si>
  <si>
    <t>陈加广</t>
  </si>
  <si>
    <t>B/B+</t>
  </si>
  <si>
    <t>亮点：
1、带宽预研方案能够节省未来随着设备数量激增而带来的带宽成本
2、优化了会议主机迁移到nmc若干个模块内存滥用问题
待改进：
1、对控制器业务不熟</t>
  </si>
  <si>
    <t>亮点：
1、熟悉小信云业务，并且有持续的思考小信云上的业务，有自己的方案；
2、集成AM，能快速的了解主机侧的业务，完成NMC集成控制器的中间转换模块编码。进度和质量基本符合预期；
待改进：
1、处理问题和沟通过程中，可以主动去推进事情的解决，而不只是通知，比如小信云欠费，服务停止的问题；集成AM的时候，主动找AM相关开发推送问题解决；
2、快速熟悉控制器的业务；</t>
  </si>
  <si>
    <t>工作交接过程中，未能及时与交接人丛雨沟通交接内容，导致阿里云平台欠费，所有业务中断，影响较大，记录严重黑事件</t>
  </si>
  <si>
    <t>温智皓</t>
  </si>
  <si>
    <t>亮点
1. 演示平台和检测项显示优化处理的比较快, 且考虑的场景比较全面
2. td排查效率基本保持在一天2个, 正常
待改进
1. 对于像 mlo代码合入这种之前没有了解过的任务, 上手和问题排查效率不是很快, 容易延期
2. 并发处理任务时, 效率不高</t>
  </si>
  <si>
    <t>1、Q1主要负责3.15.0版本、无线和交换机部门项目控制器问题的排查和修复，任务完成度较高，做事认真负责，响应及时，对控制器的业务比较熟悉，上手排查问题速度快，安排的问题都能比较快速的解决；
2、接手之前团队遗留的巡检项优化，代码合入和自测任务，过程中对需求和技术方案有自己的想法，并且敢于提出不合理的点，优化掉。</t>
  </si>
  <si>
    <t>彭清华</t>
  </si>
  <si>
    <t>在Q1中，整体的质量及进度方面均符合个人预期，在制定的时间计划内交付及交付后未有问题；开发过程中遇到较不足的方面主要体现在网络流控方面，
完全不清楚流控的核心实现，后续通过整体梳理流控在内核中以及是怎么跟我们配合起来后，最后赶在要求时间前解决掉流控开发过程中遇到的流控不了的问题</t>
  </si>
  <si>
    <t>1、对网关业务熟悉，开发网关相关需求，响应及时，基本符合预期，并且能主动推送跨部门需求的落地；
2、豪森项目，质量符合预期，但是开发周期太长，与预期时间不符；
3、需要保持对任务的紧迫感，5229项目执行周期太久了，开发周期，修复问题周期；</t>
  </si>
  <si>
    <t>亮点:
1.任务完成度高,且进度与质量符合预期
2.遇到困难不退缩,利用个人和团队能力进行突破
3.定期对当前项目进行复盘,从而明确任务优先级以及重难点
4.适应能力强,在处理交换机相关任务时积极沟通和反馈,拉通JS和PHP快速解决关键问题</t>
  </si>
  <si>
    <t>1、前期小信GPT项目收尾阶段，进展比较缓慢；
2、交换机IPv6相关需求的开发，进度比预期较慢，质量上目前自测和TL代码审核看，符合预期。
3、能及时反馈，主动性强，积极与JS和PHP进行沟通联调， 效率高；</t>
  </si>
  <si>
    <t>张浩</t>
  </si>
  <si>
    <t>定制过程中较小的工作量差异可以自己加班消化掉，已转测的9个定制测试一共提了两个td，无内存泄漏问题，很多定制功能都是第一次接触，在定制的过程中慢慢学习了解版本代码更多功能，希望在后续过程中随着对版本功能的逐步了解可以提高自己的定制效率和质量。</t>
  </si>
  <si>
    <t>团队考核定制开发人员，主要看是否识别到通用需求，并且按照主线的要求完成开发，Q1有产出一个（多因子审批已审批列表中，用户的组织架构按企业微信中显示）方案符合要求，并且自测后直接合入版本。
定制进度，通过按照3.5符合预期评价；
定制质量，按照是否合入版本评价，合入5.0，未合入3.0；
团队整体评价：B+</t>
  </si>
  <si>
    <t>黄宇成</t>
  </si>
  <si>
    <t>亮点：
1、耐心处理下达的任务需求
2、与同事对接时主动积极解决问题，和提出方案
待改进：
1、多任务进行时会有粗心，没有仔细考虑周全，导致部分场景会有bug</t>
  </si>
  <si>
    <t>亮点：
1、对任务理解比较快，能快速识别到需求要做的东西，执行力强，能快速完成基础代码的编写，但是质量一般，几个任务，都是快速完成编码，但是后续测试过程中，场景遗漏，编码问题，各种问题比较多，导致整体进度不符合预期；
2、工行的招标定制，完成度较好，进度和质量符合预期；
待改进：
1、业务熟悉程度没啥问题，主要是场景考虑全，防止出现返工的情况。</t>
  </si>
  <si>
    <t>刘威</t>
  </si>
  <si>
    <t>1、定制功能转测试体验性问题较多，但功能问题无明显遗漏，存在一些特殊场景问题，如灾备，回滚等问题遗漏，总体后台认证相关功能实现完整。
2、在技术支持响应方面，做到了实时响应，解决问题不拖沓。从客户角度解决问题，尽量不影响客户实际生产。在质量上目前工单已完成闭环。客户无二次报障。
3、在团队上组织团建，与部门同事相处融洽</t>
  </si>
  <si>
    <t>1、负责整个豪森定制的开发，过程中客户频繁沟通需求，涉及的需求点比较多，多个设备参与，最终顺利完成需求的开发和交付，进度基本符合预期，但是问题较多，质量偏差；
2、负责团队活动和经费管理， 这部分认真负责，都有比较好的反馈；
3、定制的工作不做评价，按照默认给出：进度3.5、质量3.5、创新3.0;</t>
  </si>
  <si>
    <t>杨旭</t>
  </si>
  <si>
    <t>理由： 
1. 内容完成度和结果比较好
2. 进度没有太大偏差
缺点： 
1.  阅读文档和理解需求还是不够仔细， 中间有遗漏；
2， 没有记录工作日志的习惯， 有些工作内容有点想不起来了</t>
  </si>
  <si>
    <t>1、Q1主要完成工商银行定制和控制器硬件适配工作，这两个工作完成度都比较高，进度和质量都基本符合预期，特别是工行测试项目中，完成定制需求开发之后，在客户现场进行测试，整体进展顺利，有比较好的结果；后续正式需求开发中，进度和质量也符合预期，独立完成工行所有需求的开发；
2、控制器硬件适配工作，进度符合预期，测试阶段发现的一些疑难问题，也能比较好的解决。</t>
  </si>
  <si>
    <t>王维</t>
  </si>
  <si>
    <t>一季度只有排查了15个问题，其中网关和afu设备排查周期较长，其他的问题处理效率较高。  除了网关问题外，一季度的其他问题基本查明根因，没有严重的进度和质量问题。</t>
  </si>
  <si>
    <t>1、技术支持工作不做评价，按照统一维度评价：进度3.5、质量3.5、创新3.0;
2、SFG IPv6版本测试过程中，发现较多原来jzp编码的质量问题，对IPv6版本质量把控太差，导致基础场景测试存在问题，编码也存在较多问题，注释掉有用代码，导致老功能出现问题；</t>
  </si>
  <si>
    <t>伍连啟</t>
  </si>
  <si>
    <t>亮点：
1. 在年底组织调整期间，不畏困难，支撑起了NMC技术支持的相关工作，及时响应并解决客户问题。
2. 克服转换为对外接口人角色过程中遇到的困难，及时调整处理客户问题的方法，优先保障客户满意度。
待改进：
   基于业务现象、日志等信息来定位问题的情况比较多，对业务理解深度有所欠缺，需要深入了解。</t>
  </si>
  <si>
    <t>技术支持工作，按照统一的评价标准：进度3.5，质量3.5，创新3.0</t>
  </si>
  <si>
    <t>唐小伟</t>
  </si>
  <si>
    <t>亮点：
1，前端工作任务能保质保量完成
2，能努力学习后台知识技能，了解业务并执行后台任务。
待改进：
1，对认证业务不熟悉，后台编码任务进度较慢，质量不达预期
2，缺乏进度主动反馈</t>
  </si>
  <si>
    <t>1、华润IPv6的定制，进度比预期差， 预估工作量的时候就有考虑刚接触后台C编码，所以给的时间比较宽泛，质量较好，基本符合预期；
2、小程序认证，进度目前符合预期，未转测，质量不确定，从代码审查看，编码质量较好，发现问题较少，不过有些编码习惯需要纠正，后续多看一下C语言编码Checklist；
3、及时主动反馈进展，目前都需要TL问，没有反馈的习惯；</t>
  </si>
  <si>
    <t>陈金俊</t>
  </si>
  <si>
    <t>B+\B</t>
  </si>
  <si>
    <t>做的好的：
1、解决了一些疑难问题
待改进的：
1、对内核不熟悉
2、对报文业务不熟悉
3、查问题没有头绪，该使用笨方法时还是得去使用不要嫌麻烦</t>
  </si>
  <si>
    <t>亮点：
1、完成工作比较仔细，谨慎，质量比较好，但是进度与预期偏差较大；
2、解决多个疑难问题； 
待改进：
1、主动性较差，需要主动去推进一些事情的进展，指导解决问题；
2、任务时间的紧迫感需要加强；</t>
  </si>
  <si>
    <t>1、定制任务完成情况相对较好，基本都超规定预期内完成且质量相对良好；
2、熟悉与了解交换机相关业务配置下发测试与调试情况良好，完成度基本符合预期</t>
  </si>
  <si>
    <t>B()/B+</t>
  </si>
  <si>
    <t>1、定制工作按照通用评价：进度3.5，质量是否通用是否可以合入版本，没有可以合入版本的需求定制：3.0，创新3.0；，待进哥定；
2、访客码相关需求的整理和方案整理，进度超预期，预期在去交换机IPv6之前，完成访客码的方案整理，但是有前面定制问题处理，导致时间压缩，未能按照预期完成；推荐绩效：B
3、交换机IPv6相关需求：对接的业务，之前已基本完成编码，负责联调及自测后面的工作，目前看进度、质量基本都正常。推荐绩效B+</t>
  </si>
  <si>
    <t>主导部门</t>
  </si>
  <si>
    <t>协作部门</t>
  </si>
  <si>
    <t>协作项</t>
  </si>
  <si>
    <t>协作项完成时间</t>
  </si>
  <si>
    <t>合入版本的发布时间</t>
  </si>
  <si>
    <t>主导部门合入版本</t>
  </si>
  <si>
    <t>是否达成一致</t>
  </si>
  <si>
    <t>是否完成</t>
  </si>
  <si>
    <t>备注</t>
  </si>
  <si>
    <t>协作接口人</t>
  </si>
  <si>
    <t>责任人
（产线主管）</t>
  </si>
  <si>
    <t>状态</t>
  </si>
  <si>
    <t>无线/交换</t>
  </si>
  <si>
    <t>AI智网1.0设备侧核心业务开发需要无线、交换支撑，以便在目标场景打造最佳闭环效果</t>
  </si>
  <si>
    <t>2026.Q4</t>
  </si>
  <si>
    <t>待定</t>
  </si>
  <si>
    <t>无线</t>
  </si>
  <si>
    <t>支撑无线下半年落地版本WEB开发</t>
  </si>
  <si>
    <t>交换机</t>
  </si>
  <si>
    <t>支撑交换机下半年版本WEB开发与控制器配置下发适配</t>
  </si>
  <si>
    <t>安全加固</t>
  </si>
  <si>
    <t>大客户定制</t>
  </si>
  <si>
    <t>承诺价值</t>
  </si>
  <si>
    <t>招行定制迁移</t>
  </si>
  <si>
    <t>常规质量</t>
  </si>
  <si>
    <t>国寿财低版本控制器迁移</t>
  </si>
  <si>
    <t>XRT管本地交换机</t>
  </si>
  <si>
    <t>大研发体系</t>
  </si>
  <si>
    <t>大客户承诺</t>
  </si>
  <si>
    <t>pppoev6收尾</t>
  </si>
  <si>
    <t>柬埔寨</t>
  </si>
  <si>
    <t>支援-会议主机</t>
  </si>
  <si>
    <t>平滑切换</t>
  </si>
  <si>
    <t>精品化</t>
  </si>
  <si>
    <t>控制器性能提升</t>
  </si>
  <si>
    <t>质量</t>
  </si>
  <si>
    <t>管理认证移植</t>
  </si>
  <si>
    <t xml:space="preserve">管理认证移植 </t>
  </si>
  <si>
    <t>NMC8836适配</t>
  </si>
  <si>
    <t>硬件</t>
  </si>
  <si>
    <t>NMC8836适配
&amp; AI本地化</t>
  </si>
  <si>
    <t>龙逸舒</t>
  </si>
  <si>
    <t>告警闭环</t>
  </si>
  <si>
    <t>合保隆</t>
  </si>
  <si>
    <t>已转交换机</t>
  </si>
  <si>
    <t>FEX</t>
  </si>
  <si>
    <t>熟悉后台</t>
  </si>
  <si>
    <t>大船定制</t>
  </si>
  <si>
    <t>交换机IPv6UI</t>
  </si>
  <si>
    <t>华润电力ipv6</t>
  </si>
  <si>
    <t>定制合入</t>
  </si>
  <si>
    <t>豪生</t>
  </si>
  <si>
    <t>5229适配</t>
  </si>
  <si>
    <t>刘涛</t>
  </si>
  <si>
    <t>黄涛(JS)</t>
  </si>
  <si>
    <t>N合一收尾</t>
  </si>
  <si>
    <t>Xmeeting移植 &amp; portal优化</t>
  </si>
  <si>
    <t>Xmeeting移植 &amp; portal优化编码</t>
  </si>
  <si>
    <t>彭依岳(JS)</t>
  </si>
  <si>
    <t>华润IPv6定制 &amp; Xmeeting移植(1天)</t>
  </si>
  <si>
    <t>华润定制UI页面 &amp; portal优化编码</t>
  </si>
  <si>
    <t>夏国富(PHP)</t>
  </si>
  <si>
    <t>Xmeeting移植 &amp; 分级分权</t>
  </si>
  <si>
    <t>分级分权</t>
  </si>
  <si>
    <t>吕东锋(JS)</t>
  </si>
  <si>
    <t>支援-无线</t>
  </si>
  <si>
    <t>价值 &amp; 质量</t>
  </si>
  <si>
    <t>pppoev6 &amp; 质量问题</t>
  </si>
  <si>
    <t>定制 &amp; 质量</t>
  </si>
  <si>
    <t>豪生 &amp; 质量问题</t>
  </si>
  <si>
    <t>黄双(JS)</t>
  </si>
  <si>
    <t>黄委</t>
  </si>
  <si>
    <t>王永强(PHP)</t>
  </si>
  <si>
    <t>工业网关</t>
  </si>
  <si>
    <t>ROF</t>
  </si>
  <si>
    <t>罗政(JS)</t>
  </si>
  <si>
    <t>苏华迪(JS)</t>
  </si>
  <si>
    <t>技术支持 &amp; 定制</t>
  </si>
  <si>
    <t>杨建锋(JS)</t>
  </si>
  <si>
    <t>赵锐辉(PHP)</t>
  </si>
  <si>
    <t>支援 &amp; 质量</t>
  </si>
  <si>
    <t>技术支持 &amp; ipv6</t>
  </si>
  <si>
    <t>何星宇(PHP)</t>
  </si>
  <si>
    <t>定制 &amp; 精品化</t>
  </si>
  <si>
    <t>黄委 &amp; 定制</t>
  </si>
  <si>
    <t>portal优化</t>
  </si>
  <si>
    <t>交互</t>
  </si>
  <si>
    <t>portal优化 &amp; ROF &amp; ipv6</t>
  </si>
  <si>
    <t>视觉</t>
  </si>
  <si>
    <t>portal优化 &amp; ROF &amp; ipv6 &amp; 主机</t>
  </si>
  <si>
    <t>ROF &amp; ipv6 &amp; 主机</t>
  </si>
  <si>
    <t>（任职认证）任职等级1</t>
  </si>
  <si>
    <t>关键岗位</t>
  </si>
  <si>
    <t>毕业学校</t>
  </si>
  <si>
    <t>最高学历</t>
  </si>
  <si>
    <t>团队</t>
  </si>
  <si>
    <t>年度定位</t>
  </si>
  <si>
    <t>资源缺口</t>
  </si>
  <si>
    <t>P4</t>
  </si>
  <si>
    <t>部门主管</t>
  </si>
  <si>
    <t>中南大学</t>
  </si>
  <si>
    <t>本科</t>
  </si>
  <si>
    <t>测试 4</t>
  </si>
  <si>
    <t>王毅</t>
  </si>
  <si>
    <t>NA</t>
  </si>
  <si>
    <t>规划</t>
  </si>
  <si>
    <t>规划经理</t>
  </si>
  <si>
    <t>华南理工大学广州学院</t>
  </si>
  <si>
    <t>开发 3</t>
  </si>
  <si>
    <t>朱辉</t>
  </si>
  <si>
    <t>M6</t>
  </si>
  <si>
    <t>PMO</t>
  </si>
  <si>
    <t>武汉大学</t>
  </si>
  <si>
    <t>项目管理，为项目进度、质量、跨部门协作负责</t>
  </si>
  <si>
    <t>AI专家</t>
  </si>
  <si>
    <t>成都信息工程学院</t>
  </si>
  <si>
    <t>AI智网</t>
  </si>
  <si>
    <t>AI Agent选项、设计、开发核心专家</t>
  </si>
  <si>
    <t>AI业务编排Demo</t>
  </si>
  <si>
    <t>AI智网1.0</t>
  </si>
  <si>
    <t>AI布道师</t>
  </si>
  <si>
    <t>华南理工大学</t>
  </si>
  <si>
    <t>AI基建打造</t>
  </si>
  <si>
    <t>安徽科技学院</t>
  </si>
  <si>
    <t>云切换</t>
  </si>
  <si>
    <t>集群1.0</t>
  </si>
  <si>
    <t>集群2.0</t>
  </si>
  <si>
    <t>北京理工大学珠海学院</t>
  </si>
  <si>
    <t>go</t>
  </si>
  <si>
    <t>Q3大质量</t>
  </si>
  <si>
    <t>Q4大质量</t>
  </si>
  <si>
    <t>北京联合大学</t>
  </si>
  <si>
    <t>支撑</t>
  </si>
  <si>
    <t>广东工业大学</t>
  </si>
  <si>
    <t>商书畅</t>
  </si>
  <si>
    <t>华南农业大学</t>
  </si>
  <si>
    <t>易用性1.0</t>
  </si>
  <si>
    <t>华中科技大学</t>
  </si>
  <si>
    <t>硕士</t>
  </si>
  <si>
    <t>交换机无损</t>
  </si>
  <si>
    <t>深圳大学</t>
  </si>
  <si>
    <t>林颖</t>
  </si>
  <si>
    <t>辽宁工程技术大学</t>
  </si>
  <si>
    <t>马垣德</t>
  </si>
  <si>
    <t>鲁东大学</t>
  </si>
  <si>
    <t>李辉</t>
  </si>
  <si>
    <t>冯皓洋</t>
  </si>
  <si>
    <t>龙岩学院</t>
  </si>
  <si>
    <t>孟洋</t>
  </si>
  <si>
    <t>武汉科技大学</t>
  </si>
  <si>
    <t>郑州轻工业大学</t>
  </si>
  <si>
    <t>Q2大质量</t>
  </si>
  <si>
    <t>李菁</t>
  </si>
  <si>
    <t>汕头大学</t>
  </si>
  <si>
    <t>詹智钦</t>
  </si>
  <si>
    <t>哈尔滨理工大学</t>
  </si>
  <si>
    <t>重庆邮电大学</t>
  </si>
  <si>
    <t>涂瀚宇</t>
  </si>
  <si>
    <t>江西财经大学</t>
  </si>
  <si>
    <t>孙忠彦</t>
  </si>
  <si>
    <t>校招1</t>
  </si>
  <si>
    <t>校招2</t>
  </si>
  <si>
    <t>校招3</t>
  </si>
  <si>
    <t>UI</t>
  </si>
  <si>
    <t>js专家</t>
  </si>
  <si>
    <t>电子科技大学</t>
  </si>
  <si>
    <t>T4.3</t>
  </si>
  <si>
    <t>武汉纺织大学</t>
  </si>
  <si>
    <t>支撑(无线、交换)</t>
  </si>
  <si>
    <t>陕西理工大学</t>
  </si>
  <si>
    <t>西安工业大学</t>
  </si>
  <si>
    <t>T6.4</t>
  </si>
  <si>
    <t>武汉理工大学</t>
  </si>
  <si>
    <t>广东机电职业技术学院</t>
  </si>
  <si>
    <t>大专</t>
  </si>
  <si>
    <t>T5.3</t>
  </si>
  <si>
    <t>罗彦淋</t>
  </si>
  <si>
    <t>南昌理工学院</t>
  </si>
  <si>
    <t>叶恩福</t>
  </si>
  <si>
    <t>南京审计大学</t>
  </si>
  <si>
    <t>php专家</t>
  </si>
  <si>
    <t>UI组长</t>
  </si>
  <si>
    <t>武汉工业学院工商学院</t>
  </si>
  <si>
    <t>丛雨</t>
  </si>
  <si>
    <t>测试</t>
  </si>
  <si>
    <t>华中农业大学</t>
  </si>
  <si>
    <t>陈子龙</t>
  </si>
  <si>
    <t>湖南工学院</t>
  </si>
  <si>
    <t>许剑华</t>
  </si>
  <si>
    <t>M5</t>
  </si>
  <si>
    <t>湖南工程学院</t>
  </si>
  <si>
    <t>校招4</t>
  </si>
  <si>
    <t>w29021</t>
  </si>
  <si>
    <t>李桂先</t>
  </si>
  <si>
    <t>外包</t>
  </si>
  <si>
    <t>江西理工大学</t>
  </si>
  <si>
    <t>w69334</t>
  </si>
  <si>
    <t>王明鑫</t>
  </si>
  <si>
    <t>石博文</t>
  </si>
  <si>
    <t>朱鑫涛</t>
  </si>
  <si>
    <t>张伟涛</t>
  </si>
  <si>
    <t>陈硕鑫</t>
  </si>
  <si>
    <t>张碧玲</t>
  </si>
  <si>
    <t>郝云</t>
  </si>
  <si>
    <t>实习生</t>
  </si>
  <si>
    <t>湖南软件职业技术大学</t>
  </si>
  <si>
    <t>郑泽滨</t>
  </si>
  <si>
    <t>M4</t>
  </si>
  <si>
    <t>测试经理</t>
  </si>
  <si>
    <t>成都大学</t>
  </si>
  <si>
    <t>版本人力甘特图</t>
  </si>
  <si>
    <t>版本-人力</t>
  </si>
  <si>
    <t>大质量</t>
  </si>
  <si>
    <t>支撑
定制&amp;技术支持</t>
  </si>
  <si>
    <t>公共支撑</t>
  </si>
  <si>
    <t>AI基建</t>
  </si>
  <si>
    <t>汇总</t>
  </si>
  <si>
    <t>合计</t>
  </si>
  <si>
    <t>Q1汇总</t>
  </si>
  <si>
    <t>Q1绩效</t>
  </si>
  <si>
    <t>Q2汇总</t>
  </si>
  <si>
    <t>Q2绩效</t>
  </si>
  <si>
    <t>Q3汇总</t>
  </si>
  <si>
    <t>Q3绩效</t>
  </si>
  <si>
    <t>Q4汇总</t>
  </si>
  <si>
    <t>Q4绩效</t>
  </si>
  <si>
    <t>累计加班</t>
  </si>
  <si>
    <t>熟悉业务</t>
  </si>
  <si>
    <t>员工信息/评价</t>
  </si>
  <si>
    <t>员工类型</t>
  </si>
  <si>
    <t>业务无备份</t>
  </si>
  <si>
    <t>潜力</t>
  </si>
  <si>
    <t>后续计划</t>
  </si>
  <si>
    <t>25.02.15</t>
  </si>
  <si>
    <t>25.02.22</t>
  </si>
  <si>
    <t>25.03.01</t>
  </si>
  <si>
    <t>25.03.08</t>
  </si>
  <si>
    <t>25.03.15</t>
  </si>
  <si>
    <t>25.03.22</t>
  </si>
  <si>
    <t>25.03.29</t>
  </si>
  <si>
    <t>Q1占比</t>
  </si>
  <si>
    <t>25.04.12</t>
  </si>
  <si>
    <t>25.04.19</t>
  </si>
  <si>
    <t>25.04.26</t>
  </si>
  <si>
    <t>25.05.17</t>
  </si>
  <si>
    <t>25.05.24</t>
  </si>
  <si>
    <t>25.06.07</t>
  </si>
  <si>
    <t>25.06.14</t>
  </si>
  <si>
    <t>25.06.21</t>
  </si>
  <si>
    <t>25.06.28</t>
  </si>
  <si>
    <t>25.07.05</t>
  </si>
  <si>
    <t>Q2占比</t>
  </si>
  <si>
    <t>25.07.12</t>
  </si>
  <si>
    <t>25.07.19</t>
  </si>
  <si>
    <t>25.07.26</t>
  </si>
  <si>
    <t>25.08.02</t>
  </si>
  <si>
    <t>25.08.09</t>
  </si>
  <si>
    <t>25.08.16</t>
  </si>
  <si>
    <t>25.08.23</t>
  </si>
  <si>
    <t>25.08.30</t>
  </si>
  <si>
    <t>25.09.06</t>
  </si>
  <si>
    <t>25.09.13</t>
  </si>
  <si>
    <t>25.09.20</t>
  </si>
  <si>
    <t>Q3占比</t>
  </si>
  <si>
    <t>25.10.18</t>
  </si>
  <si>
    <t>25.10.25</t>
  </si>
  <si>
    <t>25.11.1</t>
  </si>
  <si>
    <t>25.11.8</t>
  </si>
  <si>
    <t>25.11.15</t>
  </si>
  <si>
    <t>25.11.22</t>
  </si>
  <si>
    <t>25.11.29</t>
  </si>
  <si>
    <t>25.12.06</t>
  </si>
  <si>
    <t>25.12.13</t>
  </si>
  <si>
    <t>25.12.20</t>
  </si>
  <si>
    <t>25.12.27</t>
  </si>
  <si>
    <t>Q4占比</t>
  </si>
  <si>
    <t>26.01.10</t>
  </si>
  <si>
    <t>26.01.17</t>
  </si>
  <si>
    <t>性格特点:开朗热情，
能力胜任: 上手快，学习能力强，执行力强
工作态度: 有责任心、目标感，主动性强
思维逻辑: 理的顺，讲的请，做的好 有没有复盘习惯不确定
其他关键信息:父母在深圳，目前还没女朋友，在乎尊重感，能被荣耀感激发</t>
  </si>
  <si>
    <t>核心</t>
  </si>
  <si>
    <t>GPT AFU</t>
  </si>
  <si>
    <t>培养备份，今明两年依然在部门维护小信GPT</t>
  </si>
  <si>
    <t>无绩效</t>
  </si>
  <si>
    <t>上手熟悉阶段</t>
  </si>
  <si>
    <t>新人</t>
  </si>
  <si>
    <t>待评估</t>
  </si>
  <si>
    <t>控制器基本业务</t>
  </si>
  <si>
    <t>高潜</t>
  </si>
  <si>
    <t>可在无线/SW进一步培养</t>
  </si>
  <si>
    <t>C</t>
  </si>
  <si>
    <t>达标员工</t>
  </si>
  <si>
    <t>学习能力一般，留在本部门</t>
  </si>
  <si>
    <t>转部门意愿和学习能力一般，干本部门的活效率高</t>
  </si>
  <si>
    <t xml:space="preserve">控制器基本业务 网关业务 </t>
  </si>
  <si>
    <t>有备份情况下，可以考虑转到其他部门</t>
  </si>
  <si>
    <t>控制器业务 小信云 问题兜底</t>
  </si>
  <si>
    <t>在本部门担任架构师</t>
  </si>
  <si>
    <t>高潜(UED处)</t>
  </si>
  <si>
    <t>后续会转会议主机</t>
  </si>
  <si>
    <t>未成长起来，后续可在无线/SW进一步培养</t>
  </si>
  <si>
    <t>可转无线/SW发挥更大作用</t>
  </si>
  <si>
    <t xml:space="preserve">控制器基本业务 交换机基本业务 </t>
  </si>
  <si>
    <t>潜力一般，放在本部门作基础开发</t>
  </si>
  <si>
    <t>云问题排查</t>
  </si>
  <si>
    <t>学习能力不错，沟通能力一般，放在本部门支撑云相关基本业务</t>
  </si>
  <si>
    <t>网关适配</t>
  </si>
  <si>
    <t>待激活员工</t>
  </si>
  <si>
    <t>预计将离职</t>
  </si>
  <si>
    <t>可在进一步成长后，转部门进一步培养</t>
  </si>
  <si>
    <t>控制器业务 无线业务 网关业务</t>
  </si>
  <si>
    <t>在本部门继续担任组长</t>
  </si>
  <si>
    <t>刘焕</t>
  </si>
  <si>
    <t>？</t>
  </si>
  <si>
    <t>控制器业务 无线业务</t>
  </si>
  <si>
    <t>JS技术指导、NMC业务支撑JS</t>
  </si>
  <si>
    <t>性格特点：为人随和踏实、易沟通好相处
能力胜任：优秀
工作态度：优秀
思维逻辑：优秀
其他关键信息：责任心极强，主动加班攻坚</t>
  </si>
  <si>
    <t>前端疑难攻坚</t>
  </si>
  <si>
    <t>NMC业务支撑主力JS
APP业务备份</t>
  </si>
  <si>
    <t>组件库维护/NMC业务支撑JS/网关业务支撑JS</t>
  </si>
  <si>
    <t>性格特点：比较有自己的想法
能力胜任：优秀
工作态度：优秀
思维逻辑：优秀
其他关键信息：学习能力强、工作效率高</t>
  </si>
  <si>
    <t>NMC业务支撑主力JS</t>
  </si>
  <si>
    <t>NMC业务支撑PHP</t>
  </si>
  <si>
    <t>性格特点：为人随和踏实、易沟通好相处
能力胜任：优秀
工作态度：优秀
思维逻辑：达标
其他关键信息：责任心强</t>
  </si>
  <si>
    <t xml:space="preserve">NMC业务支撑主力PHP
</t>
  </si>
  <si>
    <t>网关业务支撑JS</t>
  </si>
  <si>
    <t>性格特点：
能力胜任：优秀
工作态度：优秀
思维逻辑：优秀
其他关键信息：有钻研精神、学习能量强</t>
  </si>
  <si>
    <t>能力上有发展支撑后台业务的潜力</t>
  </si>
  <si>
    <t>后续转后台开发</t>
  </si>
  <si>
    <t>NMC业务支撑JS</t>
  </si>
  <si>
    <t>性格特点：开朗活泼
能力胜任：优秀
工作态度：达标
思维逻辑：优秀
其他关键信息：有交互设计经验</t>
  </si>
  <si>
    <t xml:space="preserve">NMC业务支撑JS
</t>
  </si>
  <si>
    <t>云管家/云工勘；无线业务支撑</t>
  </si>
  <si>
    <t>性格特点：为人随和踏实、易沟通好相处
能力胜任：优秀
工作态度：优秀
思维逻辑：优秀
其他关键信息：责任心极强，主动加班</t>
  </si>
  <si>
    <t>云管家</t>
  </si>
  <si>
    <t xml:space="preserve">无线业务支撑主力PHP
云管家/云工勘维护接口人
</t>
  </si>
  <si>
    <t>组件库维护/交换机业务支撑JS/拓扑图</t>
  </si>
  <si>
    <t>性格特点：
能力胜任：优秀
工作态度：达标
思维逻辑：优秀
其他关键信息：主动加班不多、但工作效率高</t>
  </si>
  <si>
    <t>复杂组件拓扑图</t>
  </si>
  <si>
    <t>交换机业务支撑主力JS</t>
  </si>
  <si>
    <t>组件库维护/技术支持支撑JS</t>
  </si>
  <si>
    <t>性格特点：积极主动
能力胜任：优秀
工作态度：优秀
思维逻辑：优秀
其他关键信息：主动钻研、工作效率高</t>
  </si>
  <si>
    <t>组件库、前端AIGC</t>
  </si>
  <si>
    <t>复杂组件拓扑图备份
技术支持支撑JS</t>
  </si>
  <si>
    <t>IPSIP、无线业务支撑JS</t>
  </si>
  <si>
    <t>性格特点：
能力胜任：优秀
工作态度：优秀
思维逻辑：优秀
其他关键信息：有IPSIP支撑能力</t>
  </si>
  <si>
    <t>NMC业务支撑-JS
无线业务支撑主力-JS</t>
  </si>
  <si>
    <t>技术支持UI接口人、Web安全、交换机业务支撑PHP</t>
  </si>
  <si>
    <t>性格特点：
能力胜任：优秀
工作态度：优秀
思维逻辑：优秀
其他关键信息：责任心极强，主动加班</t>
  </si>
  <si>
    <t>配置端疑难攻坚</t>
  </si>
  <si>
    <t>技术支持-PHP
交换机业务支撑主力PHP</t>
  </si>
  <si>
    <t>NMC业务支撑JS/PHP、技术支持</t>
  </si>
  <si>
    <t>性格特点：
能力胜任：优秀
工作态度：优秀
思维逻辑：优秀
其他关键信息：学习能量强、适应性强</t>
  </si>
  <si>
    <t xml:space="preserve">NMC业务支撑JS/PHP
</t>
  </si>
  <si>
    <t>智能会议主机交互&amp;视觉；部分数通业务设计，以视觉为主</t>
  </si>
  <si>
    <t>性格特点：开朗活泼
能力胜任：优秀
工作态度：达标
思维逻辑：优秀
其他关键信息：视觉设计主负责人</t>
  </si>
  <si>
    <t>视觉设计</t>
  </si>
  <si>
    <t>主导数通业务交互</t>
  </si>
  <si>
    <t>性格特点：严谨认真
能力胜任：优秀
工作态度：优秀
思维逻辑：优秀
其他关键信息：交互设计主负责人</t>
  </si>
  <si>
    <t>交互设计</t>
  </si>
  <si>
    <t>张文欢</t>
  </si>
  <si>
    <t>UI接口人、UI架构维护、技术指导、Web安全、PHP业务支撑</t>
  </si>
  <si>
    <t>性格特点：
能力胜任：优秀
工作态度：优秀
思维逻辑：优秀
其他关键信息：方案能力</t>
  </si>
  <si>
    <t>Web端持续方案能力</t>
  </si>
  <si>
    <t>当前业务、
云管家业务备份</t>
  </si>
  <si>
    <t>刘媛媛</t>
  </si>
  <si>
    <t>高士杰</t>
  </si>
  <si>
    <t>O（目标）</t>
  </si>
  <si>
    <t>KR</t>
  </si>
  <si>
    <t>关键执行计划</t>
  </si>
  <si>
    <t>执行结果-修正</t>
  </si>
  <si>
    <t>O1: 消除Top质量问题，赋能一线排查能力，显著提升质量感受</t>
  </si>
  <si>
    <t>KR1: 针对整网业务中断、全网智能巡检项异常 top2 问题进行攻坚，今年此类引发网上问题降低 30%</t>
  </si>
  <si>
    <t>关键行动1:  整体梳理top2质量问题情况，包括工单分析与专家调研，与已有关键质量点合并，整体梳理优先事项，4月底完成
关键行动2: 6月底前梳理并落地交换机配置可靠专项计划及部分已知严重问题
关键行动3: H2逐步落地其他专项质量方案，从架构可靠性层面降低top 2问题发生风险</t>
  </si>
  <si>
    <t>KR2: 持续开发、迭代针对各类典型故障的专用AI skill，通用信息采集与排障工具，远程穿透工具，针对P1 P2问题开发排查效率提升100%，一线针对配置、网络类问题诊断能力，提效50%</t>
  </si>
  <si>
    <t>关键行动1: 4月开发并推广内网代理工具
关键行动2: Q2逐步开发针对各类典型故障的专用AI skill，开发通用的 信息采集诊断工具箱，帮助快速诊断问题
关键行动3: Q3 排障skill持续优化，并与新版本AI排障相关优化l融合，做到新版本控制器P1 P2问题定位恢复效能提升150%，老版本会须效率提升100%
关键行动4： H2 排障skill叠加安全机制与封装，搭配远程穿透平台，信息收集工具封装成专用排障系统供一线使用，一线针对认证、配置、网络 top3问题项诊断能力，提效50%</t>
  </si>
  <si>
    <t>KR3: 完成自动化兜底搭建，客户核心业务场景用例库建立并覆盖其中70%场景，杜绝改动引发导致核心业务中断</t>
  </si>
  <si>
    <t>关键行动1: 4月中旬，与AI Coding结合的重构自动化开发与执行框架落地，Demo跑通
关键行动2: 6月底，核心业务场景用例库覆盖10%，提效到人均用例开发效能提升15例天
关键行动3: 9月底，核心业务场景用例库覆盖40%，提效到人均用例开发效能提升20例天
关键行动4: 12月底，核心业务场景用例库覆盖70%</t>
  </si>
  <si>
    <t>O2: 打造 AI Native 赋能网络，显著提升客户产品易用性与智能化感受</t>
  </si>
  <si>
    <t>KR1: 锚定痛点运维场景给予Ai Native赋能。通过自然语言交互，在目标价值场景做到Job闭环</t>
  </si>
  <si>
    <t xml:space="preserve">关键行动1: 4月,调研清楚客户管理、运维网络高频top痛点场景，确定2026年目标场景
关键行动2: 5月底通过AI Native网络1.0charter规划
关键行动3: H2完成版本开发，完成前3beta认可
关键行动4: H2完成AI Native网络2.0需求洞察与charter规划
</t>
  </si>
  <si>
    <t>KR2: AI Native网络版本过程与至少 3 家高价值客户/渠道论证、共创与落地，完成标杆打造与价值论证</t>
  </si>
  <si>
    <t>关键行动1:  AI Native网络版本过程与至少 3 家高价值客户/渠道论证、共创与落地，完成标杆打造与价值论证</t>
  </si>
  <si>
    <t>O3: 可成长网络架构落地，集群支持业务不间断扩容/改造/upgrade，最大化客户网络资产长效使用价值</t>
  </si>
  <si>
    <t>KR1: 完成已规划集群版本顺利落地，梳理补齐剩余场景，集群设备间支持软硬件兼容，单机平台、独立交换机无损加平台。</t>
  </si>
  <si>
    <t>关键行动1: 5月中旬完成集群1.0版本发布，支持集群设备间支持软硬件兼容
关键行动2: 6月底完成N合一版本发布，支持单机平台无损加平台
关键行动3: H2梳理并完成价值回收及主要高价值需求点落地</t>
  </si>
  <si>
    <t>KR2: beta 客户重点保障，完成top 3客户平稳落地集群，无整网中断，保障价值推广</t>
  </si>
  <si>
    <t>关键行动1:beta 客户重点保障，完成top 3客户平稳落地集群，无整网中断，保障价值推广</t>
  </si>
  <si>
    <t>O4: 完成AI Native转身，打造AI业务创新孵化池，大幅提升部门效能、创新能力</t>
  </si>
  <si>
    <t>KR1:  完成AI Native 全流程改造，前后端融合，测试前移，测开效能100%，项目周期缩短40%</t>
  </si>
  <si>
    <t xml:space="preserve">关键行动1:  4月完成主要开发环节AI Coding改造，CI集成，编码、调试环节效能提升40%
关键行动2:  5月实现简单bug与简单需求实现黑灯模式开发，整个环节彻底打通，形成稳定高效的AI基建，测开效能提升50%
关键行动3: 7月完成前后端融合，测开效能提升70%
关键行动4: 10月底，测试测开工作左移，各主要开发环节完成Ai Native改造并全员赋能，测开效能提升100%，项目端到端开发周期缩短40%
</t>
  </si>
  <si>
    <t>KR2:完成 Ai Native业务创新基建，让部门同事可通过简易编排AI业务流进行创新孵化，全年落地不少于10项出自团队的AI创新，不少于10篇AI专利</t>
  </si>
  <si>
    <t>关键行动1: 5月完成AI Native业务创新平台开发，可支持智能编排基础业务，支撑部门业务创新
关键行动2: 全年落地不少于10项出自团队的AI创新，不少于10篇AI专利</t>
  </si>
  <si>
    <t>组织建设</t>
  </si>
  <si>
    <t>O5:  构建贴近客户、攻坚克难的骨干班子，建立配比合理的关键人才储备</t>
  </si>
  <si>
    <t>KR1：  打造走进客户的研发骨干团队，每季度均有核心骨干探访客户，深入理解客户用网、管网痛点，产出高质量拜访报告，至少3项易用性价值创新</t>
  </si>
  <si>
    <t>KR2:  对关键岗位人员高要求，每半年在技术领先、疑难攻克、AI创新上不止一项关键难题，作为考核点，勇于攻坚克难</t>
  </si>
  <si>
    <t>KR3:  关键岗位1:2后备（含年轻后备），年轻人员在核心任务贡献比例大幅提升</t>
  </si>
  <si>
    <t>需要协助:
1. 体系外部: 技服体系一起识别、共创、推广AI排障平台系列工具
2. 体系内部: 下半年AI项目，会涉及到AP、SW侧能力开发，预计各2人</t>
  </si>
  <si>
    <t>26Q1</t>
  </si>
  <si>
    <t>26Q2</t>
  </si>
  <si>
    <t>26Q3</t>
  </si>
  <si>
    <t>26Q4</t>
  </si>
  <si>
    <t>集群</t>
  </si>
  <si>
    <t>AI智网Demo</t>
  </si>
  <si>
    <t>认证授权(核心)</t>
  </si>
  <si>
    <t>集群设备管理(核心)</t>
  </si>
  <si>
    <t>转发(核心)</t>
  </si>
  <si>
    <t>运维(核心)</t>
  </si>
  <si>
    <t>合规</t>
  </si>
  <si>
    <t>小信云</t>
  </si>
  <si>
    <t>信锐conduct</t>
  </si>
  <si>
    <t>业务</t>
  </si>
  <si>
    <t>二层认证</t>
  </si>
  <si>
    <t>三层认证</t>
  </si>
  <si>
    <t>portal对接</t>
  </si>
  <si>
    <t>准入授权</t>
  </si>
  <si>
    <t>终端识别</t>
  </si>
  <si>
    <t>控制隧道</t>
  </si>
  <si>
    <t>配置下发</t>
  </si>
  <si>
    <t>双机</t>
  </si>
  <si>
    <t>集中管理</t>
  </si>
  <si>
    <t>数据面</t>
  </si>
  <si>
    <t>网关驱动</t>
  </si>
  <si>
    <t>网关业务</t>
  </si>
  <si>
    <t>GPT AI</t>
  </si>
  <si>
    <t>全网智能</t>
  </si>
  <si>
    <t>告警</t>
  </si>
  <si>
    <t>网监</t>
  </si>
  <si>
    <t>数据中心</t>
  </si>
  <si>
    <t>app+小程序</t>
  </si>
  <si>
    <t>需要掌控</t>
  </si>
  <si>
    <t>已掌控</t>
  </si>
  <si>
    <t>需要熟悉</t>
  </si>
  <si>
    <t>2+3业务核心</t>
  </si>
  <si>
    <t>N</t>
  </si>
  <si>
    <t>如上图所示</t>
  </si>
  <si>
    <t>计划</t>
  </si>
  <si>
    <t>1. 分派专门质量项，安排各负责人进行总设，按月汇报进展
2. 版本落地，如下半年的去数据面、AI专项，安排对应培养方向人员支撑
3. 疑难问题排查，安排对应方向培养人才支撑</t>
  </si>
  <si>
    <t>调动</t>
  </si>
  <si>
    <t>梁淮光</t>
  </si>
  <si>
    <t>徐鹏</t>
  </si>
  <si>
    <t>王健</t>
  </si>
  <si>
    <t>黄森宇</t>
  </si>
  <si>
    <t>新业务</t>
  </si>
  <si>
    <t>测试开发工程师</t>
  </si>
  <si>
    <t>王惠杰</t>
  </si>
  <si>
    <t>张义军</t>
  </si>
  <si>
    <t>黄安</t>
  </si>
  <si>
    <t>业务投资分解(Q3)</t>
  </si>
  <si>
    <t>人力分布</t>
  </si>
  <si>
    <t>目标客户</t>
  </si>
  <si>
    <t>类型</t>
  </si>
  <si>
    <t>业务方向</t>
  </si>
  <si>
    <t>开发目标投入</t>
  </si>
  <si>
    <t>子方向</t>
  </si>
  <si>
    <t>UED</t>
  </si>
  <si>
    <t>Q4</t>
  </si>
  <si>
    <t xml:space="preserve">
制造业、大企业、医疗等行业上攻战略大客户</t>
  </si>
  <si>
    <t>AI</t>
  </si>
  <si>
    <t>AI Agent核心框架</t>
  </si>
  <si>
    <t>曹奕,孙忠彦</t>
  </si>
  <si>
    <t xml:space="preserve">
彭依岳
黄双
赵锐辉
校招1</t>
  </si>
  <si>
    <t>朱鑫涛
张伟涛
校招1
校招2</t>
  </si>
  <si>
    <t>整网能力Cli化框架设计与基建开发</t>
  </si>
  <si>
    <t>AI Agent SKILL开发</t>
  </si>
  <si>
    <t>商书畅，李菁</t>
  </si>
  <si>
    <t>NMC侧与设备侧-基础能力演进</t>
  </si>
  <si>
    <t>张晓东,马垣德,唐小伟,校招生1,詹智钦</t>
  </si>
  <si>
    <t>NMC侧开发-接口改造</t>
  </si>
  <si>
    <t>校招生2,校招生3</t>
  </si>
  <si>
    <t>设备侧开发-接口改造</t>
  </si>
  <si>
    <t>全网智能巡检项优化</t>
  </si>
  <si>
    <t>Q3质量版本</t>
  </si>
  <si>
    <t>portal性能优化+去数据面</t>
  </si>
  <si>
    <t>韩文龙，陈金俊</t>
  </si>
  <si>
    <t>张洁
黄涛</t>
  </si>
  <si>
    <t>许剑华
陈硕鑫
校招3</t>
  </si>
  <si>
    <t>其他梳理出的断网专项优化、质量专项挖掘</t>
  </si>
  <si>
    <t>王维,黄宇成</t>
  </si>
  <si>
    <t>网关</t>
  </si>
  <si>
    <t>小信云无损切换，关键价值补齐</t>
  </si>
  <si>
    <t>自动化补全</t>
  </si>
  <si>
    <t>郑泽滨
张碧玲</t>
  </si>
  <si>
    <t>吴盾，杨旭，张浩</t>
  </si>
  <si>
    <t>夏国富
何星宇</t>
  </si>
  <si>
    <t>林颖,冯皓洋</t>
  </si>
  <si>
    <t>无线、交换UI</t>
  </si>
  <si>
    <t>罗彦淋
叶恩福</t>
  </si>
  <si>
    <t>AI布道</t>
  </si>
  <si>
    <t>AI智网系列洞察与规划</t>
  </si>
  <si>
    <t>研发投资地图</t>
  </si>
  <si>
    <t>版本</t>
  </si>
  <si>
    <t>总人数</t>
  </si>
  <si>
    <t>客户名称</t>
  </si>
  <si>
    <t>承诺项</t>
  </si>
  <si>
    <t>目标时间</t>
  </si>
  <si>
    <t>传化集团</t>
  </si>
  <si>
    <t>2026.04.30</t>
  </si>
  <si>
    <t>sfg支持本地子网与vpn重叠，优先转本地子网，定制支持</t>
  </si>
  <si>
    <t>2026.01.31</t>
  </si>
  <si>
    <t>孩子王</t>
  </si>
  <si>
    <t>snmp，26H1支持</t>
  </si>
  <si>
    <t>2026 H1</t>
  </si>
  <si>
    <t>豪森集团</t>
  </si>
  <si>
    <t>即插即用，26H1支持</t>
  </si>
  <si>
    <t>德塔森特</t>
  </si>
  <si>
    <t>控制器离线告警，12.15号上线</t>
  </si>
  <si>
    <t>2025.12.15</t>
  </si>
  <si>
    <t>2026.06.30</t>
  </si>
  <si>
    <t>供应链</t>
  </si>
  <si>
    <t>6600H 2026.02.01 给母盘包</t>
  </si>
  <si>
    <t>2026.02.01</t>
  </si>
  <si>
    <t>6300H 2026.03.15 给母盘包</t>
  </si>
  <si>
    <t>2026.03.15</t>
  </si>
  <si>
    <t xml:space="preserve">
从9月开始，控制器高可用投入人力提升为10人，对其他项目和工作影响为：
1. gpt、全网智能无人力支撑优化
2. SIG三期预计延到明年1月底
3. 后台质量投入降为2人，勉强合入严重网上问题与支援其他产品线控制器问题，无人力支撑大客户定制
4. 易用性后台无法投入，需等Q4新人入职才能开发
5. UI质量投入变为1人，也无人力支撑突发大客户定制
6. bgp这块没人力做开发，方案研究可由刘涛承接研究</t>
  </si>
  <si>
    <t>当前</t>
  </si>
  <si>
    <t>8月</t>
  </si>
  <si>
    <t>9月</t>
  </si>
  <si>
    <t>10月</t>
  </si>
  <si>
    <t>11月</t>
  </si>
  <si>
    <t>12月</t>
  </si>
  <si>
    <t>1月</t>
  </si>
  <si>
    <t>3月</t>
  </si>
  <si>
    <t>4月</t>
  </si>
  <si>
    <t>5月</t>
  </si>
  <si>
    <t>6月</t>
  </si>
  <si>
    <t>7月</t>
  </si>
  <si>
    <t>控制器高可用</t>
  </si>
  <si>
    <t>阮文轩</t>
  </si>
  <si>
    <t>SIG二期</t>
  </si>
  <si>
    <t>SIG三期</t>
  </si>
  <si>
    <t>N合一</t>
  </si>
  <si>
    <t>VILG国产化</t>
  </si>
  <si>
    <t>支援无线</t>
  </si>
  <si>
    <t>调去交换机</t>
  </si>
  <si>
    <t>ios portal优化</t>
  </si>
  <si>
    <t>ios portal优化 + N合一</t>
  </si>
  <si>
    <t>质量维护</t>
  </si>
  <si>
    <t>100G一分四</t>
  </si>
  <si>
    <t>小程序认证</t>
  </si>
  <si>
    <t>支援交换机</t>
  </si>
  <si>
    <t>机动</t>
  </si>
  <si>
    <t>质量 &amp; 控制器高可用</t>
  </si>
  <si>
    <t>无线版本</t>
  </si>
  <si>
    <t>支援无线&amp;交换机</t>
  </si>
  <si>
    <t>定制&amp;技术支持</t>
  </si>
  <si>
    <t>易用性</t>
  </si>
  <si>
    <r>
      <rPr>
        <rFont val="宋体"/>
        <charset val="-122"/>
        <family val="2"/>
        <color rgb="FFFF0000"/>
        <sz val="11"/>
        <scheme val="minor"/>
      </rPr>
      <t>GPT AFU</t>
    </r>
    <r>
      <rPr>
        <rFont val="宋体"/>
        <charset val="-122"/>
        <family val="2"/>
        <color theme="1"/>
        <sz val="11"/>
        <scheme val="minor"/>
      </rPr>
      <t xml:space="preserve"> 控制器基本业务</t>
    </r>
  </si>
  <si>
    <r>
      <rPr>
        <rFont val="宋体"/>
        <charset val="-122"/>
        <family val="2"/>
        <color rgb="FFFF0000"/>
        <sz val="11"/>
        <scheme val="minor"/>
      </rPr>
      <t>控制器基本业务</t>
    </r>
    <r>
      <rPr>
        <rFont val="宋体"/>
        <charset val="-122"/>
        <family val="2"/>
        <color theme="1"/>
        <sz val="11"/>
        <scheme val="minor"/>
      </rPr>
      <t xml:space="preserve"> 网关业务 </t>
    </r>
  </si>
  <si>
    <r>
      <rPr>
        <rFont val="宋体"/>
        <charset val="-122"/>
        <family val="2"/>
        <color theme="1"/>
        <sz val="11"/>
        <scheme val="minor"/>
      </rPr>
      <t xml:space="preserve">控制器基本业务 </t>
    </r>
    <r>
      <rPr>
        <rFont val="宋体"/>
        <charset val="-122"/>
        <family val="2"/>
        <color rgb="FFFF0000"/>
        <sz val="11"/>
        <scheme val="minor"/>
      </rPr>
      <t>小信云</t>
    </r>
  </si>
  <si>
    <r>
      <rPr>
        <rFont val="宋体"/>
        <charset val="-122"/>
        <family val="2"/>
        <color theme="1"/>
        <sz val="11"/>
        <scheme val="minor"/>
      </rPr>
      <t xml:space="preserve">控制器基本业务 网关业务 </t>
    </r>
    <r>
      <rPr>
        <rFont val="宋体"/>
        <charset val="-122"/>
        <family val="2"/>
        <color rgb="FFFF0000"/>
        <sz val="11"/>
        <scheme val="minor"/>
      </rPr>
      <t xml:space="preserve">网关适配 </t>
    </r>
  </si>
  <si>
    <r>
      <rPr>
        <b val="true"/>
        <i val="false"/>
        <strike val="false"/>
        <color rgb="FF000000"/>
        <sz val="11"/>
        <u val="none"/>
      </rPr>
      <t>集群1.0(5.15beta发布)</t>
    </r>
    <r>
      <rPr>
        <b val="false"/>
        <i val="false"/>
        <strike val="false"/>
        <color rgb="FF000000"/>
        <sz val="11"/>
        <u val="none"/>
      </rPr>
      <t xml:space="preserve">
- 灰度升级
- 双机切换优化
</t>
    </r>
    <r>
      <rPr>
        <b val="true"/>
        <i val="false"/>
        <strike val="false"/>
        <color rgb="FF000000"/>
        <sz val="11"/>
        <u val="none"/>
      </rPr>
      <t>集群2.0 正式发布 (6.30)</t>
    </r>
    <r>
      <rPr>
        <b val="false"/>
        <i val="false"/>
        <strike val="false"/>
        <color rgb="FF000000"/>
        <sz val="11"/>
        <u val="none"/>
      </rPr>
      <t xml:space="preserve">
- 交换机管理易用性提升
- 单平台无损加入
- 运维操作连贯性</t>
    </r>
  </si>
  <si>
    <r>
      <rPr>
        <b val="true"/>
        <i val="false"/>
        <strike val="false"/>
        <color rgb="FF000000"/>
        <sz val="11"/>
        <u val="none"/>
      </rPr>
      <t>AI智网1.0</t>
    </r>
    <r>
      <rPr>
        <b val="false"/>
        <i val="false"/>
        <strike val="false"/>
        <color rgb="FF000000"/>
        <sz val="11"/>
        <u val="none"/>
      </rPr>
      <t xml:space="preserve">
- </t>
    </r>
  </si>
  <si>
    <r>
      <rPr>
        <b val="false"/>
        <i val="false"/>
        <strike val="false"/>
        <color rgb="FF000000"/>
        <sz val="11"/>
        <u val="none"/>
      </rPr>
      <t xml:space="preserve">核心业务分为四块: </t>
    </r>
    <r>
      <rPr>
        <b val="false"/>
        <i val="false"/>
        <strike val="false"/>
        <color rgb="FFFF0000"/>
        <sz val="11"/>
        <u val="none"/>
      </rPr>
      <t>认证授权  集群管理   转发   运维</t>
    </r>
    <r>
      <rPr>
        <b val="false"/>
        <i val="false"/>
        <strike val="false"/>
        <color rgb="FF000000"/>
        <sz val="11"/>
        <u val="none"/>
      </rPr>
      <t xml:space="preserve">，此块要分别有4人熟悉相关业务关键业务，衡量标准是能针对核心架构难点给出解决方案。分别为:
    </t>
    </r>
    <r>
      <rPr>
        <b val="false"/>
        <i val="false"/>
        <strike val="false"/>
        <color rgb="FFFF0000"/>
        <sz val="11"/>
        <u val="none"/>
      </rPr>
      <t>陈金俊</t>
    </r>
    <r>
      <rPr>
        <b val="false"/>
        <i val="false"/>
        <strike val="false"/>
        <color rgb="FF000000"/>
        <sz val="11"/>
        <u val="none"/>
      </rPr>
      <t>，本身作为架构师，</t>
    </r>
    <r>
      <rPr>
        <b val="false"/>
        <i val="false"/>
        <strike val="false"/>
        <color rgb="FFFF0000"/>
        <sz val="11"/>
        <u val="none"/>
      </rPr>
      <t>需要熟悉全部控制器、网关架构，需精通集群设备管理业务</t>
    </r>
    <r>
      <rPr>
        <b val="false"/>
        <i val="false"/>
        <strike val="false"/>
        <color rgb="FF000000"/>
        <sz val="11"/>
        <u val="none"/>
      </rPr>
      <t xml:space="preserve">，衡量标准:
                全面梳理平台到平台、平台到设备的配置下发流程，梳理出重构方案，提升设备管理性能与可靠性。做到:
                ①  梳理核心数据库的转换同步逻辑，消除现在各进程分别维护导致集群配置同步、双机配置同步的完整性、可靠性与性能参差不齐
                ②  AP、SW等边缘设备管理性能大幅提升，配置更新做到不全量刷新内存，修剪掉已不存在的无效耗性能业务，单机管理性能就配置层面比现在指标提升3倍，提升配置下发可靠性，消除目前存在的惊群效应
                ③ 提升双机配置同步、消息同步服务性能，目标管理规模下双机配置、消息不丢，目前存在严重的单cpu瓶颈及万ap级单机双机同步丢消息
                ④ 相关疑难问题兜底
    </t>
    </r>
    <r>
      <rPr>
        <b val="false"/>
        <i val="false"/>
        <strike val="false"/>
        <color rgb="FFFF0000"/>
        <sz val="11"/>
        <u val="none"/>
      </rPr>
      <t xml:space="preserve"> 韩文龙</t>
    </r>
    <r>
      <rPr>
        <b val="false"/>
        <i val="false"/>
        <strike val="false"/>
        <color rgb="FF000000"/>
        <sz val="11"/>
        <u val="none"/>
      </rPr>
      <t>，需要精通认</t>
    </r>
    <r>
      <rPr>
        <b val="false"/>
        <i val="false"/>
        <strike val="false"/>
        <color rgb="FFFF0000"/>
        <sz val="11"/>
        <u val="none"/>
      </rPr>
      <t>证授权业务</t>
    </r>
    <r>
      <rPr>
        <b val="false"/>
        <i val="false"/>
        <strike val="false"/>
        <color rgb="FF000000"/>
        <sz val="11"/>
        <u val="none"/>
      </rPr>
      <t xml:space="preserve">，梳理出重构方案，提升认证授权性能与可靠性，做到:
                 ①  如何防止改动引发导致的核心业务中断，或业务中断情况下能认证降级或逃生
                 ② 二层认证、三层认证、portal认证支持熔断限流，性能到瓶颈时，保证性能下终端认证业务正常，性能上终端灾备或有序上线
                 ② 整体提升在大并发下认证问题排查及时性，避免当前排查效率低下情况
                 ③ 大幅提升portal性能，应对突发大流量情况，满足大客户并发要求
                 ④ 双机情况，认证支持负载均衡，热备认证授权架构上保障无异常，对业务透明
                 ⑤ 相关疑难问题兜底
     </t>
    </r>
    <r>
      <rPr>
        <b val="false"/>
        <i val="false"/>
        <strike val="false"/>
        <color rgb="FFFF0000"/>
        <sz val="11"/>
        <u val="none"/>
      </rPr>
      <t>张晓东</t>
    </r>
    <r>
      <rPr>
        <b val="false"/>
        <i val="false"/>
        <strike val="false"/>
        <color rgb="FF000000"/>
        <sz val="11"/>
        <u val="none"/>
      </rPr>
      <t>，需要精通</t>
    </r>
    <r>
      <rPr>
        <b val="false"/>
        <i val="false"/>
        <strike val="false"/>
        <color rgb="FFFF0000"/>
        <sz val="11"/>
        <u val="none"/>
      </rPr>
      <t>转发业务</t>
    </r>
    <r>
      <rPr>
        <b val="false"/>
        <i val="false"/>
        <strike val="false"/>
        <color rgb="FF000000"/>
        <sz val="11"/>
        <u val="none"/>
      </rPr>
      <t xml:space="preserve">，提升转发丢包可排查下，无损接管小信云场景设计梳理。做到:
                 ① 无线转发丢包、ACL业务排查，大流量下可排查性
                 ② 小信云无损接管方案场景梳理、设计与监管落地
                 ③ 网卡损坏，数据面可除该网卡外，业务正常
                 ④ 相关疑难问题兜底
    </t>
    </r>
    <r>
      <rPr>
        <b val="false"/>
        <i val="false"/>
        <strike val="false"/>
        <color rgb="FFFF0000"/>
        <sz val="11"/>
        <u val="none"/>
      </rPr>
      <t xml:space="preserve"> 曹奕</t>
    </r>
    <r>
      <rPr>
        <b val="false"/>
        <i val="false"/>
        <strike val="false"/>
        <color rgb="FF000000"/>
        <sz val="11"/>
        <u val="none"/>
      </rPr>
      <t>，需要精通</t>
    </r>
    <r>
      <rPr>
        <b val="false"/>
        <i val="false"/>
        <strike val="false"/>
        <color rgb="FFFF0000"/>
        <sz val="11"/>
        <u val="none"/>
      </rPr>
      <t>运维业务</t>
    </r>
    <r>
      <rPr>
        <b val="false"/>
        <i val="false"/>
        <strike val="false"/>
        <color rgb="FF000000"/>
        <sz val="11"/>
        <u val="none"/>
      </rPr>
      <t>，提升运维架构的可扩展性、探索支撑AI新场景、优化老场景。做到:
                ①  为常用运维需求设计统一数据存储分析平台，建立强管控上报机制(管控设备能否上报、上报频次、上报标准)，提升数据分析开发效能与性能，提升对边缘设备数据上报精细化管控
                ②  提升目前AI工作流性能，以及构建面向AI的数据、配置架构，探索、支持更多AI应用场景在设备落地
                ③  告警及时性提升，严重问题1min内告警触达；人性化提升，告警合并与否，如何合并，推送频次可灵活满足需求，支持告警升级
                ③ 相关疑难问题兜底
此外，针对UI支撑部门，</t>
    </r>
    <r>
      <rPr>
        <b val="false"/>
        <i val="false"/>
        <strike val="false"/>
        <color rgb="FFFF0000"/>
        <sz val="11"/>
        <u val="none"/>
      </rPr>
      <t>张洁</t>
    </r>
    <r>
      <rPr>
        <b val="false"/>
        <i val="false"/>
        <strike val="false"/>
        <color rgb="FF000000"/>
        <sz val="11"/>
        <u val="none"/>
      </rPr>
      <t>作为责任人，尝试能否</t>
    </r>
    <r>
      <rPr>
        <b val="false"/>
        <i val="false"/>
        <strike val="false"/>
        <color rgb="FFFF0000"/>
        <sz val="11"/>
        <u val="none"/>
      </rPr>
      <t>用AI安全可靠的将JS架构全部转为VUE，php尝试转换为go</t>
    </r>
    <r>
      <rPr>
        <b val="false"/>
        <i val="false"/>
        <strike val="false"/>
        <color rgb="FF000000"/>
        <sz val="11"/>
        <u val="none"/>
      </rPr>
      <t>，降低部门业务上手难度与提升技术栈复用性</t>
    </r>
  </si>
  <si>
    <r>
      <rPr>
        <b val="true"/>
        <i val="false"/>
        <strike val="false"/>
        <color rgb="FF000000"/>
        <sz val="11"/>
        <u val="none"/>
      </rPr>
      <t>传化集团承诺需求2026年H1支持，计划26年1月开发完成</t>
    </r>
    <r>
      <rPr>
        <b val="false"/>
        <i val="false"/>
        <strike val="false"/>
        <color rgb="FF267EF0"/>
        <sz val="11"/>
        <u/>
      </rPr>
      <t xml:space="preserve">
 传化客户问题总结</t>
    </r>
  </si>
  <si>
    <r>
      <rPr>
        <b val="true"/>
        <i val="false"/>
        <strike val="false"/>
        <color rgb="FF000000"/>
        <sz val="11"/>
        <u val="none"/>
      </rPr>
      <t>德塔森特需求列表，分两期支持，H1版本与H2版本发布</t>
    </r>
    <r>
      <rPr>
        <b val="false"/>
        <i val="false"/>
        <strike val="false"/>
        <color rgb="FF267EF0"/>
        <sz val="11"/>
        <u/>
      </rPr>
      <t xml:space="preserve">
 德塔森特问题梳理</t>
    </r>
  </si>
</sst>
</file>

<file path=xl/styles.xml><?xml version="1.0" encoding="utf-8"?>
<styleSheet xmlns="http://schemas.openxmlformats.org/spreadsheetml/2006/main">
  <numFmts count="13">
    <numFmt numFmtId="300" formatCode="yyyy&quot;年&quot;m&quot;月&quot;d&quot;日&quot;;@"/>
    <numFmt numFmtId="301" formatCode="0.00_);[Red]\(0.00\)"/>
    <numFmt numFmtId="302" formatCode="yyyy/m/d;@"/>
    <numFmt numFmtId="303" formatCode="yyyy\.mm\.dd"/>
    <numFmt numFmtId="304" formatCode="0.00_ "/>
    <numFmt numFmtId="305" formatCode="yyyy&quot;年&quot;m&quot;月&quot;;@"/>
    <numFmt numFmtId="306" formatCode="yyyy-mm-dd"/>
    <numFmt numFmtId="307" formatCode="General"/>
    <numFmt numFmtId="308" formatCode="0%"/>
    <numFmt numFmtId="309" formatCode="_ &quot;￥&quot;* #,##0.00_ ;_ &quot;￥&quot;* \-#,##0.00_ ;_ &quot;￥&quot;* &quot;-&quot;??_ ;_ @_ "/>
    <numFmt numFmtId="310" formatCode="_ * #,##0_ ;_ * \-#,##0_ ;_ * &quot;-&quot;_ ;_ @_ "/>
    <numFmt numFmtId="311" formatCode="_ &quot;￥&quot;* #,##0_ ;_ &quot;￥&quot;* \-#,##0_ ;_ &quot;￥&quot;* &quot;-&quot;_ ;_ @_ "/>
    <numFmt numFmtId="312" formatCode="_ * #,##0.00_ ;_ * \-#,##0.00_ ;_ * &quot;-&quot;??_ ;_ @_ "/>
  </numFmts>
  <fonts count="61">
    <font>
      <name val="宋体"/>
      <charset val="-122"/>
      <family val="2"/>
      <color theme="1"/>
      <sz val="11"/>
      <scheme val="minor"/>
    </font>
    <font>
      <name val="等线"/>
      <charset val="134"/>
      <color rgb="FF175CEB"/>
      <sz val="10"/>
      <u/>
      <scheme val="minor"/>
    </font>
    <font>
      <name val="Segoe UI Symbol"/>
      <family val="2"/>
      <color rgb="FF000000"/>
      <sz val="10"/>
    </font>
    <font>
      <name val="宋体"/>
      <charset val="-122"/>
      <family val="2"/>
      <b val="true"/>
      <color theme="0"/>
      <sz val="10"/>
      <scheme val="minor"/>
    </font>
    <font>
      <name val="宋体"/>
      <charset val="-122"/>
      <family val="2"/>
      <color theme="1"/>
      <sz val="9"/>
      <scheme val="major"/>
    </font>
    <font>
      <name val="宋体"/>
      <color theme="1"/>
      <sz val="9"/>
    </font>
    <font>
      <name val="宋体"/>
      <color rgb="FFFF0000"/>
      <sz val="9"/>
    </font>
    <font>
      <name val="宋体"/>
    </font>
    <font>
      <name val="等线"/>
      <sz val="10"/>
    </font>
    <font>
      <name val="等线"/>
      <sz val="10"/>
    </font>
    <font>
      <name val="等线"/>
      <sz val="10"/>
    </font>
    <font>
      <name val="微软雅黑"/>
      <charset val="1"/>
      <family val="2"/>
      <sz val="9"/>
    </font>
    <font>
      <name val="宋体"/>
      <charset val="-122"/>
      <family val="2"/>
      <color rgb="FF000000"/>
      <sz val="9"/>
    </font>
    <font>
      <name val="宋体"/>
      <charset val="1"/>
      <family val="2"/>
      <sz val="9"/>
    </font>
    <font>
      <name val="宋体"/>
      <charset val="-122"/>
      <family val="2"/>
      <i val="true"/>
      <color rgb="FF000000"/>
      <sz val="9"/>
    </font>
    <font>
      <name val="宋体"/>
      <charset val="1"/>
      <family val="2"/>
      <i val="true"/>
      <sz val="9"/>
    </font>
    <font>
      <name val="宋体"/>
      <charset val="-122"/>
      <family val="2"/>
      <color theme="0"/>
      <sz val="12"/>
    </font>
    <font>
      <name val="宋体"/>
      <charset val="-122"/>
      <family val="2"/>
      <color theme="0"/>
      <sz val="9"/>
    </font>
    <font>
      <name val="等线"/>
      <b val="true"/>
      <sz val="10"/>
    </font>
    <font>
      <name val="等线"/>
      <sz val="12"/>
    </font>
    <font/>
    <font/>
    <font>
      <name val="宋体"/>
      <b val="true"/>
    </font>
    <font>
      <name val="宋体"/>
      <sz val="9"/>
    </font>
    <font>
      <b val="false"/>
    </font>
    <font>
      <name val="宋体"/>
      <charset val="-122"/>
      <family val="2"/>
      <b val="true"/>
      <color theme="0"/>
      <sz val="10"/>
    </font>
    <font>
      <name val="宋体"/>
      <charset val="-122"/>
      <family val="2"/>
      <color rgb="FFFF0000"/>
      <sz val="11"/>
      <scheme val="minor"/>
    </font>
    <font>
      <name val="宋体"/>
      <charset val="-122"/>
      <family val="2"/>
      <sz val="11"/>
      <scheme val="minor"/>
    </font>
    <font>
      <b val="true"/>
      <sz val="10"/>
    </font>
    <font>
      <name val="宋体"/>
    </font>
    <font>
      <sz val="10"/>
    </font>
    <font>
      <name val="宋体"/>
      <b val="true"/>
      <sz val="11"/>
    </font>
    <font>
      <b val="true"/>
    </font>
    <font/>
    <font>
      <b val="true"/>
    </font>
    <font/>
    <font>
      <name val="等线"/>
    </font>
    <font>
      <name val="宋体"/>
      <sz val="10"/>
    </font>
    <font>
      <name val="宋体"/>
      <sz val="12"/>
    </font>
    <font>
      <name val="宋体"/>
      <color rgb="FFFF0000"/>
      <sz val="12"/>
    </font>
    <font>
      <name val="宋体"/>
      <charset val="-122"/>
      <family val="2"/>
      <i val="true"/>
      <color theme="1"/>
      <sz val="9"/>
    </font>
    <font>
      <name val="宋体"/>
      <charset val="-122"/>
      <family val="2"/>
      <color theme="1"/>
      <sz val="9"/>
    </font>
    <font>
      <name val="宋体"/>
      <charset val="-122"/>
      <family val="2"/>
      <color theme="1"/>
      <sz val="11"/>
      <scheme val="minor"/>
    </font>
    <font>
      <name val="宋体"/>
      <charset val="-122"/>
      <family val="2"/>
      <color theme="0"/>
      <sz val="11"/>
      <scheme val="minor"/>
    </font>
    <font>
      <name val="宋体"/>
      <charset val="-122"/>
      <family val="2"/>
      <b val="true"/>
      <color theme="3"/>
      <sz val="11"/>
      <scheme val="minor"/>
    </font>
    <font>
      <name val="宋体"/>
      <family val="2"/>
      <i val="true"/>
      <color rgb="FF7F7F7F"/>
      <sz val="11"/>
      <scheme val="minor"/>
    </font>
    <font>
      <name val="宋体"/>
      <charset val="-122"/>
      <family val="2"/>
      <b val="true"/>
      <color theme="3"/>
      <sz val="15"/>
      <scheme val="minor"/>
    </font>
    <font>
      <name val="宋体"/>
      <family val="2"/>
      <b val="true"/>
      <color rgb="FF3F3F3F"/>
      <sz val="11"/>
      <scheme val="minor"/>
    </font>
    <font>
      <name val="Arial"/>
      <family val="2"/>
      <color theme="1"/>
      <sz val="10"/>
    </font>
    <font>
      <name val="宋体"/>
      <family val="2"/>
      <b val="true"/>
      <color rgb="FFFA7D00"/>
      <sz val="11"/>
      <scheme val="minor"/>
    </font>
    <font>
      <name val="宋体"/>
      <family val="2"/>
      <color rgb="FF0000FF"/>
      <sz val="11"/>
      <u/>
      <scheme val="minor"/>
    </font>
    <font>
      <name val="宋体"/>
      <family val="2"/>
      <b val="true"/>
      <color theme="1"/>
      <sz val="11"/>
      <scheme val="minor"/>
    </font>
    <font>
      <name val="宋体"/>
      <family val="2"/>
      <color rgb="FF800080"/>
      <sz val="11"/>
      <u/>
      <scheme val="minor"/>
    </font>
    <font>
      <name val="宋体"/>
      <family val="2"/>
      <color rgb="FF006100"/>
      <sz val="11"/>
      <scheme val="minor"/>
    </font>
    <font>
      <name val="宋体"/>
      <family val="2"/>
      <color rgb="FFFA7D00"/>
      <sz val="11"/>
      <scheme val="minor"/>
    </font>
    <font>
      <name val="宋体"/>
      <family val="2"/>
      <color rgb="FF9C6500"/>
      <sz val="11"/>
      <scheme val="minor"/>
    </font>
    <font>
      <name val="宋体"/>
      <charset val="-122"/>
      <family val="2"/>
      <b val="true"/>
      <color theme="3"/>
      <sz val="18"/>
      <scheme val="minor"/>
    </font>
    <font>
      <name val="宋体"/>
      <family val="2"/>
      <color rgb="FF9C0006"/>
      <sz val="11"/>
      <scheme val="minor"/>
    </font>
    <font>
      <name val="宋体"/>
      <charset val="-122"/>
      <family val="2"/>
      <b val="true"/>
      <color theme="3"/>
      <sz val="13"/>
      <scheme val="minor"/>
    </font>
    <font>
      <name val="宋体"/>
      <family val="2"/>
      <color rgb="FF3F3F76"/>
      <sz val="11"/>
      <scheme val="minor"/>
    </font>
    <font>
      <name val="宋体"/>
      <family val="2"/>
      <b val="true"/>
      <color rgb="FFFFFFFF"/>
      <sz val="11"/>
      <scheme val="minor"/>
    </font>
  </fonts>
  <fills count="76">
    <fill>
      <patternFill patternType="none"/>
    </fill>
    <fill>
      <patternFill patternType="gray125"/>
    </fill>
    <fill>
      <patternFill patternType="solid">
        <fgColor rgb="FF0070C0"/>
        <bgColor indexed="64"/>
      </patternFill>
    </fill>
    <fill>
      <patternFill patternType="solid">
        <fgColor rgb="FF92D050"/>
        <bgColor indexed="64"/>
      </patternFill>
    </fill>
    <fill>
      <patternFill patternType="solid">
        <fgColor theme="4" tint="0.8"/>
        <bgColor indexed="64"/>
      </patternFill>
    </fill>
    <fill>
      <patternFill patternType="solid">
        <fgColor theme="7" tint="0.8"/>
        <bgColor indexed="64"/>
      </patternFill>
    </fill>
    <fill>
      <patternFill patternType="solid">
        <fgColor theme="7" tint="0.8"/>
        <bgColor indexed="64"/>
      </patternFill>
    </fill>
    <fill>
      <patternFill patternType="solid">
        <fgColor theme="4" tint="0.8"/>
        <bgColor indexed="64"/>
      </patternFill>
    </fill>
    <fill/>
    <fill/>
    <fill>
      <patternFill patternType="solid">
        <fgColor rgb="FFFFFF00"/>
        <bgColor indexed="64"/>
      </patternFill>
    </fill>
    <fill>
      <patternFill patternType="solid">
        <fgColor rgb="FFFFCC99"/>
        <bgColor auto="true"/>
      </patternFill>
    </fill>
    <fill>
      <patternFill patternType="solid">
        <fgColor rgb="FFFFCC99"/>
        <bgColor auto="true"/>
      </patternFill>
    </fill>
    <fill>
      <patternFill patternType="solid">
        <fgColor theme="4"/>
        <bgColor indexed="64"/>
      </patternFill>
    </fill>
    <fill>
      <patternFill patternType="solid">
        <fgColor theme="9" tint="0.6"/>
        <bgColor indexed="64"/>
      </patternFill>
    </fill>
    <fill>
      <patternFill patternType="solid">
        <fgColor rgb="FF99CCFF"/>
        <bgColor auto="true"/>
      </patternFill>
    </fill>
    <fill>
      <patternFill patternType="solid">
        <fgColor rgb="FF99CCFF"/>
        <bgColor auto="true"/>
      </patternFill>
    </fill>
    <fill>
      <patternFill patternType="solid">
        <fgColor rgb="FFC3EAD5"/>
      </patternFill>
    </fill>
    <fill>
      <patternFill patternType="solid">
        <fgColor rgb="FFC7DCFF"/>
      </patternFill>
    </fill>
    <fill>
      <patternFill patternType="solid">
        <fgColor rgb="FFC7DCFF"/>
      </patternFill>
    </fill>
    <fill>
      <patternFill patternType="solid">
        <fgColor rgb="FFC3EAD5"/>
      </patternFill>
    </fill>
    <fill>
      <patternFill patternType="solid">
        <fgColor rgb="FFF5C400"/>
      </patternFill>
    </fill>
    <fill>
      <patternFill patternType="none"/>
    </fill>
    <fill>
      <patternFill patternType="solid">
        <fgColor theme="6" tint="0.4"/>
        <bgColor indexed="64"/>
      </patternFill>
    </fill>
    <fill>
      <patternFill patternType="solid">
        <fgColor rgb="FF00B0F0"/>
        <bgColor auto="true"/>
      </patternFill>
    </fill>
    <fill>
      <patternFill patternType="solid">
        <fgColor rgb="FFBFBFBF"/>
      </patternFill>
    </fill>
    <fill>
      <patternFill patternType="solid">
        <fgColor rgb="FFBFBFBF"/>
      </patternFill>
    </fill>
    <fill>
      <patternFill patternType="solid">
        <fgColor rgb="FFFFEEAD"/>
      </patternFill>
    </fill>
    <fill>
      <patternFill patternType="solid">
        <fgColor rgb="FFFFEEAD"/>
      </patternFill>
    </fill>
    <fill>
      <patternFill patternType="solid">
        <fgColor rgb="FF99DDFF"/>
      </patternFill>
    </fill>
    <fill>
      <patternFill patternType="solid">
        <fgColor rgb="FFFFFF00"/>
      </patternFill>
    </fill>
    <fill>
      <patternFill patternType="solid">
        <fgColor rgb="FF99DDFF"/>
      </patternFill>
    </fill>
    <fill>
      <patternFill patternType="solid">
        <fgColor rgb="FF92D050"/>
      </patternFill>
    </fill>
    <fill>
      <patternFill patternType="solid">
        <fgColor rgb="FFC7ECFF"/>
      </patternFill>
    </fill>
    <fill>
      <patternFill patternType="solid">
        <fgColor rgb="FF00B050"/>
      </patternFill>
    </fill>
    <fill>
      <patternFill patternType="solid">
        <fgColor rgb="FFC7ECFF"/>
      </patternFill>
    </fill>
    <fill>
      <patternFill patternType="solid">
        <fgColor rgb="FFE5F6FF"/>
      </patternFill>
    </fill>
    <fill>
      <patternFill patternType="solid">
        <fgColor rgb="FFEAFAF1"/>
        <bgColor auto="true"/>
      </patternFill>
    </fill>
    <fill>
      <patternFill patternType="solid">
        <fgColor rgb="FFEAFAF1"/>
        <bgColor auto="true"/>
      </patternFill>
    </fill>
    <fill>
      <patternFill patternType="solid">
        <fgColor rgb="FFFFF9E3"/>
        <bgColor auto="true"/>
      </patternFill>
    </fill>
    <fill>
      <patternFill patternType="solid">
        <fgColor rgb="FFFFDCC4"/>
        <bgColor auto="true"/>
      </patternFill>
    </fill>
    <fill>
      <patternFill patternType="solid">
        <fgColor rgb="FFFFF9E3"/>
        <bgColor auto="true"/>
      </patternFill>
    </fill>
    <fill>
      <patternFill patternType="solid">
        <fgColor rgb="FF8CDDFA"/>
        <bgColor auto="true"/>
      </patternFill>
    </fill>
    <fill>
      <patternFill patternType="solid">
        <fgColor rgb="FF92D050"/>
        <bgColor indexed="64"/>
      </patternFill>
    </fill>
    <fill/>
    <fill>
      <patternFill patternType="solid">
        <fgColor theme="2" tint="-0.24999"/>
        <bgColor indexed="64"/>
      </patternFill>
    </fill>
    <fill>
      <patternFill patternType="solid">
        <fgColor theme="8" tint="0.79998"/>
        <bgColor indexed="64"/>
      </patternFill>
    </fill>
    <fill>
      <patternFill patternType="solid">
        <fgColor theme="5" tint="0.39998"/>
        <bgColor indexed="64"/>
      </patternFill>
    </fill>
    <fill>
      <patternFill patternType="solid">
        <fgColor theme="5"/>
        <bgColor indexed="64"/>
      </patternFill>
    </fill>
    <fill>
      <patternFill patternType="solid">
        <fgColor theme="6" tint="0.79998"/>
        <bgColor indexed="64"/>
      </patternFill>
    </fill>
    <fill>
      <patternFill patternType="solid">
        <fgColor rgb="FFF2F2F2"/>
        <bgColor indexed="64"/>
      </patternFill>
    </fill>
    <fill>
      <patternFill patternType="solid">
        <fgColor theme="4" tint="0.39998"/>
        <bgColor indexed="64"/>
      </patternFill>
    </fill>
    <fill>
      <patternFill patternType="solid">
        <fgColor theme="7" tint="0.79998"/>
        <bgColor indexed="64"/>
      </patternFill>
    </fill>
    <fill>
      <patternFill patternType="solid">
        <fgColor theme="9" tint="0.79998"/>
        <bgColor indexed="64"/>
      </patternFill>
    </fill>
    <fill>
      <patternFill patternType="solid">
        <fgColor theme="7" tint="0.59999"/>
        <bgColor indexed="64"/>
      </patternFill>
    </fill>
    <fill>
      <patternFill patternType="solid">
        <fgColor theme="8" tint="0.59999"/>
        <bgColor indexed="64"/>
      </patternFill>
    </fill>
    <fill>
      <patternFill patternType="solid">
        <fgColor rgb="FFFFFFCC"/>
        <bgColor indexed="64"/>
      </patternFill>
    </fill>
    <fill>
      <patternFill patternType="solid">
        <fgColor theme="8"/>
        <bgColor indexed="64"/>
      </patternFill>
    </fill>
    <fill>
      <patternFill patternType="solid">
        <fgColor theme="8" tint="0.39998"/>
        <bgColor indexed="64"/>
      </patternFill>
    </fill>
    <fill>
      <patternFill patternType="solid">
        <fgColor rgb="FFC6EFCE"/>
        <bgColor indexed="64"/>
      </patternFill>
    </fill>
    <fill>
      <patternFill patternType="solid">
        <fgColor theme="7" tint="0.39998"/>
        <bgColor indexed="64"/>
      </patternFill>
    </fill>
    <fill>
      <patternFill patternType="solid">
        <fgColor rgb="FFFFEB9C"/>
        <bgColor indexed="64"/>
      </patternFill>
    </fill>
    <fill>
      <patternFill patternType="solid">
        <fgColor theme="9" tint="0.39998"/>
        <bgColor indexed="64"/>
      </patternFill>
    </fill>
    <fill>
      <patternFill patternType="solid">
        <fgColor theme="5" tint="0.59999"/>
        <bgColor indexed="64"/>
      </patternFill>
    </fill>
    <fill>
      <patternFill patternType="solid">
        <fgColor theme="6" tint="0.59999"/>
        <bgColor indexed="64"/>
      </patternFill>
    </fill>
    <fill>
      <patternFill patternType="solid">
        <fgColor theme="9"/>
        <bgColor indexed="64"/>
      </patternFill>
    </fill>
    <fill>
      <patternFill patternType="solid">
        <fgColor rgb="FFFFC7CE"/>
        <bgColor indexed="64"/>
      </patternFill>
    </fill>
    <fill>
      <patternFill patternType="solid">
        <fgColor theme="6"/>
        <bgColor indexed="64"/>
      </patternFill>
    </fill>
    <fill>
      <patternFill patternType="solid">
        <fgColor theme="5" tint="0.79998"/>
        <bgColor indexed="64"/>
      </patternFill>
    </fill>
    <fill>
      <patternFill patternType="solid">
        <fgColor theme="9" tint="0.59999"/>
        <bgColor indexed="64"/>
      </patternFill>
    </fill>
    <fill>
      <patternFill patternType="solid">
        <fgColor theme="4" tint="0.59999"/>
        <bgColor indexed="64"/>
      </patternFill>
    </fill>
    <fill>
      <patternFill patternType="solid">
        <fgColor rgb="FFFFCC99"/>
        <bgColor indexed="64"/>
      </patternFill>
    </fill>
    <fill>
      <patternFill patternType="solid">
        <fgColor theme="6" tint="0.39998"/>
        <bgColor indexed="64"/>
      </patternFill>
    </fill>
    <fill>
      <patternFill patternType="solid">
        <fgColor rgb="FFA5A5A5"/>
        <bgColor indexed="64"/>
      </patternFill>
    </fill>
    <fill>
      <patternFill patternType="solid">
        <fgColor theme="4" tint="0.79998"/>
        <bgColor indexed="64"/>
      </patternFill>
    </fill>
    <fill>
      <patternFill patternType="solid">
        <fgColor theme="7"/>
        <bgColor indexed="64"/>
      </patternFill>
    </fill>
  </fills>
  <borders count="90">
    <border>
      <left/>
      <right/>
      <top/>
      <bottom/>
      <diagonal/>
    </border>
    <border>
      <left style="thin">
        <color auto="true"/>
      </left>
      <right style="thin">
        <color auto="true"/>
      </right>
      <top style="thin">
        <color auto="true"/>
      </top>
      <bottom style="thin">
        <color auto="true"/>
      </bottom>
    </border>
    <border>
      <left style="thin">
        <color auto="true"/>
      </left>
      <right/>
      <top style="thin">
        <color auto="true"/>
      </top>
      <bottom style="thin">
        <color auto="true"/>
      </bottom>
    </border>
    <border>
      <left style="thin">
        <color auto="true"/>
      </left>
      <top style="thin">
        <color auto="true"/>
      </top>
      <bottom style="thin">
        <color auto="true"/>
      </bottom>
    </border>
    <border>
      <left style="thin">
        <color auto="true"/>
      </left>
      <right/>
      <top/>
      <bottom/>
    </border>
    <border>
      <left style="thin">
        <color auto="true"/>
      </left>
      <right style="thin">
        <color theme="1"/>
      </right>
      <top style="thin">
        <color theme="1"/>
      </top>
      <bottom style="thin">
        <color auto="true"/>
      </bottom>
    </border>
    <border>
      <left style="thin">
        <color auto="true"/>
      </left>
      <right/>
      <top style="thin">
        <color theme="1"/>
      </top>
      <bottom style="thin">
        <color auto="true"/>
      </bottom>
    </border>
    <border>
      <left style="thin">
        <color auto="true"/>
      </left>
      <bottom style="thin">
        <color auto="true"/>
      </bottom>
    </border>
    <border>
      <left style="thin">
        <color auto="true"/>
      </left>
      <right style="thin">
        <color auto="true"/>
      </right>
      <top/>
      <bottom style="thin">
        <color auto="true"/>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right style="thin">
        <color rgb="FF000000"/>
      </right>
      <top style="thin">
        <color rgb="FF000000"/>
      </top>
      <bottom/>
    </border>
    <border>
      <left style="thin">
        <color rgb="FF000000"/>
      </left>
      <right style="thin">
        <color rgb="FF000000"/>
      </right>
      <top style="thin">
        <color rgb="FF000000"/>
      </top>
      <bottom/>
    </border>
    <border>
      <left/>
      <right/>
      <top/>
      <bottom style="thin">
        <color theme="4" tint="0.39998"/>
      </bottom>
    </border>
    <border>
      <left/>
      <right/>
      <top/>
      <bottom/>
    </border>
    <border>
      <left/>
      <right style="thin">
        <color auto="true"/>
      </right>
      <top style="thin">
        <color auto="true"/>
      </top>
      <bottom style="thin">
        <color auto="true"/>
      </bottom>
    </border>
    <border>
      <left/>
      <right/>
      <top/>
      <bottom/>
    </border>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left style="thin">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right/>
      <top style="thin">
        <color auto="true"/>
      </top>
      <bottom style="thin">
        <color auto="true"/>
      </bottom>
    </border>
    <border>
      <left style="medium">
        <color auto="true"/>
      </left>
      <right style="thin">
        <color auto="true"/>
      </right>
      <top style="thin">
        <color auto="true"/>
      </top>
      <bottom style="thin">
        <color auto="true"/>
      </bottom>
    </border>
    <border>
      <left style="thin">
        <color auto="true"/>
      </left>
      <right style="medium">
        <color auto="true"/>
      </right>
      <top style="thin">
        <color auto="true"/>
      </top>
      <bottom style="thin">
        <color auto="true"/>
      </bottom>
    </border>
    <border>
      <left style="thin">
        <color auto="true"/>
      </left>
      <right style="thin">
        <color auto="true"/>
      </right>
      <top style="thin">
        <color auto="true"/>
      </top>
    </border>
    <border>
      <bottom style="thin">
        <color auto="true"/>
      </bottom>
    </border>
    <border>
      <left style="thin">
        <color auto="true"/>
      </left>
      <top style="thin">
        <color theme="1"/>
      </top>
      <bottom style="thin">
        <color auto="true"/>
      </bottom>
    </border>
    <border>
      <right/>
      <bottom style="thin">
        <color auto="true"/>
      </bottom>
    </border>
    <border>
      <right/>
      <top style="thin">
        <color auto="true"/>
      </top>
      <bottom style="thin">
        <color auto="true"/>
      </bottom>
    </border>
    <border>
      <left style="medium">
        <color auto="true"/>
      </left>
      <right/>
      <top/>
      <bottom/>
    </border>
    <border>
      <left/>
      <right style="medium">
        <color auto="true"/>
      </right>
      <top/>
      <bottom/>
    </border>
    <border>
      <top style="thin">
        <color rgb="FF000000"/>
      </top>
      <bottom style="thin">
        <color rgb="FF000000"/>
      </bottom>
    </border>
    <border>
      <top style="thin">
        <color rgb="FF000000"/>
      </top>
      <bottom style="thin">
        <color rgb="FF000000"/>
      </bottom>
    </border>
    <border>
      <left style="thin">
        <color auto="true"/>
      </left>
      <top style="thin">
        <color theme="1"/>
      </top>
    </border>
    <border/>
    <border>
      <left style="thin">
        <color rgb="FF000000"/>
      </left>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top style="thin">
        <color rgb="FF000000"/>
      </top>
    </border>
    <border>
      <right style="thin">
        <color rgb="FF000000"/>
      </right>
      <top style="thin">
        <color rgb="FF000000"/>
      </top>
    </border>
    <border>
      <left/>
      <top style="thin">
        <color rgb="FF000000"/>
      </top>
      <bottom style="thin">
        <color rgb="FF000000"/>
      </bottom>
    </border>
    <border>
      <right/>
      <top style="thin">
        <color rgb="FF000000"/>
      </top>
    </border>
    <border>
      <left style="thin">
        <color rgb="FF000000"/>
      </left>
    </border>
    <border/>
    <border>
      <right style="thin">
        <color rgb="FF000000"/>
      </right>
    </border>
    <border>
      <right/>
    </border>
    <border>
      <right style="thin">
        <color rgb="FF000000"/>
      </right>
    </border>
    <border>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
      <right/>
    </border>
    <border>
      <bottom style="thin">
        <color rgb="FF000000"/>
      </bottom>
    </border>
    <border>
      <right/>
      <bottom/>
    </border>
    <border>
      <left style="thin">
        <color rgb="FF000000"/>
      </lef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top/>
      <bottom/>
    </border>
    <border>
      <top/>
      <bottom/>
    </border>
    <border>
      <right/>
      <top/>
      <bottom/>
    </border>
    <border>
      <left/>
      <right/>
    </border>
    <border>
      <left/>
      <top/>
      <bottom/>
    </border>
    <border/>
    <border>
      <left style="thin">
        <color auto="true"/>
      </left>
      <right/>
      <top/>
      <bottom style="thin">
        <color auto="true"/>
      </bottom>
    </border>
    <border>
      <left/>
      <right/>
      <top/>
      <bottom/>
      <diagonal/>
    </border>
    <border>
      <left/>
      <right/>
      <top/>
      <bottom style="medium">
        <color theme="4"/>
      </bottom>
    </border>
    <border>
      <left style="thin">
        <color rgb="FF3F3F3F"/>
      </left>
      <right style="thin">
        <color rgb="FF3F3F3F"/>
      </right>
      <top style="thin">
        <color rgb="FF3F3F3F"/>
      </top>
      <bottom style="thin">
        <color rgb="FF3F3F3F"/>
      </bottom>
    </border>
    <border>
      <left style="thin">
        <color rgb="FF7F7F7F"/>
      </left>
      <right style="thin">
        <color rgb="FF7F7F7F"/>
      </right>
      <top style="thin">
        <color rgb="FF7F7F7F"/>
      </top>
      <bottom style="thin">
        <color rgb="FF7F7F7F"/>
      </bottom>
    </border>
    <border>
      <left style="thin">
        <color rgb="FFB2B2B2"/>
      </left>
      <right style="thin">
        <color rgb="FFB2B2B2"/>
      </right>
      <top style="thin">
        <color rgb="FFB2B2B2"/>
      </top>
      <bottom style="thin">
        <color rgb="FFB2B2B2"/>
      </bottom>
    </border>
    <border>
      <left/>
      <right/>
      <top style="thin">
        <color theme="4"/>
      </top>
      <bottom style="double">
        <color theme="4"/>
      </bottom>
    </border>
    <border>
      <left/>
      <right/>
      <top/>
      <bottom style="double">
        <color rgb="FFFF8001"/>
      </bottom>
    </border>
    <border>
      <left/>
      <right/>
      <top/>
      <bottom style="medium">
        <color theme="4" tint="0.49998"/>
      </bottom>
    </border>
    <border>
      <left style="double">
        <color rgb="FF3F3F3F"/>
      </left>
      <right style="double">
        <color rgb="FF3F3F3F"/>
      </right>
      <top style="double">
        <color rgb="FF3F3F3F"/>
      </top>
      <bottom style="double">
        <color rgb="FF3F3F3F"/>
      </bottom>
    </border>
  </borders>
  <cellStyleXfs>
    <xf numFmtId="307" fontId="42" fillId="0" borderId="81" xfId="0">
      <alignment vertical="center"/>
      <protection/>
    </xf>
    <xf numFmtId="307" fontId="42" fillId="46" borderId="81" xfId="0" applyNumberFormat="false" applyBorder="false" applyProtection="false">
      <alignment/>
    </xf>
    <xf numFmtId="307" fontId="43" fillId="13" borderId="81" xfId="0" applyNumberFormat="false" applyBorder="false" applyProtection="false">
      <alignment/>
    </xf>
    <xf numFmtId="307" fontId="44" fillId="22" borderId="81" xfId="0" applyNumberFormat="false" applyFill="false" applyBorder="false" applyProtection="false">
      <alignment/>
    </xf>
    <xf numFmtId="307" fontId="43" fillId="47" borderId="81" xfId="0" applyNumberFormat="false" applyBorder="false" applyProtection="false">
      <alignment/>
    </xf>
    <xf numFmtId="307" fontId="45" fillId="22" borderId="81" xfId="0" applyNumberFormat="false" applyFill="false" applyBorder="false" applyProtection="false">
      <alignment/>
    </xf>
    <xf numFmtId="307" fontId="46" fillId="22" borderId="82" xfId="0" applyNumberFormat="false" applyFill="false" applyProtection="false">
      <alignment/>
    </xf>
    <xf numFmtId="307" fontId="43" fillId="48" borderId="81" xfId="0" applyNumberFormat="false" applyBorder="false" applyProtection="false">
      <alignment/>
    </xf>
    <xf numFmtId="307" fontId="42" fillId="49" borderId="81" xfId="0" applyNumberFormat="false" applyBorder="false" applyProtection="false">
      <alignment/>
    </xf>
    <xf numFmtId="307" fontId="47" fillId="50" borderId="83" xfId="0" applyNumberFormat="false" applyProtection="false">
      <alignment/>
    </xf>
    <xf numFmtId="307" fontId="43" fillId="51" borderId="81" xfId="0" applyNumberFormat="false" applyBorder="false" applyProtection="false">
      <alignment/>
    </xf>
    <xf numFmtId="308" fontId="48" fillId="22" borderId="81" xfId="0" applyFont="false" applyFill="false" applyBorder="false" applyAlignment="false" applyProtection="false"/>
    <xf numFmtId="307" fontId="42" fillId="52" borderId="81" xfId="0" applyNumberFormat="false" applyBorder="false" applyProtection="false">
      <alignment/>
    </xf>
    <xf numFmtId="309" fontId="48" fillId="22" borderId="81" xfId="0" applyFont="false" applyFill="false" applyBorder="false" applyAlignment="false" applyProtection="false"/>
    <xf numFmtId="307" fontId="42" fillId="53" borderId="81" xfId="0" applyNumberFormat="false" applyBorder="false" applyProtection="false">
      <alignment/>
    </xf>
    <xf numFmtId="310" fontId="48" fillId="22" borderId="81" xfId="0" applyFont="false" applyFill="false" applyBorder="false" applyAlignment="false" applyProtection="false"/>
    <xf numFmtId="307" fontId="42" fillId="54" borderId="81" xfId="0" applyNumberFormat="false" applyBorder="false" applyProtection="false">
      <alignment/>
    </xf>
    <xf numFmtId="307" fontId="49" fillId="50" borderId="84" xfId="0" applyNumberFormat="false" applyProtection="false">
      <alignment/>
    </xf>
    <xf numFmtId="307" fontId="42" fillId="55" borderId="81" xfId="0" applyNumberFormat="false" applyBorder="false" applyProtection="false">
      <alignment/>
    </xf>
    <xf numFmtId="307" fontId="42" fillId="56" borderId="85" xfId="0" applyNumberFormat="false" applyFont="false" applyProtection="false">
      <alignment/>
    </xf>
    <xf numFmtId="307" fontId="50" fillId="22" borderId="81" xfId="0" applyNumberFormat="false" applyFill="false" applyBorder="false" applyProtection="false">
      <alignment/>
    </xf>
    <xf numFmtId="307" fontId="43" fillId="57" borderId="81" xfId="0" applyNumberFormat="false" applyBorder="false" applyProtection="false">
      <alignment/>
    </xf>
    <xf numFmtId="307" fontId="51" fillId="22" borderId="86" xfId="0" applyNumberFormat="false" applyFill="false" applyProtection="false">
      <alignment/>
    </xf>
    <xf numFmtId="307" fontId="43" fillId="58" borderId="81" xfId="0" applyNumberFormat="false" applyBorder="false" applyProtection="false">
      <alignment/>
    </xf>
    <xf numFmtId="307" fontId="26" fillId="22" borderId="81" xfId="0" applyNumberFormat="false" applyFill="false" applyBorder="false" applyProtection="false">
      <alignment/>
    </xf>
    <xf numFmtId="307" fontId="52" fillId="22" borderId="81" xfId="0" applyNumberFormat="false" applyFill="false" applyBorder="false" applyProtection="false">
      <alignment/>
    </xf>
    <xf numFmtId="307" fontId="53" fillId="59" borderId="81" xfId="0" applyNumberFormat="false" applyBorder="false" applyProtection="false">
      <alignment/>
    </xf>
    <xf numFmtId="307" fontId="54" fillId="22" borderId="87" xfId="0" applyNumberFormat="false" applyFill="false" applyProtection="false">
      <alignment/>
    </xf>
    <xf numFmtId="311" fontId="48" fillId="22" borderId="81" xfId="0" applyFont="false" applyFill="false" applyBorder="false" applyAlignment="false" applyProtection="false"/>
    <xf numFmtId="307" fontId="43" fillId="60" borderId="81" xfId="0" applyNumberFormat="false" applyBorder="false" applyProtection="false">
      <alignment/>
    </xf>
    <xf numFmtId="307" fontId="55" fillId="61" borderId="81" xfId="0" applyNumberFormat="false" applyBorder="false" applyProtection="false">
      <alignment/>
    </xf>
    <xf numFmtId="307" fontId="43" fillId="62" borderId="81" xfId="0" applyNumberFormat="false" applyBorder="false" applyProtection="false">
      <alignment/>
    </xf>
    <xf numFmtId="307" fontId="56" fillId="22" borderId="81" xfId="0" applyNumberFormat="false" applyFill="false" applyBorder="false" applyProtection="false">
      <alignment/>
    </xf>
    <xf numFmtId="307" fontId="42" fillId="63" borderId="81" xfId="0" applyNumberFormat="false" applyBorder="false" applyProtection="false">
      <alignment/>
    </xf>
    <xf numFmtId="307" fontId="44" fillId="22" borderId="88" xfId="0" applyNumberFormat="false" applyFill="false" applyProtection="false">
      <alignment/>
    </xf>
    <xf numFmtId="307" fontId="42" fillId="64" borderId="81" xfId="0" applyNumberFormat="false" applyBorder="false" applyProtection="false">
      <alignment/>
    </xf>
    <xf numFmtId="307" fontId="43" fillId="65" borderId="81" xfId="0" applyNumberFormat="false" applyBorder="false" applyProtection="false">
      <alignment/>
    </xf>
    <xf numFmtId="307" fontId="57" fillId="66" borderId="81" xfId="0" applyNumberFormat="false" applyBorder="false" applyProtection="false">
      <alignment/>
    </xf>
    <xf numFmtId="307" fontId="43" fillId="67" borderId="81" xfId="0" applyNumberFormat="false" applyBorder="false" applyProtection="false">
      <alignment/>
    </xf>
    <xf numFmtId="307" fontId="42" fillId="68" borderId="81" xfId="0" applyNumberFormat="false" applyBorder="false" applyProtection="false">
      <alignment/>
    </xf>
    <xf numFmtId="307" fontId="42" fillId="69" borderId="81" xfId="0" applyNumberFormat="false" applyBorder="false" applyProtection="false">
      <alignment/>
    </xf>
    <xf numFmtId="307" fontId="58" fillId="22" borderId="82" xfId="0" applyNumberFormat="false" applyFill="false" applyProtection="false">
      <alignment/>
    </xf>
    <xf numFmtId="307" fontId="42" fillId="70" borderId="81" xfId="0" applyNumberFormat="false" applyBorder="false" applyProtection="false">
      <alignment/>
    </xf>
    <xf numFmtId="307" fontId="59" fillId="71" borderId="84" xfId="0" applyNumberFormat="false" applyProtection="false">
      <alignment/>
    </xf>
    <xf numFmtId="312" fontId="48" fillId="22" borderId="81" xfId="0" applyFont="false" applyFill="false" applyBorder="false" applyAlignment="false" applyProtection="false"/>
    <xf numFmtId="307" fontId="43" fillId="72" borderId="81" xfId="0" applyNumberFormat="false" applyBorder="false" applyProtection="false">
      <alignment/>
    </xf>
    <xf numFmtId="307" fontId="60" fillId="73" borderId="89" xfId="0" applyNumberFormat="false" applyProtection="false">
      <alignment/>
    </xf>
    <xf numFmtId="307" fontId="42" fillId="74" borderId="81" xfId="0" applyNumberFormat="false" applyBorder="false" applyProtection="false">
      <alignment/>
    </xf>
    <xf numFmtId="307" fontId="43" fillId="75" borderId="81" xfId="0" applyNumberFormat="false" applyBorder="false" applyProtection="false">
      <alignment/>
    </xf>
  </cellStyleXfs>
  <cellXfs count="39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7" fontId="3" fillId="2" borderId="1" xfId="0" applyFont="true" applyFill="true" applyBorder="true" applyAlignment="true">
      <alignment horizontal="center" vertical="center" wrapText="true"/>
      <protection/>
    </xf>
    <xf numFmtId="300" fontId="3" fillId="2" borderId="2" xfId="0" applyNumberFormat="true" applyFont="true" applyFill="true" applyBorder="true" applyAlignment="true">
      <alignment horizontal="center" vertical="center" wrapText="true"/>
      <protection/>
    </xf>
    <xf numFmtId="300" fontId="3" fillId="2" borderId="3" xfId="0" applyNumberFormat="true" applyFont="true" applyFill="true" applyBorder="true" applyAlignment="true">
      <alignment horizontal="center" vertical="center" wrapText="true"/>
      <protection/>
    </xf>
    <xf numFmtId="307" fontId="3" fillId="3" borderId="1" xfId="0" applyFont="true" applyFill="true" applyBorder="true" applyAlignment="true">
      <alignment horizontal="center" vertical="center" wrapText="true"/>
      <protection/>
    </xf>
    <xf numFmtId="307" fontId="3" fillId="3" borderId="4" xfId="0" applyFont="true" applyFill="true" applyBorder="true" applyAlignment="true">
      <alignment horizontal="center" vertical="center" wrapText="true"/>
      <protection/>
    </xf>
    <xf numFmtId="307" fontId="3" fillId="3" borderId="81" xfId="0" applyFont="true" applyFill="true" applyAlignment="true">
      <alignment horizontal="center" vertical="center" wrapText="true"/>
      <protection/>
    </xf>
    <xf numFmtId="307" fontId="4" fillId="4" borderId="5" xfId="0" applyFont="true" applyFill="true" applyBorder="true" applyAlignment="true">
      <alignment horizontal="center" vertical="center"/>
      <protection/>
    </xf>
    <xf numFmtId="300" fontId="4" fillId="4" borderId="6" xfId="0" applyNumberFormat="true" applyFont="true" applyFill="true" applyBorder="true" applyAlignment="true">
      <alignment horizontal="center" vertical="center"/>
      <protection/>
    </xf>
    <xf numFmtId="300" fontId="4" fillId="4" borderId="7" xfId="0" applyNumberFormat="true" applyFont="true" applyFill="true" applyBorder="true" applyAlignment="true">
      <alignment horizontal="center" vertical="center"/>
      <protection/>
    </xf>
    <xf numFmtId="307" fontId="42" fillId="0" borderId="1" xfId="0" applyBorder="true" applyAlignment="true">
      <alignment horizontal="left" vertical="center"/>
      <protection/>
    </xf>
    <xf numFmtId="307" fontId="42" fillId="0" borderId="8" xfId="0" applyBorder="true" applyAlignment="true">
      <alignment horizontal="left" vertical="center"/>
      <protection/>
    </xf>
    <xf numFmtId="307" fontId="42" fillId="0" borderId="8" xfId="0" applyBorder="true" applyAlignment="true">
      <alignment horizontal="left" vertical="center" wrapText="true"/>
      <protection/>
    </xf>
    <xf numFmtId="307" fontId="42" fillId="0" borderId="1" xfId="0" applyBorder="true" applyAlignment="true">
      <alignment horizontal="left" vertical="center" wrapText="true"/>
      <protection/>
    </xf>
    <xf numFmtId="307" fontId="42" fillId="0" borderId="1" xfId="0" applyBorder="true">
      <alignment vertical="center"/>
      <protection/>
    </xf>
    <xf numFmtId="307" fontId="4" fillId="5" borderId="5" xfId="0" applyFont="true" applyFill="true" applyBorder="true" applyAlignment="true">
      <alignment horizontal="center" vertical="center"/>
      <protection/>
    </xf>
    <xf numFmtId="49" fontId="4" fillId="5" borderId="5" xfId="0" applyNumberFormat="true" applyFont="true" applyFill="true" applyBorder="true" applyAlignment="true">
      <alignment horizontal="center" vertical="center"/>
      <protection/>
    </xf>
    <xf numFmtId="300" fontId="4" fillId="5" borderId="5" xfId="0" applyNumberFormat="true" applyFont="true" applyFill="true" applyBorder="true" applyAlignment="true">
      <alignment horizontal="center" vertical="center"/>
      <protection/>
    </xf>
    <xf numFmtId="300" fontId="5" fillId="5" borderId="7" xfId="0" applyNumberFormat="true" applyFont="true" applyFill="true" applyBorder="true" applyAlignment="true">
      <alignment horizontal="center" vertical="center"/>
      <protection/>
    </xf>
    <xf numFmtId="307" fontId="42" fillId="0" borderId="81" xfId="0" applyAlignment="true">
      <alignment horizontal="left" vertical="center"/>
      <protection/>
    </xf>
    <xf numFmtId="307" fontId="42" fillId="0" borderId="81" xfId="0" applyAlignment="true">
      <alignment vertical="center" wrapText="true"/>
      <protection/>
    </xf>
    <xf numFmtId="307" fontId="42" fillId="0" borderId="81" xfId="0" applyAlignment="true">
      <alignment vertical="top" wrapText="true"/>
      <protection/>
    </xf>
    <xf numFmtId="307" fontId="42" fillId="0" borderId="81" xfId="0" applyAlignment="true">
      <alignment horizontal="left" vertical="center" wrapText="true"/>
      <protection/>
    </xf>
    <xf numFmtId="307" fontId="5" fillId="6" borderId="5" xfId="0" applyFont="true" applyFill="true" applyBorder="true" applyAlignment="true">
      <alignment horizontal="center" vertical="center"/>
      <protection/>
    </xf>
    <xf numFmtId="49" fontId="5" fillId="6" borderId="5" xfId="0" applyNumberFormat="true" applyFont="true" applyFill="true" applyBorder="true" applyAlignment="true">
      <alignment horizontal="center" vertical="center"/>
      <protection/>
    </xf>
    <xf numFmtId="300" fontId="5" fillId="6" borderId="5" xfId="0" applyNumberFormat="true" applyFont="true" applyFill="true" applyBorder="true" applyAlignment="true">
      <alignment horizontal="center" vertical="center"/>
      <protection/>
    </xf>
    <xf numFmtId="307" fontId="5" fillId="7" borderId="5" xfId="0" applyFont="true" applyFill="true" applyBorder="true" applyAlignment="true">
      <alignment horizontal="center" vertical="center"/>
      <protection/>
    </xf>
    <xf numFmtId="300" fontId="5" fillId="7" borderId="5" xfId="0" applyNumberFormat="true" applyFont="true" applyFill="true" applyBorder="true" applyAlignment="true">
      <alignment horizontal="center" vertical="center"/>
      <protection/>
    </xf>
    <xf numFmtId="300" fontId="5" fillId="7" borderId="7" xfId="0">
      <alignment horizontal="center" vertical="center"/>
    </xf>
    <xf numFmtId="300" fontId="6" fillId="7" borderId="7" xfId="0" applyNumberFormat="true" applyFont="true" applyFill="true" applyBorder="true" applyAlignment="true">
      <alignment horizontal="left" vertical="center"/>
      <protection/>
    </xf>
    <xf numFmtId="0" fontId="7" fillId="0" borderId="1" xfId="0" applyNumberFormat="true" applyFont="true" applyBorder="true" applyAlignment="true">
      <alignment horizontal="left" vertical="center"/>
      <protection/>
    </xf>
    <xf numFmtId="0" fontId="8" fillId="8" borderId="9" xfId="0">
      <alignment horizontal="center" vertical="center" textRotation="0"/>
    </xf>
    <xf numFmtId="0" fontId="8" fillId="9" borderId="10" xfId="0">
      <alignment horizontal="center" vertical="center" textRotation="0"/>
    </xf>
    <xf numFmtId="0" fontId="8" fillId="8" borderId="10" xfId="0">
      <alignment horizontal="center" vertical="center" textRotation="0"/>
    </xf>
    <xf numFmtId="0" fontId="8" fillId="0" borderId="10" xfId="0">
      <alignment horizontal="center" vertical="center" textRotation="0"/>
    </xf>
    <xf numFmtId="0" fontId="8" fillId="0" borderId="11" xfId="0">
      <alignment horizontal="center" vertical="center" textRotation="0"/>
    </xf>
    <xf fontId="8" fillId="0" borderId="12" xfId="0">
      <alignment horizontal="center" vertical="center" textRotation="0"/>
    </xf>
    <xf fontId="8" fillId="0" borderId="10" xfId="0">
      <alignment horizontal="center" vertical="center" textRotation="0"/>
    </xf>
    <xf fontId="8" fillId="0" borderId="10" xfId="0">
      <alignment horizontal="left" vertical="center" textRotation="0" wrapText="true"/>
    </xf>
    <xf numFmtId="0" fontId="8" fillId="0" borderId="10" xfId="0">
      <alignment vertical="center" textRotation="0" wrapText="true"/>
    </xf>
    <xf fontId="0" fillId="0" borderId="13" xfId="0">
      <alignment vertical="center"/>
    </xf>
    <xf fontId="9" fillId="0" borderId="12" xfId="0">
      <alignment horizontal="center" vertical="center" textRotation="0"/>
    </xf>
    <xf fontId="9" fillId="0" borderId="10" xfId="0">
      <alignment horizontal="left" vertical="center" textRotation="0" wrapText="true"/>
    </xf>
    <xf numFmtId="0" fontId="8" fillId="0" borderId="14" xfId="0">
      <alignment horizontal="center" vertical="center" textRotation="0"/>
    </xf>
    <xf fontId="8" fillId="0" borderId="15" xfId="0">
      <alignment horizontal="center" vertical="center" textRotation="0" wrapText="true"/>
    </xf>
    <xf fontId="10" fillId="0" borderId="15" xfId="0">
      <alignment horizontal="center" vertical="center" textRotation="0"/>
    </xf>
    <xf fontId="10" fillId="0" borderId="10" xfId="0">
      <alignment horizontal="left" vertical="center" textRotation="0" wrapText="true"/>
    </xf>
    <xf fontId="8" fillId="0" borderId="10" xfId="0">
      <alignment horizontal="center" vertical="center" textRotation="0" wrapText="true"/>
    </xf>
    <xf fontId="9" fillId="0" borderId="10" xfId="0">
      <alignment horizontal="center" vertical="center" textRotation="0"/>
    </xf>
    <xf fontId="8" fillId="0" borderId="9" xfId="0">
      <alignment horizontal="left" vertical="center" textRotation="0" wrapText="true"/>
    </xf>
    <xf numFmtId="307" fontId="11" fillId="0" borderId="1" xfId="0" applyFont="true" applyBorder="true" applyAlignment="true" applyProtection="true">
      <alignment horizontal="center" vertical="center"/>
      <protection/>
    </xf>
    <xf numFmtId="49" fontId="11" fillId="0" borderId="1" xfId="0" applyNumberFormat="true" applyFont="true" applyBorder="true" applyAlignment="true" applyProtection="true">
      <alignment horizontal="center" vertical="center"/>
      <protection/>
    </xf>
    <xf numFmtId="307" fontId="12" fillId="0" borderId="1" xfId="0" applyFont="true" applyBorder="true" applyAlignment="true">
      <alignment horizontal="center" vertical="center" wrapText="true"/>
      <protection/>
    </xf>
    <xf numFmtId="301" fontId="11" fillId="0" borderId="1" xfId="0" applyNumberFormat="true" applyFont="true" applyBorder="true" applyAlignment="true">
      <alignment horizontal="center" vertical="center"/>
      <protection/>
    </xf>
    <xf numFmtId="302" fontId="11" fillId="0" borderId="1" xfId="0" applyNumberFormat="true" applyFont="true" applyBorder="true" applyAlignment="true" applyProtection="true">
      <alignment horizontal="center" vertical="center"/>
      <protection/>
    </xf>
    <xf numFmtId="49" fontId="13" fillId="0" borderId="1" xfId="0" applyNumberFormat="true" applyFont="true" applyBorder="true" applyAlignment="true" applyProtection="true">
      <alignment horizontal="left" vertical="top" wrapText="true"/>
      <protection/>
    </xf>
    <xf numFmtId="307" fontId="14" fillId="0" borderId="1" xfId="0" applyFont="true" applyBorder="true" applyAlignment="true">
      <alignment horizontal="center" vertical="center" wrapText="true"/>
      <protection/>
    </xf>
    <xf numFmtId="303" fontId="12" fillId="0" borderId="1" xfId="0" applyNumberFormat="true" applyFont="true" applyBorder="true" applyAlignment="true">
      <alignment horizontal="center" vertical="center" wrapText="true"/>
      <protection/>
    </xf>
    <xf numFmtId="49" fontId="13" fillId="0" borderId="1" xfId="0" applyNumberFormat="true" applyFont="true" applyBorder="true" applyAlignment="true" applyProtection="true">
      <alignment horizontal="center" vertical="center" wrapText="true"/>
      <protection/>
    </xf>
    <xf numFmtId="49" fontId="15" fillId="0" borderId="1" xfId="0" applyNumberFormat="true" applyFont="true" applyBorder="true" applyAlignment="true" applyProtection="true">
      <alignment horizontal="center" vertical="center" wrapText="true"/>
      <protection/>
    </xf>
    <xf numFmtId="49" fontId="15" fillId="10" borderId="1" xfId="0" applyNumberFormat="true" applyFont="true" applyFill="true" applyBorder="true" applyAlignment="true" applyProtection="true">
      <alignment horizontal="center" vertical="center" wrapText="true"/>
      <protection/>
    </xf>
    <xf numFmtId="307" fontId="16" fillId="0" borderId="81" xfId="0" applyFont="true">
      <alignment vertical="center"/>
      <protection/>
    </xf>
    <xf numFmtId="307" fontId="11" fillId="0" borderId="1" xfId="0" applyFont="true" applyBorder="true" applyAlignment="true">
      <alignment horizontal="center" vertical="center"/>
      <protection/>
    </xf>
    <xf numFmtId="307" fontId="11" fillId="0" borderId="1" xfId="0" applyFont="true" applyBorder="true" applyAlignment="true">
      <alignment horizontal="center" vertical="center" wrapText="true"/>
      <protection/>
    </xf>
    <xf numFmtId="49" fontId="13" fillId="10" borderId="1" xfId="0" applyNumberFormat="true" applyFont="true" applyFill="true" applyBorder="true" applyAlignment="true" applyProtection="true">
      <alignment horizontal="center" vertical="center" wrapText="true"/>
      <protection/>
    </xf>
    <xf numFmtId="307" fontId="16" fillId="0" borderId="16" xfId="0" applyFont="true" applyBorder="true">
      <alignment vertical="center"/>
      <protection/>
    </xf>
    <xf numFmtId="307" fontId="17" fillId="0" borderId="81" xfId="0" applyFont="true" applyAlignment="true">
      <alignment vertical="center" wrapText="true"/>
      <protection/>
    </xf>
    <xf numFmtId="307" fontId="42" fillId="0" borderId="81" xfId="0">
      <alignment vertical="center"/>
      <protection/>
    </xf>
    <xf numFmtId="304" fontId="12" fillId="0" borderId="1" xfId="0" applyNumberFormat="true" applyFont="true" applyBorder="true" applyAlignment="true">
      <alignment horizontal="center" vertical="center" wrapText="true"/>
      <protection/>
    </xf>
    <xf numFmtId="307" fontId="13" fillId="0" borderId="1" xfId="0" applyFont="true" applyBorder="true" applyAlignment="true" applyProtection="true">
      <alignment horizontal="center" vertical="center" wrapText="true"/>
      <protection/>
    </xf>
    <xf numFmtId="0" fontId="18" fillId="11" borderId="12" xfId="0">
      <alignment horizontal="center" vertical="center" textRotation="0" wrapText="true"/>
    </xf>
    <xf numFmtId="0" fontId="18" fillId="12" borderId="12" xfId="0">
      <alignment horizontal="center" vertical="center" textRotation="0" wrapText="true"/>
    </xf>
    <xf numFmtId="0" fontId="18" fillId="12" borderId="12" xfId="0">
      <alignment vertical="center" textRotation="0" wrapText="true"/>
    </xf>
    <xf numFmtId="0" fontId="18" fillId="12" borderId="10" xfId="0">
      <alignment horizontal="center" vertical="center" textRotation="0" wrapText="true"/>
    </xf>
    <xf fontId="19" fillId="0" borderId="0" xfId="0">
      <alignment vertical="center" textRotation="0"/>
    </xf>
    <xf fontId="0" fillId="0" borderId="10" xfId="0">
      <alignment horizontal="center" vertical="center"/>
    </xf>
    <xf fontId="0" fillId="0" borderId="10" xfId="0">
      <alignment vertical="center" wrapText="true"/>
    </xf>
    <xf fontId="0" fillId="0" borderId="10" xfId="0">
      <alignment vertical="center"/>
    </xf>
    <xf fontId="20" fillId="0" borderId="10" xfId="0">
      <alignment horizontal="center" vertical="center"/>
    </xf>
    <xf fontId="21" fillId="0" borderId="10" xfId="0">
      <alignment vertical="center" wrapText="true"/>
    </xf>
    <xf numFmtId="14" fontId="8" fillId="0" borderId="10" xfId="0">
      <alignment horizontal="left" vertical="center" textRotation="0" wrapText="true"/>
    </xf>
    <xf numFmtId="14" fontId="10" fillId="0" borderId="10" xfId="0">
      <alignment horizontal="left" vertical="center" textRotation="0" wrapText="true"/>
    </xf>
    <xf fontId="19" fillId="0" borderId="10" xfId="0">
      <alignment vertical="center" textRotation="0" wrapText="true"/>
    </xf>
    <xf numFmtId="0" fontId="8" fillId="0" borderId="9" xfId="0">
      <alignment vertical="center" textRotation="0" wrapText="true"/>
    </xf>
    <xf fontId="19" fillId="0" borderId="10" xfId="0">
      <alignment horizontal="center" vertical="center" textRotation="0"/>
    </xf>
    <xf fontId="19" fillId="0" borderId="17" xfId="0">
      <alignment vertical="center" textRotation="0"/>
    </xf>
    <xf fontId="19" fillId="0" borderId="0" xfId="0">
      <alignment horizontal="center" vertical="center" textRotation="0"/>
    </xf>
    <xf numFmtId="307" fontId="3" fillId="13" borderId="4" xfId="0" applyFont="true" applyFill="true" applyBorder="true" applyAlignment="true">
      <alignment horizontal="center" vertical="center" wrapText="true"/>
      <protection/>
    </xf>
    <xf numFmtId="307" fontId="3" fillId="13" borderId="81" xfId="0" applyFont="true" applyFill="true" applyAlignment="true">
      <alignment horizontal="center" vertical="center" wrapText="true"/>
      <protection/>
    </xf>
    <xf numFmtId="307" fontId="42" fillId="14" borderId="1" xfId="0" applyFill="true" applyBorder="true" applyAlignment="true">
      <alignment horizontal="left" vertical="center"/>
      <protection/>
    </xf>
    <xf numFmtId="307" fontId="42" fillId="0" borderId="2" xfId="0" applyBorder="true" applyAlignment="true">
      <alignment horizontal="left" vertical="center" wrapText="true"/>
      <protection/>
    </xf>
    <xf numFmtId="307" fontId="42" fillId="0" borderId="18" xfId="0" applyBorder="true" applyAlignment="true">
      <alignment horizontal="left" vertical="center"/>
      <protection/>
    </xf>
    <xf numFmtId="300" fontId="4" fillId="4" borderId="5" xfId="0" applyNumberFormat="true" applyFont="true" applyFill="true" applyBorder="true" applyAlignment="true">
      <alignment horizontal="center" vertical="center"/>
      <protection/>
    </xf>
    <xf fontId="22" fillId="15" borderId="10" xfId="0">
      <alignment horizontal="center" vertical="center" textRotation="0" indent="0" justifyLastLine="false" shrinkToFit="false"/>
    </xf>
    <xf fontId="23" fillId="0" borderId="10" xfId="0">
      <alignment horizontal="center" vertical="center"/>
    </xf>
    <xf fontId="22" fillId="16" borderId="10" xfId="0">
      <alignment horizontal="center" vertical="center" textRotation="0" indent="0" justifyLastLine="false" shrinkToFit="false"/>
    </xf>
    <xf numFmtId="305" fontId="22" fillId="16" borderId="10" xfId="0">
      <alignment horizontal="center" vertical="center" textRotation="0" indent="0" justifyLastLine="false" shrinkToFit="false"/>
    </xf>
    <xf fontId="0" fillId="17" borderId="0" xfId="0">
      <alignment horizontal="center" vertical="center"/>
    </xf>
    <xf fontId="24" fillId="0" borderId="17" xfId="0">
      <alignment horizontal="center" vertical="center"/>
    </xf>
    <xf fontId="20" fillId="0" borderId="19" xfId="0">
      <alignment horizontal="center" vertical="center"/>
    </xf>
    <xf numFmtId="306" fontId="23" fillId="0" borderId="10" xfId="0">
      <alignment horizontal="center" vertical="top" wrapText="true"/>
    </xf>
    <xf fontId="23" fillId="0" borderId="10" xfId="0">
      <alignment vertical="top" wrapText="true"/>
    </xf>
    <xf fontId="0" fillId="0" borderId="0" xfId="0">
      <alignment horizontal="center" vertical="center"/>
    </xf>
    <xf fontId="24" fillId="18" borderId="17" xfId="0">
      <alignment horizontal="center" vertical="center"/>
    </xf>
    <xf fontId="20" fillId="19" borderId="19" xfId="0">
      <alignment horizontal="center" vertical="center"/>
    </xf>
    <xf fontId="24" fillId="9" borderId="17" xfId="0">
      <alignment horizontal="center" vertical="center"/>
    </xf>
    <xf fontId="20" fillId="19" borderId="20" xfId="0">
      <alignment horizontal="center" vertical="center"/>
    </xf>
    <xf fontId="24" fillId="17" borderId="17" xfId="0">
      <alignment horizontal="center" vertical="center"/>
    </xf>
    <xf fontId="20" fillId="20" borderId="19" xfId="0">
      <alignment horizontal="center" vertical="center"/>
    </xf>
    <xf numFmtId="0" fontId="24" fillId="0" borderId="17" xfId="0">
      <alignment horizontal="center" vertical="center"/>
    </xf>
    <xf numFmtId="0" fontId="0" fillId="0" borderId="0" xfId="0">
      <alignment horizontal="center" vertical="center" textRotation="0" indent="0" justifyLastLine="false" shrinkToFit="false"/>
    </xf>
    <xf fontId="22" fillId="15" borderId="21" xfId="0">
      <alignment horizontal="center" vertical="center"/>
    </xf>
    <xf fontId="0" fillId="0" borderId="22" xfId="0">
      <alignment vertical="center"/>
    </xf>
    <xf fontId="0" fillId="0" borderId="23" xfId="0">
      <alignment vertical="center"/>
    </xf>
    <xf fontId="8" fillId="0" borderId="0" xfId="0">
      <alignment horizontal="center" vertical="center"/>
    </xf>
    <xf fontId="22" fillId="16" borderId="24" xfId="0">
      <alignment horizontal="center" vertical="center"/>
    </xf>
    <xf fontId="0" fillId="0" borderId="25" xfId="0">
      <alignment vertical="center"/>
    </xf>
    <xf fontId="0" fillId="0" borderId="20" xfId="0">
      <alignment horizontal="center" vertical="center"/>
    </xf>
    <xf numFmtId="305" fontId="22" fillId="16" borderId="26" xfId="0">
      <alignment horizontal="center" vertical="center" textRotation="0" indent="0" justifyLastLine="false" shrinkToFit="false"/>
    </xf>
    <xf fontId="0" fillId="0" borderId="21" xfId="0">
      <alignment vertical="center"/>
    </xf>
    <xf numFmtId="10" fontId="0" fillId="0" borderId="12" xfId="0">
      <alignment horizontal="center" vertical="center"/>
    </xf>
    <xf fontId="0" fillId="0" borderId="9" xfId="0">
      <alignment horizontal="center" vertical="center"/>
    </xf>
    <xf fontId="0" fillId="0" borderId="27" xfId="0">
      <alignment vertical="center"/>
    </xf>
    <xf fontId="0" fillId="0" borderId="28" xfId="0">
      <alignment vertical="center"/>
    </xf>
    <xf fontId="0" fillId="0" borderId="10" xfId="0">
      <alignment horizontal="center" vertical="center" wrapText="true"/>
    </xf>
    <xf numFmtId="10" fontId="0" fillId="0" borderId="10" xfId="0">
      <alignment horizontal="center" vertical="center"/>
    </xf>
    <xf fontId="0" fillId="0" borderId="12" xfId="0">
      <alignment horizontal="center" vertical="center"/>
    </xf>
    <xf fontId="0" fillId="0" borderId="12" xfId="0">
      <alignment vertical="center"/>
    </xf>
    <xf fontId="0" fillId="0" borderId="29" xfId="0">
      <alignment vertical="center"/>
    </xf>
    <xf fontId="0" fillId="0" borderId="11" xfId="0">
      <alignment horizontal="center" vertical="center"/>
    </xf>
    <xf fontId="0" fillId="0" borderId="29" xfId="0">
      <alignment horizontal="center" vertical="center"/>
    </xf>
    <xf fontId="0" fillId="0" borderId="30" xfId="0">
      <alignment vertical="center"/>
    </xf>
    <xf fontId="0" fillId="0" borderId="31" xfId="0">
      <alignment horizontal="center" vertical="center"/>
    </xf>
    <xf fontId="0" fillId="0" borderId="32" xfId="0">
      <alignment horizontal="center" vertical="center"/>
    </xf>
    <xf fontId="0" fillId="0" borderId="32" xfId="0">
      <alignment vertical="center"/>
    </xf>
    <xf fontId="0" fillId="0" borderId="33" xfId="0">
      <alignment vertical="center"/>
    </xf>
    <xf fontId="0" fillId="0" borderId="34" xfId="0">
      <alignment horizontal="center" vertical="center"/>
    </xf>
    <xf fontId="8" fillId="0" borderId="0" xfId="0">
      <alignment vertical="center"/>
    </xf>
    <xf fontId="8" fillId="0" borderId="0" xfId="0">
      <alignment vertical="center"/>
    </xf>
    <xf numFmtId="300" fontId="3" fillId="21" borderId="10" xfId="0" applyNumberFormat="true" applyFont="true" applyFill="true" applyBorder="true" applyAlignment="true">
      <alignment horizontal="center" vertical="center" wrapText="true"/>
      <protection/>
    </xf>
    <xf numFmtId="300" fontId="25" fillId="21" borderId="20" xfId="0" applyNumberFormat="true" applyFont="true" applyFill="true" applyBorder="true" applyAlignment="true">
      <alignment horizontal="center" vertical="center" wrapText="true"/>
      <protection/>
    </xf>
    <xf numFmtId="307" fontId="3" fillId="14" borderId="35" xfId="0" applyFont="true" applyFill="true" applyBorder="true" applyAlignment="true">
      <alignment horizontal="center" vertical="center" wrapText="true"/>
      <protection/>
    </xf>
    <xf numFmtId="307" fontId="3" fillId="3" borderId="36" xfId="0" applyFont="true" applyFill="true" applyBorder="true" applyAlignment="true">
      <alignment horizontal="center" vertical="center" wrapText="true"/>
      <protection/>
    </xf>
    <xf numFmtId="307" fontId="3" fillId="3" borderId="37" xfId="0" applyFont="true" applyFill="true" applyBorder="true" applyAlignment="true">
      <alignment horizontal="center" vertical="center" wrapText="true"/>
      <protection/>
    </xf>
    <xf numFmtId="307" fontId="3" fillId="3" borderId="2" xfId="0" applyFont="true" applyFill="true" applyBorder="true" applyAlignment="true">
      <alignment horizontal="center" vertical="center" wrapText="true"/>
      <protection/>
    </xf>
    <xf numFmtId="307" fontId="3" fillId="3" borderId="38" xfId="0" applyFont="true" applyFill="true" applyBorder="true" applyAlignment="true">
      <alignment horizontal="center" vertical="center" wrapText="true"/>
      <protection/>
    </xf>
    <xf numFmtId="0" fontId="25" fillId="3" borderId="81" xfId="0" applyNumberFormat="true" applyFont="true" applyFill="true" applyAlignment="true">
      <alignment horizontal="center" vertical="center" wrapText="true"/>
      <protection/>
    </xf>
    <xf numFmtId="0" fontId="3" fillId="3" borderId="1" xfId="0" applyNumberFormat="true" applyFont="true" applyFill="true" applyBorder="true" applyAlignment="true">
      <alignment horizontal="center" vertical="center" wrapText="true"/>
      <protection/>
    </xf>
    <xf numFmtId="0" fontId="25" fillId="3" borderId="0" xfId="0">
      <alignment horizontal="center" vertical="center" wrapText="true"/>
    </xf>
    <xf numFmtId="307" fontId="4" fillId="4" borderId="39" xfId="0" applyFont="true" applyFill="true" applyBorder="true" applyAlignment="true">
      <alignment horizontal="center" vertical="center"/>
      <protection/>
    </xf>
    <xf numFmtId="307" fontId="26" fillId="0" borderId="35" xfId="0" applyFont="true" applyBorder="true" applyAlignment="true">
      <alignment horizontal="left" vertical="center"/>
      <protection/>
    </xf>
    <xf numFmtId="307" fontId="42" fillId="0" borderId="35" xfId="0" applyBorder="true" applyAlignment="true">
      <alignment horizontal="left" vertical="center" wrapText="true"/>
      <protection/>
    </xf>
    <xf numFmtId="307" fontId="42" fillId="0" borderId="35" xfId="0" applyBorder="true" applyAlignment="true">
      <alignment horizontal="center" vertical="center"/>
      <protection/>
    </xf>
    <xf numFmtId="307" fontId="42" fillId="0" borderId="35" xfId="0" applyBorder="true" applyAlignment="true">
      <alignment horizontal="left" vertical="center"/>
      <protection/>
    </xf>
    <xf numFmtId="307" fontId="42" fillId="0" borderId="36" xfId="0" applyBorder="true" applyAlignment="true">
      <alignment horizontal="center" vertical="center"/>
      <protection/>
    </xf>
    <xf numFmtId="307" fontId="42" fillId="0" borderId="1" xfId="0" applyBorder="true" applyAlignment="true">
      <alignment horizontal="center" vertical="center"/>
      <protection/>
    </xf>
    <xf numFmtId="307" fontId="42" fillId="0" borderId="37" xfId="0" applyBorder="true" applyAlignment="true">
      <alignment horizontal="center" vertical="center"/>
      <protection/>
    </xf>
    <xf numFmtId="9" fontId="26" fillId="0" borderId="37" xfId="0" applyNumberFormat="true" applyFont="true" applyBorder="true" applyAlignment="true">
      <alignment horizontal="center" vertical="center"/>
      <protection/>
    </xf>
    <xf numFmtId="307" fontId="42" fillId="0" borderId="2" xfId="0" applyBorder="true" applyAlignment="true">
      <alignment horizontal="center" vertical="center"/>
      <protection/>
    </xf>
    <xf numFmtId="0" fontId="42" fillId="22" borderId="1" xfId="0" applyNumberFormat="true" applyFill="true" applyBorder="true" applyAlignment="true">
      <alignment horizontal="center" vertical="center"/>
      <protection/>
    </xf>
    <xf numFmtId="307" fontId="42" fillId="0" borderId="10" xfId="0" applyBorder="true" applyAlignment="true">
      <alignment horizontal="center" vertical="center"/>
      <protection/>
    </xf>
    <xf numFmtId="307" fontId="42" fillId="0" borderId="21" xfId="0" applyBorder="true" applyAlignment="true">
      <alignment horizontal="center" vertical="center"/>
      <protection/>
    </xf>
    <xf numFmtId="0" fontId="42" fillId="0" borderId="10" xfId="0" applyNumberFormat="true" applyBorder="true" applyAlignment="true">
      <alignment horizontal="center" vertical="center"/>
      <protection/>
    </xf>
    <xf numFmtId="9" fontId="26" fillId="0" borderId="3" xfId="0" applyNumberFormat="true" applyFont="true" applyBorder="true" applyAlignment="true">
      <alignment horizontal="center" vertical="center"/>
      <protection/>
    </xf>
    <xf numFmtId="304" fontId="4" fillId="4" borderId="5" xfId="0" applyNumberFormat="true" applyFont="true" applyFill="true" applyBorder="true" applyAlignment="true">
      <alignment horizontal="center" vertical="center"/>
      <protection/>
    </xf>
    <xf numFmtId="0" fontId="4" fillId="4" borderId="5" xfId="0" applyNumberFormat="true" applyFont="true" applyFill="true" applyBorder="true" applyAlignment="true">
      <alignment horizontal="center" vertical="center"/>
      <protection/>
    </xf>
    <xf numFmtId="307" fontId="42" fillId="23" borderId="35" xfId="0" applyFill="true" applyBorder="true" applyAlignment="true">
      <alignment horizontal="left" vertical="center"/>
      <protection/>
    </xf>
    <xf numFmtId="307" fontId="27" fillId="0" borderId="35" xfId="0" applyFont="true" applyBorder="true" applyAlignment="true">
      <alignment horizontal="left" vertical="center"/>
      <protection/>
    </xf>
    <xf numFmtId="9" fontId="42" fillId="0" borderId="37" xfId="0" applyNumberFormat="true" applyBorder="true" applyAlignment="true">
      <alignment horizontal="center" vertical="center"/>
      <protection/>
    </xf>
    <xf numFmtId="307" fontId="26" fillId="0" borderId="37" xfId="0" applyFont="true" applyBorder="true" applyAlignment="true">
      <alignment horizontal="center" vertical="center"/>
      <protection/>
    </xf>
    <xf numFmtId="307" fontId="26" fillId="0" borderId="2" xfId="0" applyFont="true" applyBorder="true" applyAlignment="true">
      <alignment horizontal="center" vertical="center"/>
      <protection/>
    </xf>
    <xf numFmtId="304" fontId="4" fillId="4" borderId="5" xfId="0">
      <alignment horizontal="center" vertical="center"/>
    </xf>
    <xf numFmtId="300" fontId="4" fillId="5" borderId="6" xfId="0" applyNumberFormat="true" applyFont="true" applyFill="true" applyBorder="true" applyAlignment="true">
      <alignment horizontal="center" vertical="center"/>
      <protection/>
    </xf>
    <xf numFmtId="0" fontId="4" fillId="5" borderId="5" xfId="0" applyNumberFormat="true" applyFont="true" applyFill="true" applyBorder="true" applyAlignment="true">
      <alignment horizontal="center" vertical="center"/>
      <protection/>
    </xf>
    <xf numFmtId="307" fontId="42" fillId="0" borderId="81" xfId="0" applyAlignment="true">
      <alignment horizontal="center" vertical="center"/>
      <protection/>
    </xf>
    <xf numFmtId="9" fontId="27" fillId="0" borderId="37" xfId="0" applyNumberFormat="true" applyFont="true" applyBorder="true" applyAlignment="true">
      <alignment horizontal="center" vertical="center"/>
      <protection/>
    </xf>
    <xf numFmtId="300" fontId="4" fillId="5" borderId="40" xfId="0" applyNumberFormat="true" applyFont="true" applyFill="true" applyBorder="true" applyAlignment="true">
      <alignment horizontal="center" vertical="center"/>
      <protection/>
    </xf>
    <xf numFmtId="9" fontId="26" fillId="0" borderId="3" xfId="0">
      <alignment horizontal="center" vertical="center"/>
    </xf>
    <xf numFmtId="307" fontId="42" fillId="4" borderId="1" xfId="0" applyFill="true" applyBorder="true">
      <alignment vertical="center"/>
      <protection/>
    </xf>
    <xf numFmtId="307" fontId="4" fillId="4" borderId="1" xfId="0" applyFont="true" applyFill="true" applyBorder="true" applyAlignment="true">
      <alignment horizontal="center" vertical="center"/>
      <protection/>
    </xf>
    <xf numFmtId="307" fontId="42" fillId="4" borderId="2" xfId="0" applyFill="true" applyBorder="true">
      <alignment vertical="center"/>
      <protection/>
    </xf>
    <xf numFmtId="307" fontId="42" fillId="4" borderId="41" xfId="0" applyFill="true" applyBorder="true">
      <alignment vertical="center"/>
      <protection/>
    </xf>
    <xf numFmtId="307" fontId="42" fillId="4" borderId="42" xfId="0" applyFill="true" applyBorder="true">
      <alignment vertical="center"/>
      <protection/>
    </xf>
    <xf numFmtId="307" fontId="42" fillId="0" borderId="43" xfId="0" applyBorder="true" applyAlignment="true">
      <alignment horizontal="center" vertical="center"/>
      <protection/>
    </xf>
    <xf numFmtId="307" fontId="42" fillId="0" borderId="44" xfId="0" applyBorder="true" applyAlignment="true">
      <alignment horizontal="center" vertical="center"/>
      <protection/>
    </xf>
    <xf numFmtId="0" fontId="42" fillId="22" borderId="81" xfId="0" applyNumberFormat="true" applyFill="true" applyAlignment="true">
      <alignment horizontal="center" vertical="center"/>
      <protection/>
    </xf>
    <xf fontId="28" fillId="24" borderId="32" xfId="0">
      <alignment horizontal="center" vertical="center" textRotation="0" indent="0" justifyLastLine="false" shrinkToFit="false"/>
    </xf>
    <xf fontId="28" fillId="24" borderId="32" xfId="0">
      <alignment vertical="center" textRotation="0" indent="0" justifyLastLine="false" shrinkToFit="false"/>
    </xf>
    <xf fontId="29" fillId="0" borderId="0" xfId="0">
      <alignment vertical="center"/>
    </xf>
    <xf fontId="28" fillId="0" borderId="26" xfId="0">
      <alignment horizontal="center" vertical="center" textRotation="0" wrapText="true" indent="0" justifyLastLine="false" shrinkToFit="false"/>
    </xf>
    <xf fontId="28" fillId="0" borderId="10" xfId="0">
      <alignment horizontal="center" vertical="center" textRotation="0" wrapText="true" indent="0" justifyLastLine="false" shrinkToFit="false"/>
    </xf>
    <xf fontId="30" fillId="0" borderId="10" xfId="0">
      <alignment vertical="center" textRotation="0" wrapText="true" indent="0" justifyLastLine="false" shrinkToFit="false"/>
    </xf>
    <xf fontId="28" fillId="0" borderId="10" xfId="0">
      <alignment vertical="center" textRotation="0" wrapText="true" indent="0" justifyLastLine="false" shrinkToFit="false"/>
    </xf>
    <xf fontId="22" fillId="0" borderId="10" xfId="0">
      <alignment vertical="center" wrapText="true"/>
    </xf>
    <xf fontId="0" fillId="0" borderId="26" xfId="0">
      <alignment vertical="center"/>
    </xf>
    <xf fontId="22" fillId="0" borderId="32" xfId="0">
      <alignment vertical="center" wrapText="true"/>
    </xf>
    <xf fontId="28" fillId="0" borderId="12" xfId="0">
      <alignment horizontal="center" vertical="center" textRotation="0" wrapText="true" indent="0" justifyLastLine="false" shrinkToFit="false"/>
    </xf>
    <xf fontId="22" fillId="0" borderId="12" xfId="0">
      <alignment vertical="center" wrapText="true"/>
    </xf>
    <xf fontId="28" fillId="0" borderId="32" xfId="0">
      <alignment horizontal="center" vertical="center" textRotation="0" wrapText="true" indent="0" justifyLastLine="false" shrinkToFit="false"/>
    </xf>
    <xf fontId="30" fillId="0" borderId="10" xfId="0">
      <alignment vertical="center" wrapText="true"/>
    </xf>
    <xf fontId="31" fillId="0" borderId="0" xfId="0">
      <alignment vertical="center" textRotation="0" wrapText="true" indent="0" justifyLastLine="false" shrinkToFit="false"/>
    </xf>
    <xf fontId="0" fillId="25" borderId="0" xfId="0">
      <alignment vertical="center"/>
    </xf>
    <xf fontId="0" fillId="26" borderId="0" xfId="0">
      <alignment horizontal="center" vertical="center"/>
    </xf>
    <xf fontId="32" fillId="0" borderId="10" xfId="0">
      <alignment vertical="center"/>
    </xf>
    <xf fontId="33" fillId="0" borderId="10" xfId="0">
      <alignment vertical="center" wrapText="true"/>
    </xf>
    <xf fontId="33" fillId="0" borderId="0" xfId="0">
      <alignment vertical="center" wrapText="true"/>
    </xf>
    <xf fontId="34" fillId="0" borderId="0" xfId="0">
      <alignment vertical="center" wrapText="true"/>
    </xf>
    <xf fontId="34" fillId="0" borderId="10" xfId="0">
      <alignment vertical="center" wrapText="true"/>
    </xf>
    <xf fontId="0" fillId="27" borderId="21" xfId="0">
      <alignment horizontal="center" vertical="center"/>
    </xf>
    <xf fontId="0" fillId="0" borderId="45" xfId="0">
      <alignment vertical="center"/>
    </xf>
    <xf fontId="0" fillId="27" borderId="46" xfId="0">
      <alignment horizontal="center" vertical="center"/>
    </xf>
    <xf fontId="0" fillId="28" borderId="21" xfId="0">
      <alignment horizontal="center" vertical="center"/>
    </xf>
    <xf fontId="0" fillId="27" borderId="0" xfId="0">
      <alignment horizontal="center" vertical="center"/>
    </xf>
    <xf fontId="0" fillId="18" borderId="12" xfId="0">
      <alignment horizontal="center" vertical="center"/>
    </xf>
    <xf fontId="0" fillId="18" borderId="12" xfId="0">
      <alignment vertical="center"/>
    </xf>
    <xf fontId="0" fillId="18" borderId="29" xfId="0">
      <alignment vertical="center"/>
    </xf>
    <xf fontId="0" fillId="18" borderId="29" xfId="0">
      <alignment horizontal="center" vertical="center"/>
    </xf>
    <xf fontId="0" fillId="19" borderId="12" xfId="0">
      <alignment horizontal="center" vertical="center"/>
    </xf>
    <xf fontId="0" fillId="18" borderId="0" xfId="0">
      <alignment horizontal="center" vertical="center"/>
    </xf>
    <xf numFmtId="0" fontId="5" fillId="29" borderId="40" xfId="0" applyNumberFormat="true" applyFont="true" applyFill="true" applyBorder="true" applyAlignment="true">
      <alignment horizontal="center" vertical="center"/>
      <protection/>
    </xf>
    <xf fontId="0" fillId="30" borderId="0" xfId="0">
      <alignment vertical="center"/>
    </xf>
    <xf fontId="5" fillId="31" borderId="40" xfId="0">
      <alignment horizontal="center" vertical="center"/>
    </xf>
    <xf fontId="0" fillId="32" borderId="0" xfId="0">
      <alignment vertical="center"/>
    </xf>
    <xf numFmtId="0" fontId="5" fillId="33" borderId="40" xfId="0" applyNumberFormat="true" applyFont="true" applyFill="true" applyBorder="true" applyAlignment="true">
      <alignment horizontal="center" vertical="center"/>
      <protection/>
    </xf>
    <xf fontId="0" fillId="34" borderId="0" xfId="0">
      <alignment vertical="center"/>
    </xf>
    <xf numFmtId="0" fontId="5" fillId="35" borderId="47" xfId="0">
      <alignment horizontal="center" vertical="center"/>
    </xf>
    <xf fontId="0" fillId="32" borderId="48" xfId="0">
      <alignment vertical="center"/>
    </xf>
    <xf numFmtId="0" fontId="5" fillId="36" borderId="10" xfId="0">
      <alignment horizontal="center" vertical="center"/>
    </xf>
    <xf numFmtId="0" fontId="5" fillId="36" borderId="12" xfId="0">
      <alignment horizontal="center" vertical="center"/>
    </xf>
    <xf fontId="35" fillId="0" borderId="10" xfId="0">
      <alignment vertical="center" wrapText="true"/>
    </xf>
    <xf fontId="0" fillId="0" borderId="0" xfId="0">
      <alignment vertical="center" wrapText="true"/>
    </xf>
    <xf fontId="33" fillId="0" borderId="12" xfId="0">
      <alignment horizontal="center" vertical="center" wrapText="true"/>
    </xf>
    <xf fontId="20" fillId="0" borderId="0" xfId="0">
      <alignment vertical="center" wrapText="true"/>
    </xf>
    <xf numFmtId="300" fontId="3" fillId="2" borderId="1" xfId="0" applyNumberFormat="true" applyFont="true" applyFill="true" applyBorder="true" applyAlignment="true">
      <alignment horizontal="center" vertical="center" wrapText="true"/>
      <protection/>
    </xf>
    <xf numFmtId="307" fontId="4" fillId="0" borderId="5" xfId="0" applyFont="true" applyBorder="true" applyAlignment="true">
      <alignment horizontal="center" vertical="center"/>
      <protection/>
    </xf>
    <xf numFmtId="300" fontId="4" fillId="0" borderId="5" xfId="0" applyNumberFormat="true" applyFont="true" applyBorder="true" applyAlignment="true">
      <alignment horizontal="center" vertical="center"/>
      <protection/>
    </xf>
    <xf numFmtId="0" fontId="8" fillId="37" borderId="49" xfId="0">
      <alignment horizontal="center" vertical="center" textRotation="0"/>
    </xf>
    <xf fontId="20" fillId="9" borderId="49" xfId="0">
      <alignment vertical="center"/>
    </xf>
    <xf numFmtId="0" fontId="8" fillId="38" borderId="50" xfId="0">
      <alignment horizontal="center" vertical="center" textRotation="0"/>
    </xf>
    <xf fontId="20" fillId="0" borderId="49" xfId="0">
      <alignment vertical="center"/>
    </xf>
    <xf numFmtId="0" fontId="8" fillId="39" borderId="10" xfId="0">
      <alignment horizontal="center" vertical="center" textRotation="0"/>
    </xf>
    <xf fontId="20" fillId="0" borderId="10" xfId="0">
      <alignment vertical="center"/>
    </xf>
    <xf fontId="20" fillId="9" borderId="10" xfId="0">
      <alignment vertical="center"/>
    </xf>
    <xf fontId="20" fillId="8" borderId="10" xfId="0">
      <alignment vertical="center"/>
    </xf>
    <xf fontId="36" fillId="8" borderId="17" xfId="0">
      <alignment vertical="center" textRotation="0"/>
    </xf>
    <xf fontId="36" fillId="0" borderId="0" xfId="0">
      <alignment vertical="center" textRotation="0"/>
    </xf>
    <xf fontId="36" fillId="9" borderId="0" xfId="0">
      <alignment vertical="center" textRotation="0"/>
    </xf>
    <xf numFmtId="0" fontId="8" fillId="37" borderId="15" xfId="0">
      <alignment horizontal="center" vertical="center" textRotation="0"/>
    </xf>
    <xf numFmtId="0" fontId="8" fillId="37" borderId="51" xfId="0">
      <alignment horizontal="center" vertical="center" textRotation="0"/>
    </xf>
    <xf numFmtId="0" fontId="8" fillId="37" borderId="10" xfId="0">
      <alignment horizontal="center" vertical="center" textRotation="0"/>
    </xf>
    <xf numFmtId="0" fontId="8" fillId="37" borderId="21" xfId="0">
      <alignment horizontal="center" vertical="center" textRotation="0"/>
    </xf>
    <xf numFmtId="0" fontId="8" fillId="40" borderId="10" xfId="0">
      <alignment horizontal="center" vertical="center" textRotation="0"/>
    </xf>
    <xf numFmtId="0" fontId="8" fillId="0" borderId="29" xfId="0">
      <alignment horizontal="left" vertical="center" textRotation="0" wrapText="true"/>
    </xf>
    <xf fontId="0" fillId="0" borderId="52" xfId="0">
      <alignment vertical="center"/>
    </xf>
    <xf fontId="0" fillId="0" borderId="53" xfId="0">
      <alignment vertical="center"/>
    </xf>
    <xf numFmtId="0" fontId="8" fillId="37" borderId="12" xfId="0">
      <alignment horizontal="center" vertical="center" textRotation="0"/>
    </xf>
    <xf fontId="8" fillId="37" borderId="12" xfId="0">
      <alignment horizontal="center" vertical="center" textRotation="0"/>
    </xf>
    <xf fontId="8" fillId="37" borderId="51" xfId="0">
      <alignment horizontal="center" vertical="center" textRotation="0" wrapText="true"/>
    </xf>
    <xf fontId="8" fillId="37" borderId="54" xfId="0">
      <alignment horizontal="center" vertical="center" textRotation="0"/>
    </xf>
    <xf fontId="8" fillId="37" borderId="10" xfId="0">
      <alignment horizontal="center" vertical="center" textRotation="0"/>
    </xf>
    <xf fontId="8" fillId="37" borderId="55" xfId="0">
      <alignment horizontal="center" vertical="center" textRotation="0"/>
    </xf>
    <xf fontId="37" fillId="39" borderId="10" xfId="0">
      <alignment horizontal="center" vertical="top" textRotation="0" wrapText="true"/>
    </xf>
    <xf fontId="37" fillId="39" borderId="12" xfId="0">
      <alignment horizontal="center" vertical="top" textRotation="0" wrapText="true"/>
    </xf>
    <xf fontId="37" fillId="40" borderId="10" xfId="0">
      <alignment horizontal="center" vertical="top" textRotation="0" wrapText="true"/>
    </xf>
    <xf fontId="0" fillId="0" borderId="56" xfId="0">
      <alignment vertical="center"/>
    </xf>
    <xf fontId="0" fillId="0" borderId="57" xfId="0">
      <alignment vertical="center"/>
    </xf>
    <xf fontId="0" fillId="0" borderId="58" xfId="0">
      <alignment vertical="center"/>
    </xf>
    <xf fontId="8" fillId="0" borderId="0" xfId="0">
      <alignment horizontal="center" vertical="center" textRotation="0"/>
    </xf>
    <xf fontId="8" fillId="38" borderId="12" xfId="0">
      <alignment horizontal="center" vertical="center"/>
    </xf>
    <xf fontId="0" fillId="0" borderId="59" xfId="0">
      <alignment vertical="center"/>
    </xf>
    <xf fontId="37" fillId="40" borderId="12" xfId="0">
      <alignment horizontal="center" vertical="top" textRotation="0" wrapText="true"/>
    </xf>
    <xf numFmtId="0" fontId="8" fillId="0" borderId="24" xfId="0">
      <alignment horizontal="left" vertical="center" textRotation="0" wrapText="true"/>
    </xf>
    <xf numFmtId="0" fontId="8" fillId="0" borderId="0" xfId="0">
      <alignment horizontal="left" vertical="center" textRotation="0" wrapText="true"/>
    </xf>
    <xf numFmtId="0" fontId="8" fillId="0" borderId="60" xfId="0">
      <alignment horizontal="left" vertical="center" textRotation="0" wrapText="true"/>
    </xf>
    <xf fontId="8" fillId="38" borderId="51" xfId="0">
      <alignment horizontal="center" vertical="center"/>
    </xf>
    <xf fontId="8" fillId="40" borderId="10" xfId="0">
      <alignment horizontal="center" vertical="center" textRotation="0"/>
    </xf>
    <xf fontId="8" fillId="37" borderId="61" xfId="0">
      <alignment horizontal="center" vertical="center" textRotation="0"/>
    </xf>
    <xf fontId="0" fillId="0" borderId="62" xfId="0">
      <alignment vertical="center"/>
    </xf>
    <xf fontId="0" fillId="0" borderId="63" xfId="0">
      <alignment vertical="center"/>
    </xf>
    <xf fontId="0" fillId="0" borderId="64" xfId="0">
      <alignment vertical="center"/>
    </xf>
    <xf fontId="0" fillId="0" borderId="65" xfId="0">
      <alignment vertical="center"/>
    </xf>
    <xf fontId="0" fillId="0" borderId="66" xfId="0">
      <alignment vertical="center"/>
    </xf>
    <xf fontId="8" fillId="37" borderId="67" xfId="0">
      <alignment horizontal="center" vertical="center" textRotation="0"/>
    </xf>
    <xf fontId="0" fillId="0" borderId="68" xfId="0">
      <alignment vertical="center"/>
    </xf>
    <xf numFmtId="0" fontId="8" fillId="0" borderId="33" xfId="0">
      <alignment horizontal="left" vertical="center" textRotation="0" wrapText="true"/>
    </xf>
    <xf numFmtId="0" fontId="8" fillId="0" borderId="69" xfId="0">
      <alignment horizontal="left" vertical="center" textRotation="0" wrapText="true"/>
    </xf>
    <xf numFmtId="0" fontId="8" fillId="0" borderId="34" xfId="0">
      <alignment horizontal="left" vertical="center" textRotation="0" wrapText="true"/>
    </xf>
    <xf numFmtId="0" fontId="8" fillId="37" borderId="9" xfId="0">
      <alignment horizontal="center" vertical="center" textRotation="0"/>
    </xf>
    <xf numFmtId="0" fontId="8" fillId="38" borderId="10" xfId="0">
      <alignment horizontal="center" vertical="center" textRotation="0" wrapText="true"/>
    </xf>
    <xf numFmtId="0" fontId="8" fillId="37" borderId="11" xfId="0">
      <alignment horizontal="center" vertical="center" textRotation="0"/>
    </xf>
    <xf numFmtId="0" fontId="37" fillId="39" borderId="10" xfId="0">
      <alignment horizontal="center" vertical="top" textRotation="0" wrapText="true"/>
    </xf>
    <xf fontId="38" fillId="0" borderId="10" xfId="0">
      <alignment vertical="center" textRotation="0"/>
    </xf>
    <xf fontId="20" fillId="9" borderId="9" xfId="0">
      <alignment vertical="center"/>
    </xf>
    <xf numFmtId="0" fontId="8" fillId="38" borderId="10" xfId="0">
      <alignment vertical="center" wrapText="true"/>
    </xf>
    <xf numFmtId="0" fontId="8" fillId="38" borderId="9" xfId="0">
      <alignment horizontal="center" vertical="center"/>
    </xf>
    <xf fontId="8" fillId="40" borderId="32" xfId="0">
      <alignment horizontal="center" vertical="center" textRotation="0"/>
    </xf>
    <xf fontId="38" fillId="0" borderId="32" xfId="0">
      <alignment vertical="center" textRotation="0"/>
    </xf>
    <xf fontId="8" fillId="37" borderId="32" xfId="0">
      <alignment horizontal="center" vertical="center" textRotation="0"/>
    </xf>
    <xf fontId="0" fillId="0" borderId="70" xfId="0">
      <alignment vertical="center"/>
    </xf>
    <xf numFmtId="0" fontId="8" fillId="38" borderId="26" xfId="0">
      <alignment horizontal="center" vertical="center" textRotation="0"/>
    </xf>
    <xf numFmtId="0" fontId="8" fillId="38" borderId="32" xfId="0">
      <alignment horizontal="center" vertical="center" textRotation="0"/>
    </xf>
    <xf numFmtId="0" fontId="8" fillId="37" borderId="32" xfId="0">
      <alignment horizontal="center" vertical="center" textRotation="0"/>
    </xf>
    <xf numFmtId="0" fontId="8" fillId="38" borderId="10" xfId="0">
      <alignment horizontal="center" vertical="center" textRotation="0"/>
    </xf>
    <xf numFmtId="0" fontId="37" fillId="39" borderId="9" xfId="0">
      <alignment horizontal="center" vertical="top" textRotation="0" wrapText="true"/>
    </xf>
    <xf numFmtId="0" fontId="37" fillId="41" borderId="26" xfId="0">
      <alignment horizontal="center" vertical="top" textRotation="0" wrapText="true"/>
    </xf>
    <xf numFmtId="0" fontId="37" fillId="39" borderId="32" xfId="0">
      <alignment horizontal="center" vertical="top" textRotation="0" wrapText="true"/>
    </xf>
    <xf numFmtId="0" fontId="8" fillId="40" borderId="32" xfId="0">
      <alignment horizontal="center" vertical="center" textRotation="0"/>
    </xf>
    <xf numFmtId="0" fontId="8" fillId="37" borderId="24" xfId="0">
      <alignment horizontal="center" vertical="center" textRotation="0"/>
    </xf>
    <xf numFmtId="0" fontId="8" fillId="37" borderId="26" xfId="0">
      <alignment horizontal="center" vertical="center" textRotation="0"/>
    </xf>
    <xf numFmtId="0" fontId="37" fillId="39" borderId="12" xfId="0">
      <alignment horizontal="center" vertical="top" textRotation="0" wrapText="true"/>
    </xf>
    <xf fontId="0" fillId="0" borderId="71" xfId="0">
      <alignment vertical="center"/>
    </xf>
    <xf fontId="37" fillId="39" borderId="32" xfId="0">
      <alignment horizontal="center" vertical="top" textRotation="0" wrapText="true"/>
    </xf>
    <xf numFmtId="0" fontId="8" fillId="38" borderId="12" xfId="0">
      <alignment vertical="center"/>
    </xf>
    <xf numFmtId="0" fontId="37" fillId="39" borderId="11" xfId="0">
      <alignment horizontal="center" vertical="top" textRotation="0" wrapText="true"/>
    </xf>
    <xf fontId="37" fillId="39" borderId="26" xfId="0">
      <alignment horizontal="center" vertical="top" textRotation="0" wrapText="true"/>
    </xf>
    <xf fontId="0" fillId="0" borderId="72" xfId="0">
      <alignment vertical="center"/>
    </xf>
    <xf numFmtId="0" fontId="8" fillId="38" borderId="10" xfId="0">
      <alignment vertical="center"/>
    </xf>
    <xf numFmtId="0" fontId="8" fillId="38" borderId="10" xfId="0">
      <alignment horizontal="center" vertical="center"/>
    </xf>
    <xf fontId="8" fillId="37" borderId="11" xfId="0">
      <alignment horizontal="center" vertical="center" textRotation="0"/>
    </xf>
    <xf fontId="8" fillId="37" borderId="21" xfId="0">
      <alignment horizontal="center" vertical="center" textRotation="0"/>
    </xf>
    <xf fontId="37" fillId="39" borderId="9" xfId="0">
      <alignment horizontal="center" vertical="top" textRotation="0" wrapText="true"/>
    </xf>
    <xf numFmtId="0" fontId="8" fillId="38" borderId="26" xfId="0">
      <alignment horizontal="center" vertical="center"/>
    </xf>
    <xf numFmtId="0" fontId="8" fillId="38" borderId="32" xfId="0">
      <alignment horizontal="center" vertical="center"/>
    </xf>
    <xf numFmtId="0" fontId="8" fillId="37" borderId="46" xfId="0">
      <alignment horizontal="center" vertical="center" textRotation="0"/>
    </xf>
    <xf fontId="36" fillId="0" borderId="0" xfId="0">
      <alignment vertical="center" textRotation="0"/>
    </xf>
    <xf fontId="8" fillId="39" borderId="10" xfId="0">
      <alignment horizontal="center" vertical="center" textRotation="0"/>
    </xf>
    <xf numFmtId="49" fontId="39" fillId="42" borderId="10" xfId="0">
      <alignment horizontal="center" vertical="center" textRotation="0" wrapText="true"/>
    </xf>
    <xf fontId="8" fillId="0" borderId="17" xfId="0">
      <alignment horizontal="center" vertical="center" textRotation="0"/>
    </xf>
    <xf fontId="36" fillId="0" borderId="17" xfId="0">
      <alignment vertical="center" textRotation="0"/>
    </xf>
    <xf numFmtId="0" fontId="29" fillId="0" borderId="10" xfId="0">
      <alignment horizontal="center" vertical="center" textRotation="0"/>
    </xf>
    <xf numFmtId="0" fontId="38" fillId="0" borderId="10" xfId="0">
      <alignment vertical="center" textRotation="0"/>
    </xf>
    <xf fontId="29" fillId="0" borderId="10" xfId="0">
      <alignment horizontal="center" vertical="center" textRotation="0"/>
    </xf>
    <xf numFmtId="0" fontId="38" fillId="0" borderId="10" xfId="0">
      <alignment horizontal="center" vertical="center" textRotation="0"/>
    </xf>
    <xf numFmtId="0" fontId="38" fillId="0" borderId="49" xfId="0">
      <alignment horizontal="center" vertical="center" textRotation="0"/>
    </xf>
    <xf numFmtId="0" fontId="38" fillId="9" borderId="10" xfId="0">
      <alignment horizontal="center" vertical="center" textRotation="0"/>
    </xf>
    <xf fontId="8" fillId="0" borderId="19" xfId="0">
      <alignment horizontal="center" vertical="center" textRotation="0"/>
    </xf>
    <xf fontId="8" fillId="0" borderId="20" xfId="0">
      <alignment horizontal="center" vertical="center" textRotation="0"/>
    </xf>
    <xf fontId="38" fillId="0" borderId="10" xfId="0">
      <alignment horizontal="center" vertical="center" textRotation="0"/>
    </xf>
    <xf fontId="20" fillId="0" borderId="17" xfId="0">
      <alignment horizontal="center" vertical="center"/>
    </xf>
    <xf numFmtId="0" fontId="38" fillId="0" borderId="21" xfId="0">
      <alignment horizontal="center" vertical="center" textRotation="0"/>
    </xf>
    <xf fontId="29" fillId="9" borderId="10" xfId="0">
      <alignment horizontal="center" vertical="center" textRotation="0"/>
    </xf>
    <xf fontId="29" fillId="0" borderId="73" xfId="0">
      <alignment horizontal="center" vertical="center" textRotation="0"/>
    </xf>
    <xf numFmtId="0" fontId="38" fillId="0" borderId="10" xfId="0">
      <alignment horizontal="left" vertical="center" textRotation="0"/>
    </xf>
    <xf fontId="8" fillId="0" borderId="74" xfId="0">
      <alignment horizontal="center" vertical="center" textRotation="0"/>
    </xf>
    <xf fontId="8" fillId="0" borderId="75" xfId="0">
      <alignment horizontal="center" vertical="center" textRotation="0"/>
    </xf>
    <xf fontId="36" fillId="0" borderId="74" xfId="0">
      <alignment vertical="center" textRotation="0"/>
    </xf>
    <xf fontId="36" fillId="0" borderId="76" xfId="0">
      <alignment vertical="center" textRotation="0"/>
    </xf>
    <xf fontId="36" fillId="8" borderId="77" xfId="0">
      <alignment vertical="center" textRotation="0"/>
    </xf>
    <xf fontId="36" fillId="0" borderId="77" xfId="0">
      <alignment vertical="center" textRotation="0"/>
    </xf>
    <xf fontId="36" fillId="0" borderId="78" xfId="0">
      <alignment vertical="center" textRotation="0"/>
    </xf>
    <xf fontId="0" fillId="25" borderId="0" xfId="0">
      <alignment/>
    </xf>
    <xf fontId="0" fillId="25" borderId="0" xfId="0">
      <alignment horizontal="center"/>
    </xf>
    <xf fontId="32" fillId="0" borderId="10" xfId="0">
      <alignment/>
    </xf>
    <xf fontId="32" fillId="0" borderId="10" xfId="0">
      <alignment wrapText="true"/>
    </xf>
    <xf fontId="32" fillId="0" borderId="33" xfId="0">
      <alignment/>
    </xf>
    <xf fontId="32" fillId="0" borderId="32" xfId="0">
      <alignment/>
    </xf>
    <xf fontId="32" fillId="0" borderId="21" xfId="0">
      <alignment/>
    </xf>
    <xf fontId="32" fillId="0" borderId="21" xfId="0">
      <alignment wrapText="true"/>
    </xf>
    <xf fontId="34" fillId="0" borderId="10" xfId="0">
      <alignment vertical="center"/>
    </xf>
    <xf fontId="32" fillId="0" borderId="46" xfId="0">
      <alignment/>
    </xf>
    <xf fontId="32" fillId="0" borderId="12" xfId="0">
      <alignment vertical="center"/>
    </xf>
    <xf fontId="32" fillId="0" borderId="67" xfId="0">
      <alignment/>
    </xf>
    <xf fontId="32" fillId="0" borderId="0" xfId="0">
      <alignment horizontal="center" vertical="center"/>
    </xf>
    <xf fontId="33" fillId="0" borderId="0" xfId="0">
      <alignment horizontal="left" vertical="center" wrapText="true"/>
    </xf>
    <xf numFmtId="0" fontId="33" fillId="0" borderId="20" xfId="0">
      <alignment vertical="center" wrapText="true"/>
    </xf>
    <xf fontId="0" fillId="0" borderId="79" xfId="0">
      <alignment vertical="center"/>
    </xf>
    <xf numFmtId="307" fontId="42" fillId="0" borderId="81" xfId="0" applyAlignment="true">
      <alignment horizontal="left" vertical="top" wrapText="true"/>
      <protection/>
    </xf>
    <xf numFmtId="307" fontId="42" fillId="0" borderId="81" xfId="0" applyAlignment="true">
      <alignment horizontal="left" vertical="top"/>
      <protection/>
    </xf>
    <xf numFmtId="307" fontId="42" fillId="3" borderId="81" xfId="0" applyFill="true" applyAlignment="true">
      <alignment horizontal="center" vertical="center"/>
      <protection/>
    </xf>
    <xf numFmtId="307" fontId="42" fillId="8" borderId="81" xfId="0" applyFill="true">
      <alignment vertical="center"/>
      <protection/>
    </xf>
    <xf fontId="0" fillId="43" borderId="0" xfId="0">
      <alignment horizontal="center" vertical="center"/>
    </xf>
    <xf fontId="0" fillId="3" borderId="0" xfId="0">
      <alignment horizontal="center" vertical="center"/>
    </xf>
    <xf numFmtId="0" fontId="4" fillId="4" borderId="80" xfId="0" applyNumberFormat="true" applyFont="true" applyFill="true" applyBorder="true" applyAlignment="true">
      <alignment horizontal="center" vertical="center"/>
      <protection/>
    </xf>
    <xf numFmtId="307" fontId="4" fillId="4" borderId="5" xfId="0" applyFont="true" applyFill="true" applyBorder="true" applyAlignment="true">
      <alignment horizontal="center" vertical="center" wrapText="true"/>
      <protection/>
    </xf>
    <xf numFmtId="307" fontId="42" fillId="44" borderId="81" xfId="0" applyFill="true">
      <alignment vertical="center"/>
      <protection/>
    </xf>
    <xf numFmtId="307" fontId="42" fillId="45" borderId="81" xfId="0" applyFill="true">
      <alignment vertical="center"/>
      <protection/>
    </xf>
    <xf numFmtId="307" fontId="4" fillId="5" borderId="5" xfId="0" applyFont="true" applyFill="true" applyBorder="true" applyAlignment="true">
      <alignment horizontal="center" vertical="center" wrapText="true"/>
      <protection/>
    </xf>
    <xf numFmtId="49" fontId="4" fillId="5" borderId="5" xfId="0" applyNumberFormat="true" applyFont="true" applyFill="true" applyBorder="true" applyAlignment="true">
      <alignment horizontal="center" vertical="center" wrapText="true"/>
      <protection/>
    </xf>
    <xf numFmtId="307" fontId="4" fillId="5" borderId="81" xfId="0" applyFont="true" applyFill="true" applyAlignment="true">
      <alignment horizontal="center" vertical="center"/>
      <protection/>
    </xf>
    <xf numFmtId="307" fontId="5" fillId="6" borderId="5" xfId="0" applyFont="true" applyFill="true" applyBorder="true" applyAlignment="true">
      <alignment horizontal="center" vertical="center" wrapText="true"/>
      <protection/>
    </xf>
    <xf numFmtId="307" fontId="42" fillId="22" borderId="81" xfId="0" applyNumberFormat="true" applyFill="true" applyBorder="true" applyAlignment="true">
      <alignment vertical="center"/>
      <protection/>
    </xf>
    <xf numFmtId="307" fontId="42" fillId="22" borderId="19" xfId="0" applyNumberFormat="true" applyFill="true" applyBorder="true" applyAlignment="true">
      <alignment vertical="center"/>
      <protection/>
    </xf>
    <xf numFmtId="307" fontId="42" fillId="22" borderId="81" xfId="0" applyNumberFormat="true" applyFill="true" applyBorder="true" applyAlignment="true">
      <alignment horizontal="center" vertical="center"/>
      <protection/>
    </xf>
    <xf numFmtId="307" fontId="42" fillId="22" borderId="43" xfId="0" applyNumberFormat="true" applyFill="true" applyBorder="true" applyAlignment="true">
      <alignment horizontal="center" vertical="center"/>
      <protection/>
    </xf>
    <xf numFmtId="307" fontId="42" fillId="22" borderId="44" xfId="0" applyNumberFormat="true" applyFill="true" applyBorder="true" applyAlignment="true">
      <alignment horizontal="center" vertical="center"/>
      <protection/>
    </xf>
    <xf numFmtId="307" fontId="42" fillId="22" borderId="1" xfId="0" applyNumberFormat="true" applyFill="true" applyBorder="true" applyAlignment="true">
      <alignment vertical="center"/>
      <protection/>
    </xf>
    <xf numFmtId="307" fontId="42" fillId="22" borderId="1" xfId="0" applyNumberFormat="true" applyFill="true" applyBorder="true" applyAlignment="true">
      <alignment horizontal="center" vertical="center"/>
      <protection/>
    </xf>
    <xf numFmtId="307" fontId="40" fillId="22" borderId="81" xfId="0" applyNumberFormat="true" applyFont="true" applyFill="true" applyBorder="true" applyAlignment="true">
      <alignment vertical="center" wrapText="true"/>
      <protection/>
    </xf>
    <xf numFmtId="307" fontId="41" fillId="22" borderId="81" xfId="0" applyNumberFormat="true" applyFont="true" applyFill="true" applyBorder="true" applyAlignment="true">
      <alignment vertical="center" wrapText="true"/>
      <protection/>
    </xf>
  </cellXfs>
  <cellStyles>
    <cellStyle name="Normal" xfId="0" builtinId="0"/>
    <cellStyle name="20% - 强调文字颜色 5" xfId="1" builtinId="46"/>
    <cellStyle name="强调文字颜色 1" xfId="2" builtinId="29"/>
    <cellStyle name="标题 4" xfId="3" builtinId="19"/>
    <cellStyle name="60% - 强调文字颜色 2" xfId="4" builtinId="36"/>
    <cellStyle name="解释性文本" xfId="5" builtinId="53"/>
    <cellStyle name="标题 1" xfId="6" builtinId="16"/>
    <cellStyle name="强调文字颜色 2" xfId="7" builtinId="33"/>
    <cellStyle name="20% - 强调文字颜色 3" xfId="8" builtinId="38"/>
    <cellStyle name="输出" xfId="9" builtinId="21"/>
    <cellStyle name="60% - 强调文字颜色 1" xfId="10" builtinId="32"/>
    <cellStyle name="Percent" xfId="11" builtinId="5"/>
    <cellStyle name="20% - 强调文字颜色 4" xfId="12" builtinId="42"/>
    <cellStyle name="Currency" xfId="13" builtinId="4"/>
    <cellStyle name="20% - 强调文字颜色 6" xfId="14" builtinId="50"/>
    <cellStyle name="Comma [0]" xfId="15" builtinId="6"/>
    <cellStyle name="40% - 强调文字颜色 4" xfId="16" builtinId="43"/>
    <cellStyle name="计算" xfId="17" builtinId="22"/>
    <cellStyle name="40% - 强调文字颜色 5" xfId="18" builtinId="47"/>
    <cellStyle name="注释" xfId="19" builtinId="10"/>
    <cellStyle name="超链接" xfId="20" builtinId="8"/>
    <cellStyle name="强调文字颜色 5" xfId="21" builtinId="45"/>
    <cellStyle name="汇总" xfId="22" builtinId="25"/>
    <cellStyle name="60% - 强调文字颜色 5" xfId="23" builtinId="48"/>
    <cellStyle name="警告文本" xfId="24" builtinId="11"/>
    <cellStyle name="已访问的超链接" xfId="25" builtinId="9"/>
    <cellStyle name="好" xfId="26" builtinId="26"/>
    <cellStyle name="链接单元格" xfId="27" builtinId="24"/>
    <cellStyle name="Currency [0]" xfId="28" builtinId="7"/>
    <cellStyle name="60% - 强调文字颜色 4" xfId="29" builtinId="44"/>
    <cellStyle name="适中" xfId="30" builtinId="28"/>
    <cellStyle name="60% - 强调文字颜色 6" xfId="31" builtinId="52"/>
    <cellStyle name="标题" xfId="32" builtinId="15"/>
    <cellStyle name="40% - 强调文字颜色 2" xfId="33" builtinId="35"/>
    <cellStyle name="标题 3" xfId="34" builtinId="18"/>
    <cellStyle name="40% - 强调文字颜色 3" xfId="35" builtinId="39"/>
    <cellStyle name="强调文字颜色 6" xfId="36" builtinId="49"/>
    <cellStyle name="差" xfId="37" builtinId="27"/>
    <cellStyle name="强调文字颜色 3" xfId="38" builtinId="37"/>
    <cellStyle name="20% - 强调文字颜色 2" xfId="39" builtinId="34"/>
    <cellStyle name="40% - 强调文字颜色 6" xfId="40" builtinId="51"/>
    <cellStyle name="标题 2" xfId="41" builtinId="17"/>
    <cellStyle name="40% - 强调文字颜色 1" xfId="42" builtinId="31"/>
    <cellStyle name="输入" xfId="43" builtinId="20"/>
    <cellStyle name="Comma" xfId="44" builtinId="3"/>
    <cellStyle name="60% - 强调文字颜色 3" xfId="45" builtinId="40"/>
    <cellStyle name="检查单元格" xfId="46" builtinId="23"/>
    <cellStyle name="20% - 强调文字颜色 1" xfId="47" builtinId="30"/>
    <cellStyle name="强调文字颜色 4" xfId="48" builtinId="41"/>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5.xml" /><Relationship Id="rId6" Type="http://schemas.openxmlformats.org/officeDocument/2006/relationships/worksheet" Target="worksheets/sheet3.xml" /><Relationship Id="rId4" Type="http://schemas.openxmlformats.org/officeDocument/2006/relationships/worksheet" Target="worksheets/sheet1.xml" /><Relationship Id="rId3" Type="http://schemas.microsoft.com/office/2017/10/relationships/person" Target="persons/person.xml" /><Relationship Id="rId13" Type="http://schemas.openxmlformats.org/officeDocument/2006/relationships/worksheet" Target="worksheets/sheet10.xml" /><Relationship Id="rId22" Type="http://schemas.openxmlformats.org/officeDocument/2006/relationships/worksheet" Target="worksheets/sheet19.xml" /><Relationship Id="rId5" Type="http://schemas.openxmlformats.org/officeDocument/2006/relationships/worksheet" Target="worksheets/sheet2.xml" /><Relationship Id="rId11" Type="http://schemas.openxmlformats.org/officeDocument/2006/relationships/worksheet" Target="worksheets/sheet8.xml" /><Relationship Id="rId10" Type="http://schemas.openxmlformats.org/officeDocument/2006/relationships/worksheet" Target="worksheets/sheet7.xml" /><Relationship Id="rId12" Type="http://schemas.openxmlformats.org/officeDocument/2006/relationships/worksheet" Target="worksheets/sheet9.xml" /><Relationship Id="rId9" Type="http://schemas.openxmlformats.org/officeDocument/2006/relationships/worksheet" Target="worksheets/sheet6.xml" /><Relationship Id="rId20" Type="http://schemas.openxmlformats.org/officeDocument/2006/relationships/worksheet" Target="worksheets/sheet17.xml" /><Relationship Id="rId0" Type="http://schemas.openxmlformats.org/officeDocument/2006/relationships/sharedStrings" Target="sharedStrings.xml" /><Relationship Id="rId16" Type="http://schemas.openxmlformats.org/officeDocument/2006/relationships/worksheet" Target="worksheets/sheet13.xml" /><Relationship Id="rId18" Type="http://schemas.openxmlformats.org/officeDocument/2006/relationships/worksheet" Target="worksheets/sheet15.xml" /><Relationship Id="rId1" Type="http://schemas.openxmlformats.org/officeDocument/2006/relationships/theme" Target="theme/theme1.xml" /><Relationship Id="rId14" Type="http://schemas.openxmlformats.org/officeDocument/2006/relationships/worksheet" Target="worksheets/sheet11.xml" /><Relationship Id="rId15" Type="http://schemas.openxmlformats.org/officeDocument/2006/relationships/worksheet" Target="worksheets/sheet12.xml" /><Relationship Id="rId17" Type="http://schemas.openxmlformats.org/officeDocument/2006/relationships/worksheet" Target="worksheets/sheet14.xml" /><Relationship Id="rId19" Type="http://schemas.openxmlformats.org/officeDocument/2006/relationships/worksheet" Target="worksheets/sheet16.xml" /><Relationship Id="rId7" Type="http://schemas.openxmlformats.org/officeDocument/2006/relationships/worksheet" Target="worksheets/sheet4.xml" /><Relationship Id="rId2" Type="http://schemas.openxmlformats.org/officeDocument/2006/relationships/styles" Target="styles.xml" /><Relationship Id="rId21" Type="http://schemas.openxmlformats.org/officeDocument/2006/relationships/worksheet" Target="worksheets/sheet18.xml" /></Relationships>
</file>

<file path=xl/persons/person.xml><?xml version="1.0" encoding="utf-8"?>
<tc2018:personList xmlns:tc2018="http://schemas.microsoft.com/office/spreadsheetml/2018/threadedcomments" xmlns:mc="http://schemas.openxmlformats.org/markup-compatibility/2006" mc:Ignorable="tc2018">
  <tc2018:person displayName="刘涛(22026)" id="{3451CD4B-D001-4875-B022-E0DF72E29B50}"/>
</tc2018: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K27" dT="2025-11-15T07:26:22Z" personId="{3451CD4B-D001-4875-B022-E0DF72E29B50}" id="{056826BE-9CED-4163-85E3-FE1B0F721BDB}">
    <tc2018:text>职级T2</tc2018:text>
  </tc2018:threadedComment>
  <tc2018:threadedComment ref="K25" dT="2025-11-15T07:26:22Z" personId="{3451CD4B-D001-4875-B022-E0DF72E29B50}" id="{58AEAE33-66B6-4C2D-ABAE-21EF84EC614F}">
    <tc2018:text>T5</tc2018:text>
  </tc2018:threadedComment>
</tc2018:ThreadedComments>
</file>

<file path=xl/threadedComments/threadedComment2.xml><?xml version="1.0" encoding="utf-8"?>
<tc2018:ThreadedComments xmlns:tc2018="http://schemas.microsoft.com/office/spreadsheetml/2018/threadedcomments" xmlns:mc="http://schemas.openxmlformats.org/markup-compatibility/2006" mc:Ignorable="tc2018">
  <tc2018:threadedComment ref="L1" dT="2025-11-15T07:26:21Z" personId="{3451CD4B-D001-4875-B022-E0DF72E29B50}" id="{6E427C56-4A95-41FB-97C3-E40C5A247948}">
    <tc2018:text>管理2，质量8，定制精品化8，支援1，收尾3
熟悉后台1</tc2018:text>
  </tc2018:threadedComment>
</tc2018:ThreadedComments>
</file>

<file path=xl/threadedComments/threadedComment3.xml><?xml version="1.0" encoding="utf-8"?>
<tc2018:ThreadedComments xmlns:tc2018="http://schemas.microsoft.com/office/spreadsheetml/2018/threadedcomments" xmlns:mc="http://schemas.openxmlformats.org/markup-compatibility/2006" mc:Ignorable="tc2018">
  <tc2018:threadedComment ref="I29" dT="2025-11-15T07:26:17Z" personId="{3451CD4B-D001-4875-B022-E0DF72E29B50}" id="{36267EDF-BC25-412D-A316-C94BBC6DF108}">
    <tc2018:text>76238:
黄委</tc2018:text>
  </tc2018:threadedComment>
  <tc2018:threadedComment ref="O10" dT="2025-11-15T07:26:19Z" personId="{3451CD4B-D001-4875-B022-E0DF72E29B50}" id="{63400A1B-D92C-4789-839E-F73B25FF6A4C}">
    <tc2018:text>76238:
机动人力，最近投入无线MLO遗留bug</tc2018:text>
  </tc2018:threadedComment>
  <tc2018:threadedComment ref="J12" dT="2025-11-15T07:26:18Z" personId="{3451CD4B-D001-4875-B022-E0DF72E29B50}" id="{E30A5F88-86B2-42FD-B0A2-DC18EE8AA302}">
    <tc2018:text>76238:
周三方案定下开干</tc2018:text>
  </tc2018:threadedComment>
  <tc2018:threadedComment ref="I31" dT="2025-11-15T07:26:17Z" personId="{3451CD4B-D001-4875-B022-E0DF72E29B50}" id="{F000CA9B-BABD-4BDD-9230-1F8C8644F5A8}">
    <tc2018:text>76238:
国寿财</tc2018:text>
  </tc2018:threadedComment>
  <tc2018:threadedComment ref="I28" dT="2025-11-15T07:26:17Z" personId="{3451CD4B-D001-4875-B022-E0DF72E29B50}" id="{23FD6F3D-3C71-440D-9199-F1AAA4575EEE}">
    <tc2018:text>76238:
工业网关/MLO</tc2018:text>
  </tc2018:threadedComment>
  <tc2018:threadedComment ref="J5" dT="2025-11-15T07:26:23Z" personId="{3451CD4B-D001-4875-B022-E0DF72E29B50}" id="{5B835030-028D-416C-80CD-CD6981F5A48E}">
    <tc2018:text>76238:
国寿财大客户定制收尾
历史遗留问题处理？</tc2018:text>
  </tc2018:threadedComment>
  <tc2018:threadedComment ref="M36" dT="2025-11-15T07:26:17Z" personId="{3451CD4B-D001-4875-B022-E0DF72E29B50}" id="{81707667-B44D-4353-8EB3-548FC4AA039B}">
    <tc2018:text>76238:
告警优化收尾 邮箱告警 短信发送 交互设计</tc2018:text>
  </tc2018:threadedComment>
  <tc2018:threadedComment ref="O37" dT="2025-11-15T07:26:19Z" personId="{3451CD4B-D001-4875-B022-E0DF72E29B50}" id="{2080EE26-1B02-4218-B3C6-36ACF84339F8}">
    <tc2018:text>76238:
会议主机</tc2018:text>
  </tc2018:threadedComment>
  <tc2018:threadedComment ref="L36" dT="2025-11-15T07:26:19Z" personId="{3451CD4B-D001-4875-B022-E0DF72E29B50}" id="{8819EEB9-3622-411E-A9CD-40D7A5AE5660}">
    <tc2018:text>76238:
告警优化收尾 邮箱告警 短信发送 交互设计</tc2018:text>
  </tc2018:threadedComment>
  <tc2018:threadedComment ref="I37" dT="2025-11-15T07:26:17Z" personId="{3451CD4B-D001-4875-B022-E0DF72E29B50}" id="{D1609EF1-4A4E-4C55-B839-B47D2F62F87B}">
    <tc2018:text>76238:
会议主机</tc2018:text>
  </tc2018:threadedComment>
  <tc2018:threadedComment ref="I26" dT="2025-11-15T07:26:17Z" personId="{3451CD4B-D001-4875-B022-E0DF72E29B50}" id="{3BAEF612-7F84-42E5-B197-40131FB907C9}">
    <tc2018:text>76238:
豪森，预计本周</tc2018:text>
  </tc2018:threadedComment>
  <tc2018:threadedComment ref="P10" dT="2025-11-15T07:26:21Z" personId="{3451CD4B-D001-4875-B022-E0DF72E29B50}" id="{D5D77FC5-99DC-4B15-8A79-5EAE0221C9BE}">
    <tc2018:text>76238:
机动人力，最近投入无线MLO遗留bug</tc2018:text>
  </tc2018:threadedComment>
  <tc2018:threadedComment ref="I4" dT="2025-11-15T07:26:22Z" personId="{3451CD4B-D001-4875-B022-E0DF72E29B50}" id="{9629EEA8-527C-4E8F-AADA-25D2A17E7EEA}">
    <tc2018:text>76238:
肿瘤医院，钉钉鉴权</tc2018:text>
  </tc2018:threadedComment>
  <tc2018:threadedComment ref="J1" dT="2025-11-15T07:26:22Z" personId="{3451CD4B-D001-4875-B022-E0DF72E29B50}" id="{07FB15BD-742F-4CF1-9CE5-BA04D65706DE}">
    <tc2018:text>管理2，质量8，定制精品化8，支援1，收尾3
熟悉后台1</tc2018:text>
  </tc2018:threadedComment>
  <tc2018:threadedComment ref="M37" dT="2025-11-15T07:26:17Z" personId="{3451CD4B-D001-4875-B022-E0DF72E29B50}" id="{D10D1786-D727-4ABD-8871-69E9F4F7A5D1}">
    <tc2018:text>76238:
会议主机</tc2018:text>
  </tc2018:threadedComment>
  <tc2018:threadedComment ref="O17" dT="2025-11-15T07:26:17Z" personId="{3451CD4B-D001-4875-B022-E0DF72E29B50}" id="{3D902871-EA63-43CA-8C8F-50D0FD2B0119}">
    <tc2018:text>76238:
机动人力，最近投入无线MLO遗留bug</tc2018:text>
  </tc2018:threadedComment>
  <tc2018:threadedComment ref="K36" dT="2025-11-15T07:26:20Z" personId="{3451CD4B-D001-4875-B022-E0DF72E29B50}" id="{40A578A1-36D0-42A3-875E-D90634DA0EE1}">
    <tc2018:text>76238:
告警优化收尾 邮箱告警 短信发送 交互设计</tc2018:text>
  </tc2018:threadedComment>
  <tc2018:threadedComment ref="K10" dT="2025-11-15T07:26:21Z" personId="{3451CD4B-D001-4875-B022-E0DF72E29B50}" id="{471B4DD7-AB7E-4CAE-8C07-5F9DD0C05A4F}">
    <tc2018:text>76238:
机动人力，最近投入无线MLO遗留bug</tc2018:text>
  </tc2018:threadedComment>
  <tc2018:threadedComment ref="P36" dT="2025-11-15T07:26:17Z" personId="{3451CD4B-D001-4875-B022-E0DF72E29B50}" id="{96887BF0-5A47-443D-9B22-9E875FA4C245}">
    <tc2018:text>76238:
告警优化收尾 邮箱告警 短信发送 交互设计</tc2018:text>
  </tc2018:threadedComment>
  <tc2018:threadedComment ref="L10" dT="2025-11-15T07:26:20Z" personId="{3451CD4B-D001-4875-B022-E0DF72E29B50}" id="{A96D9250-D079-4504-9B16-9204A51FE104}">
    <tc2018:text>76238:
机动人力，最近投入无线MLO遗留bug</tc2018:text>
  </tc2018:threadedComment>
  <tc2018:threadedComment ref="I36" dT="2025-11-15T07:26:20Z" personId="{3451CD4B-D001-4875-B022-E0DF72E29B50}" id="{E3710597-2DFA-426C-8FC3-827A1339366D}">
    <tc2018:text>76238:
告警优化收尾 邮箱告警 短信发送 交互设计</tc2018:text>
  </tc2018:threadedComment>
  <tc2018:threadedComment ref="L37" dT="2025-11-15T07:26:17Z" personId="{3451CD4B-D001-4875-B022-E0DF72E29B50}" id="{C8669DA3-B4E0-4303-96B0-FEE5292F1549}">
    <tc2018:text>76238:
告警优化收尾 邮箱告警 短信发送 交互设计</tc2018:text>
  </tc2018:threadedComment>
  <tc2018:threadedComment ref="K16" dT="2025-11-15T07:26:23Z" personId="{3451CD4B-D001-4875-B022-E0DF72E29B50}" id="{3EC58B4A-279F-4752-976A-D92566A1B69F}">
    <tc2018:text>76238:
机动人力，最近投入无线MLO遗留bug</tc2018:text>
  </tc2018:threadedComment>
  <tc2018:threadedComment ref="J3" dT="2025-11-15T07:26:22Z" personId="{3451CD4B-D001-4875-B022-E0DF72E29B50}" id="{43E68E1A-5115-43C3-88D5-7E5D6E36F88E}">
    <tc2018:text>76238:
控制器MQTT安全
完成时间点?</tc2018:text>
  </tc2018:threadedComment>
  <tc2018:threadedComment ref="J14" dT="2025-11-15T07:26:18Z" personId="{3451CD4B-D001-4875-B022-E0DF72E29B50}" id="{3E6B10CD-DD03-4AA7-A58D-1428F9DEA552}">
    <tc2018:text>76238:
华润电力</tc2018:text>
  </tc2018:threadedComment>
  <tc2018:threadedComment ref="I15" dT="2025-11-15T07:26:18Z" personId="{3451CD4B-D001-4875-B022-E0DF72E29B50}" id="{94A35FC5-A4A3-422D-8B95-8C8B611F0C67}">
    <tc2018:text>76238:
豪森，预计到 2 月底</tc2018:text>
  </tc2018:threadedComment>
  <tc2018:threadedComment ref="I9" dT="2025-11-15T07:26:23Z" personId="{3451CD4B-D001-4875-B022-E0DF72E29B50}" id="{BAD07718-2352-4544-AB12-8D4E02F5A86E}">
    <tc2018:text>76238:
安全加固方案设计</tc2018:text>
  </tc2018:threadedComment>
  <tc2018:threadedComment ref="I6" dT="2025-11-15T07:26:19Z" personId="{3451CD4B-D001-4875-B022-E0DF72E29B50}" id="{FCB3AC78-D1E0-4F32-A523-6D6E0A7F7C5F}">
    <tc2018:text>76238:
pppoev6收尾</tc2018:text>
  </tc2018:threadedComment>
  <tc2018:threadedComment ref="N10" dT="2025-11-15T07:26:22Z" personId="{3451CD4B-D001-4875-B022-E0DF72E29B50}" id="{71B9CE28-509C-4FC4-8E1F-55A4AD779B74}">
    <tc2018:text>76238:
机动人力，最近投入无线MLO遗留bug</tc2018:text>
  </tc2018:threadedComment>
  <tc2018:threadedComment ref="N8" dT="2025-11-15T07:26:21Z" personId="{3451CD4B-D001-4875-B022-E0DF72E29B50}" id="{D627EA94-D184-4834-9724-769FBFFB71F2}">
    <tc2018:text>76238:
平滑切换</tc2018:text>
  </tc2018:threadedComment>
  <tc2018:threadedComment ref="J4" dT="2025-11-15T07:26:22Z" personId="{3451CD4B-D001-4875-B022-E0DF72E29B50}" id="{3186B3E3-7339-49B1-832A-58EB60D74CB7}">
    <tc2018:text>76238:
海外 访客码</tc2018:text>
  </tc2018:threadedComment>
  <tc2018:threadedComment ref="J19" dT="2025-11-15T07:26:18Z" personId="{3451CD4B-D001-4875-B022-E0DF72E29B50}" id="{DED45485-6A49-484F-A2BF-EA260713ECF6}">
    <tc2018:text>76238:
豪森周三转测，后续5229收尾</tc2018:text>
  </tc2018:threadedComment>
  <tc2018:threadedComment ref="J10" dT="2025-11-15T07:26:23Z" personId="{3451CD4B-D001-4875-B022-E0DF72E29B50}" id="{E70BF63D-A68B-46A3-A1ED-4764B95B3E77}">
    <tc2018:text>76238:
机动人力，最近投入无线MLO遗留bug</tc2018:text>
  </tc2018:threadedComment>
  <tc2018:threadedComment ref="J15" dT="2025-11-15T07:26:23Z" personId="{3451CD4B-D001-4875-B022-E0DF72E29B50}" id="{5C640BA0-EDAF-436C-9252-ACAC7C9C5559}">
    <tc2018:text>76238:
豪森，预计到 2 月底</tc2018:text>
  </tc2018:threadedComment>
  <tc2018:threadedComment ref="I27" dT="2025-11-15T07:26:17Z" personId="{3451CD4B-D001-4875-B022-E0DF72E29B50}" id="{334B3C49-A052-49B5-8FE5-E342122BD741}">
    <tc2018:text>76238:
豪森，预计本周</tc2018:text>
  </tc2018:threadedComment>
  <tc2018:threadedComment ref="M16" dT="2025-11-15T07:26:20Z" personId="{3451CD4B-D001-4875-B022-E0DF72E29B50}" id="{1A3DD146-A729-43E2-851A-80BA7632D1F4}">
    <tc2018:text>76238:
机动人力，最近投入无线MLO遗留bug</tc2018:text>
  </tc2018:threadedComment>
  <tc2018:threadedComment ref="N36" dT="2025-11-15T07:26:17Z" personId="{3451CD4B-D001-4875-B022-E0DF72E29B50}" id="{E3ADF6BB-EF8D-4120-AA1C-23A35943E9C2}">
    <tc2018:text>76238:
告警优化收尾 邮箱告警 短信发送 交互设计</tc2018:text>
  </tc2018:threadedComment>
  <tc2018:threadedComment ref="N37" dT="2025-11-15T07:26:21Z" personId="{3451CD4B-D001-4875-B022-E0DF72E29B50}" id="{AEE19939-2D22-4419-A36B-2C98A8B0DDC9}">
    <tc2018:text>76238:
告警优化收尾 邮箱告警 短信发送 交互设计</tc2018:text>
  </tc2018:threadedComment>
  <tc2018:threadedComment ref="L12" dT="2025-11-15T07:26:18Z" personId="{3451CD4B-D001-4875-B022-E0DF72E29B50}" id="{AB07BD37-5137-4765-96A5-AA13C539F295}">
    <tc2018:text>76238:
周三方案定下开干</tc2018:text>
  </tc2018:threadedComment>
  <tc2018:threadedComment ref="O36" dT="2025-11-15T07:26:17Z" personId="{3451CD4B-D001-4875-B022-E0DF72E29B50}" id="{1F37036D-DDE5-4BBC-AE48-2B8DF4175E0D}">
    <tc2018:text>76238:
告警优化收尾 邮箱告警 短信发送 交互设计</tc2018:text>
  </tc2018:threadedComment>
  <tc2018:threadedComment ref="I11" dT="2025-11-15T07:26:18Z" personId="{3451CD4B-D001-4875-B022-E0DF72E29B50}" id="{62EDD0BE-0EB2-4C66-BE99-1995C5B21714}">
    <tc2018:text>76238:
会议主机，AP管理+认证 需求梳理与方案设计</tc2018:text>
  </tc2018:threadedComment>
  <tc2018:threadedComment ref="O16" dT="2025-11-15T07:26:18Z" personId="{3451CD4B-D001-4875-B022-E0DF72E29B50}" id="{78CDAAE2-8443-46B8-A732-9943B7F162A4}">
    <tc2018:text>76238:
机动人力，最近投入无线MLO遗留bug</tc2018:text>
  </tc2018:threadedComment>
  <tc2018:threadedComment ref="K37" dT="2025-11-15T07:26:21Z" personId="{3451CD4B-D001-4875-B022-E0DF72E29B50}" id="{DF95CBBA-092A-43E9-BF85-CFA25B324CCC}">
    <tc2018:text>76238:
会议主机</tc2018:text>
  </tc2018:threadedComment>
  <tc2018:threadedComment ref="I33" dT="2025-11-15T07:26:22Z" personId="{3451CD4B-D001-4875-B022-E0DF72E29B50}" id="{AC407BCD-87EA-423E-BA9E-83465B84ADCC}">
    <tc2018:text>76238:
工业网关/MLO</tc2018:text>
  </tc2018:threadedComment>
  <tc2018:threadedComment ref="J13" dT="2025-11-15T07:26:18Z" personId="{3451CD4B-D001-4875-B022-E0DF72E29B50}" id="{B451E891-2DBE-4121-840C-F6D7A091A6A9}">
    <tc2018:text>76238:
小需求&amp;通用定制合入版本</tc2018:text>
  </tc2018:threadedComment>
  <tc2018:threadedComment ref="J8" dT="2025-11-15T07:26:23Z" personId="{3451CD4B-D001-4875-B022-E0DF72E29B50}" id="{F4577336-7BEC-4215-B28A-500511A4C3DA}">
    <tc2018:text>76238:
平滑切换</tc2018:text>
  </tc2018:threadedComment>
  <tc2018:threadedComment ref="J11" dT="2025-11-15T07:26:21Z" personId="{3451CD4B-D001-4875-B022-E0DF72E29B50}" id="{4D7FF448-C891-452F-85A5-E1798A7DAF39}">
    <tc2018:text>76238:
本周移植搞定，中间插了airplay接口设计，可能会占用两天，要下周二完成编译通过</tc2018:text>
  </tc2018:threadedComment>
  <tc2018:threadedComment ref="I8" dT="2025-11-15T07:26:19Z" personId="{3451CD4B-D001-4875-B022-E0DF72E29B50}" id="{8C2BC3AF-6B3C-4AEF-851E-9ADCF341BE06}">
    <tc2018:text>76238:
会议主机 漫游引导重构，本周完成</tc2018:text>
  </tc2018:threadedComment>
  <tc2018:threadedComment ref="I19" dT="2025-11-15T07:26:20Z" personId="{3451CD4B-D001-4875-B022-E0DF72E29B50}" id="{75EB7886-DCBC-4A20-91B7-76C38DFF6C76}">
    <tc2018:text>76238:
豪森，预计到 2 月底</tc2018:text>
  </tc2018:threadedComment>
  <tc2018:threadedComment ref="J18" dT="2025-11-15T07:26:22Z" personId="{3451CD4B-D001-4875-B022-E0DF72E29B50}" id="{71D4208A-8F85-4527-B2DA-B53D4972D735}">
    <tc2018:text>76238:
小信云安全加固，小信云质量问题收尾</tc2018:text>
  </tc2018:threadedComment>
  <tc2018:threadedComment ref="P37" dT="2025-11-15T07:26:18Z" personId="{3451CD4B-D001-4875-B022-E0DF72E29B50}" id="{C32B21AF-D45E-46B0-8831-E5BD1C2EDEB0}">
    <tc2018:text>76238:
告警优化收尾 邮箱告警 短信发送 交互设计</tc2018:text>
  </tc2018:threadedComment>
  <tc2018:threadedComment ref="L8" dT="2025-11-15T07:26:20Z" personId="{3451CD4B-D001-4875-B022-E0DF72E29B50}" id="{EE4BC01E-2BB9-41F0-8D95-861F9C2D8DF9}">
    <tc2018:text>76238:
平滑切换</tc2018:text>
  </tc2018:threadedComment>
  <tc2018:threadedComment ref="J9" dT="2025-11-15T07:26:21Z" personId="{3451CD4B-D001-4875-B022-E0DF72E29B50}" id="{68102591-26EF-41ED-BC89-CAED2DE001CB}">
    <tc2018:text>76238:
方案预言与设计，数据面到内核主机流量性能提升</tc2018:text>
  </tc2018:threadedComment>
  <tc2018:threadedComment ref="I5" dT="2025-11-15T07:26:22Z" personId="{3451CD4B-D001-4875-B022-E0DF72E29B50}" id="{0D7D7E87-044A-4371-BD6D-6D9E572C74B3}">
    <tc2018:text>76238:
国寿财</tc2018:text>
  </tc2018:threadedComment>
  <tc2018:threadedComment ref="I10" dT="2025-11-15T07:26:21Z" personId="{3451CD4B-D001-4875-B022-E0DF72E29B50}" id="{0D115968-2CAF-4403-9AB0-A543C2C6B6EB}">
    <tc2018:text>76238:
机动人力，最近投入无线MLO遗留bug</tc2018:text>
  </tc2018:threadedComment>
  <tc2018:threadedComment ref="M10" dT="2025-11-15T07:26:23Z" personId="{3451CD4B-D001-4875-B022-E0DF72E29B50}" id="{844D242B-E331-4042-A2CF-DAA1AD11D68F}">
    <tc2018:text>76238:
机动人力，最近投入无线MLO遗留bug</tc2018:text>
  </tc2018:threadedComment>
  <tc2018:threadedComment ref="I30" dT="2025-11-15T07:26:22Z" personId="{3451CD4B-D001-4875-B022-E0DF72E29B50}" id="{190FF6F3-32EF-4522-8380-11D91E2A8149}">
    <tc2018:text>76238:
工业网关/MLO</tc2018:text>
  </tc2018:threadedComment>
  <tc2018:threadedComment ref="K17" dT="2025-11-15T07:26:20Z" personId="{3451CD4B-D001-4875-B022-E0DF72E29B50}" id="{362C2E6A-CADE-4F44-BC64-73340383F5FE}">
    <tc2018:text>76238:
机动人力，最近投入无线MLO遗留bug</tc2018:text>
  </tc2018:threadedComment>
  <tc2018:threadedComment ref="P8" dT="2025-11-15T07:26:20Z" personId="{3451CD4B-D001-4875-B022-E0DF72E29B50}" id="{43EC8D85-47F8-4AF5-81DA-D9B257B8DB76}">
    <tc2018:text>76238:
平滑切换</tc2018:text>
  </tc2018:threadedComment>
  <tc2018:threadedComment ref="J6" dT="2025-11-15T07:26:22Z" personId="{3451CD4B-D001-4875-B022-E0DF72E29B50}" id="{E2B5CB91-F0B4-42F6-B373-69411F6782F4}">
    <tc2018:text>76238:
一线多拨，后台3人月</tc2018:text>
  </tc2018:threadedComment>
  <tc2018:threadedComment ref="M17" dT="2025-11-15T07:26:21Z" personId="{3451CD4B-D001-4875-B022-E0DF72E29B50}" id="{EF5B02D0-CB9B-46AC-A13A-DF61E84C5B16}">
    <tc2018:text>76238:
机动人力，最近投入无线MLO遗留bug</tc2018:text>
  </tc2018:threadedComment>
</tc2018:ThreadedComments>
</file>

<file path=xl/worksheets/_rels/sheet9.xml.rels><?xml version="1.0" encoding="UTF-8" standalone="yes"?><Relationships xmlns="http://schemas.openxmlformats.org/package/2006/relationships"><Relationship Id="rId2" Type="http://schemas.microsoft.com/office/2017/10/relationships/threadedComment" Target="../threadedComments/threadedComment3.xml" /><Relationship Id="rId0" Type="http://schemas.openxmlformats.org/officeDocument/2006/relationships/vmlDrawing" Target="../drawings/vmlDrawing3.vml" /><Relationship Id="rId1" Type="http://schemas.openxmlformats.org/officeDocument/2006/relationships/comments" Target="../comments3.xml" /></Relationships>
</file>

<file path=xl/worksheets/_rels/sheet12.xml.rels><?xml version="1.0" encoding="UTF-8" standalone="yes"?><Relationships xmlns="http://schemas.openxmlformats.org/package/2006/relationships"><Relationship Id="rId2" Type="http://schemas.microsoft.com/office/2017/10/relationships/threadedComment" Target="../threadedComments/threadedComment2.xml" /><Relationship Id="rId0" Type="http://schemas.openxmlformats.org/officeDocument/2006/relationships/vmlDrawing" Target="../drawings/vmlDrawing2.vml" /><Relationship Id="rId1" Type="http://schemas.openxmlformats.org/officeDocument/2006/relationships/comments" Target="../comments2.xml" /></Relationships>
</file>

<file path=xl/worksheets/_rels/sheet13.xml.rels><?xml version="1.0" encoding="UTF-8" standalone="yes"?><Relationships xmlns="http://schemas.openxmlformats.org/package/2006/relationships"><Relationship Id="rId1" Type="http://schemas.openxmlformats.org/officeDocument/2006/relationships/hyperlink" Target="https://doc.weixin.qq.com/sheet/e3_AVcAjgZ_AFoE0UzFcffTu2HkxoQQY?scode=AI4AagdpABEN99ff0cAVcAjgZ_AFo" TargetMode="External"/><Relationship Id="rId0" Type="http://schemas.openxmlformats.org/officeDocument/2006/relationships/hyperlink" Target="https://doc.weixin.qq.com/sheet/e3_AVcAjgZ_AFodB8j2kShRoavC0u5kx?scode=AI4AagdpABEUHmpk1uAQUAUAYhAAk" TargetMode="External"/></Relationships>
</file>

<file path=xl/worksheets/_rels/sheet17.xml.rels><?xml version="1.0" encoding="UTF-8" standalone="yes"?><Relationships xmlns="http://schemas.openxmlformats.org/package/2006/relationships"><Relationship Id="rId2" Type="http://schemas.microsoft.com/office/2017/10/relationships/threadedComment" Target="../threadedComments/threadedComment1.xml" /><Relationship Id="rId0" Type="http://schemas.openxmlformats.org/officeDocument/2006/relationships/vmlDrawing" Target="../drawings/vmlDrawing1.vml" /><Relationship Id="rId1" Type="http://schemas.openxmlformats.org/officeDocument/2006/relationships/comments" Target="../comments1.xml" /></Relationships>
</file>

<file path=xl/worksheets/sheet1.xml><?xml version="1.0" encoding="utf-8"?>
<worksheet xmlns="http://schemas.openxmlformats.org/spreadsheetml/2006/main">
  <sheetPr codeName="2026 OKR">
    <tabColor/>
  </sheetPr>
  <dimension ref="F14"/>
  <sheetViews>
    <sheetView showGridLines="true" workbookViewId="0"/>
  </sheetViews>
  <sheetFormatPr baseColWidth="13" defaultRowHeight="18" customHeight="true"/>
  <cols>
    <col min="1" max="1" width="34.7109" customWidth="true"/>
    <col min="2" max="2" width="73.7109" customWidth="true"/>
    <col min="3" max="3" width="78.8594" customWidth="true"/>
    <col min="4" max="4" width="134.711" customWidth="true"/>
    <col min="5" max="5" width="130.711" customWidth="true"/>
    <col min="6" max="6" width="18.7109" customWidth="true"/>
  </cols>
  <sheetData>
    <row r="1" spans="1:6">
      <c r="A1" s="189" t="s">
        <v>73</v>
      </c>
      <c r="B1" s="189" t="s">
        <v>588</v>
      </c>
      <c r="C1" s="190" t="s">
        <v>589</v>
      </c>
      <c r="D1" s="190" t="s">
        <v>590</v>
      </c>
      <c r="E1" s="190" t="s">
        <v>591</v>
      </c>
      <c r="F1" s="191" t="s"/>
    </row>
    <row r="2" spans="1:6" ht="63.75" customHeight="true">
      <c r="A2" s="192" t="s">
        <v>257</v>
      </c>
      <c r="B2" s="193" t="s">
        <v>592</v>
      </c>
      <c r="C2" s="194" t="s">
        <v>593</v>
      </c>
      <c r="D2" s="195" t="s">
        <v>594</v>
      </c>
      <c r="E2" s="196" t="s"/>
      <c r="F2" s="191" t="s"/>
    </row>
    <row r="3" spans="1:6" ht="89.25" customHeight="true">
      <c r="A3" s="197" t="s"/>
      <c r="B3" s="80" t="s"/>
      <c r="C3" s="194" t="s">
        <v>595</v>
      </c>
      <c r="D3" s="195" t="s">
        <v>596</v>
      </c>
      <c r="E3" s="196" t="s"/>
      <c r="F3" s="191" t="s"/>
    </row>
    <row r="4" spans="1:6" ht="81" customHeight="true">
      <c r="A4" s="197" t="s"/>
      <c r="B4" s="80" t="s"/>
      <c r="C4" s="194" t="s">
        <v>597</v>
      </c>
      <c r="D4" s="195" t="s">
        <v>598</v>
      </c>
      <c r="E4" s="198" t="s"/>
      <c r="F4" s="191" t="s"/>
    </row>
    <row r="5" spans="1:6">
      <c r="A5" s="193" t="s">
        <v>36</v>
      </c>
      <c r="B5" s="199" t="s">
        <v>599</v>
      </c>
      <c r="C5" s="194" t="s">
        <v>600</v>
      </c>
      <c r="D5" s="195" t="s">
        <v>601</v>
      </c>
      <c r="E5" s="196" t="s"/>
      <c r="F5" s="191" t="s"/>
    </row>
    <row r="6" spans="1:6" ht="28.5" customHeight="true">
      <c r="A6" s="80" t="s"/>
      <c r="B6" s="130" t="s"/>
      <c r="C6" s="194" t="s">
        <v>602</v>
      </c>
      <c r="D6" s="195" t="s">
        <v>603</v>
      </c>
      <c r="E6" s="200" t="s"/>
      <c r="F6" s="191" t="s"/>
    </row>
    <row r="7" spans="1:6" ht="60" customHeight="true">
      <c r="A7" s="80" t="s"/>
      <c r="B7" s="199" t="s">
        <v>604</v>
      </c>
      <c r="C7" s="194" t="s">
        <v>605</v>
      </c>
      <c r="D7" s="195" t="s">
        <v>606</v>
      </c>
      <c r="E7" s="200" t="s"/>
      <c r="F7" s="191" t="s"/>
    </row>
    <row r="8" spans="1:6" ht="22.5" customHeight="true">
      <c r="A8" s="80" t="s"/>
      <c r="B8" s="130" t="s"/>
      <c r="C8" s="194" t="s">
        <v>607</v>
      </c>
      <c r="D8" s="195" t="s">
        <v>608</v>
      </c>
      <c r="E8" s="200" t="s"/>
      <c r="F8" s="191" t="s"/>
    </row>
    <row r="9" spans="1:6" ht="80.25" customHeight="true">
      <c r="A9" s="193" t="s">
        <v>83</v>
      </c>
      <c r="B9" s="193" t="s">
        <v>609</v>
      </c>
      <c r="C9" s="194" t="s">
        <v>610</v>
      </c>
      <c r="D9" s="195" t="s">
        <v>611</v>
      </c>
      <c r="E9" s="196" t="s"/>
      <c r="F9" s="191" t="s"/>
    </row>
    <row r="10" spans="1:6" ht="33" customHeight="true">
      <c r="A10" s="80" t="s"/>
      <c r="B10" s="80" t="s"/>
      <c r="C10" s="194" t="s">
        <v>612</v>
      </c>
      <c r="D10" s="195" t="s">
        <v>613</v>
      </c>
      <c r="E10" s="198" t="s"/>
      <c r="F10" s="191" t="s"/>
    </row>
    <row r="11" spans="1:6">
      <c r="A11" s="201" t="s">
        <v>614</v>
      </c>
      <c r="B11" s="193" t="s">
        <v>615</v>
      </c>
      <c r="C11" s="194" t="s">
        <v>616</v>
      </c>
      <c r="D11" s="202" t="s"/>
      <c r="E11" s="196" t="s"/>
      <c r="F11" s="191" t="s"/>
    </row>
    <row r="12" spans="1:6">
      <c r="A12" s="137" t="s"/>
      <c r="B12" s="80" t="s"/>
      <c r="C12" s="194" t="s">
        <v>617</v>
      </c>
      <c r="D12" s="202" t="s"/>
      <c r="E12" s="196" t="s"/>
      <c r="F12" s="191" t="s"/>
    </row>
    <row r="13" spans="1:6">
      <c r="A13" s="137" t="s"/>
      <c r="B13" s="80" t="s"/>
      <c r="C13" s="194" t="s">
        <v>618</v>
      </c>
      <c r="D13" s="202" t="s"/>
      <c r="E13" s="196" t="s"/>
      <c r="F13" s="191" t="s"/>
    </row>
    <row r="14" spans="1:6">
      <c r="A14" s="203" t="s">
        <v>619</v>
      </c>
      <c r="E14" s="191" t="s"/>
      <c r="F14" s="191" t="s"/>
    </row>
  </sheetData>
  <mergeCells count="10">
    <mergeCell ref="A2:A4"/>
    <mergeCell ref="B2:B4"/>
    <mergeCell ref="A5:A8"/>
    <mergeCell ref="B5:B6"/>
    <mergeCell ref="B7:B8"/>
    <mergeCell ref="A9:A10"/>
    <mergeCell ref="B9:B10"/>
    <mergeCell ref="A11:A13"/>
    <mergeCell ref="B11:B13"/>
    <mergeCell ref="A14:D14"/>
  </mergeCells>
</worksheet>
</file>

<file path=xl/worksheets/sheet2.xml><?xml version="1.0" encoding="utf-8"?>
<worksheet xmlns="http://schemas.openxmlformats.org/spreadsheetml/2006/main">
  <sheetPr codeName="2026人力计划">
    <tabColor/>
  </sheetPr>
  <dimension ref="S122"/>
  <sheetViews>
    <sheetView showGridLines="true" workbookViewId="0"/>
  </sheetViews>
  <sheetFormatPr baseColWidth="13" defaultRowHeight="18" customHeight="true"/>
  <cols>
    <col min="1" max="2" width="10.6719" style="105" customWidth="true"/>
    <col min="3" max="3" width="16.0625" style="105" customWidth="true"/>
    <col min="4" max="4" width="16.0625" style="105" customWidth="true"/>
    <col min="5" max="5" width="16.0625" style="105" customWidth="true"/>
    <col min="6" max="6" width="11.8906" style="105" hidden="true" customWidth="true"/>
    <col min="7" max="7" width="21.832" hidden="true" customWidth="true"/>
    <col min="8" max="8" width="16.9219" hidden="true" customWidth="true"/>
    <col min="9" max="9" width="10.9102" style="105" customWidth="true"/>
    <col min="10" max="10" width="12.2617" style="105" hidden="true" customWidth="true"/>
    <col min="11" max="13" width="13.6094" style="105" hidden="true" customWidth="true"/>
    <col min="14" max="14" width="13.6094" style="105" customWidth="true"/>
    <col min="15" max="15" width="13.6094" style="105" customWidth="true"/>
    <col min="16" max="16" width="13.6094" style="105" customWidth="true"/>
    <col min="17" max="17" width="13.6094" style="105" customWidth="true"/>
    <col min="18" max="18" width="13.6094" style="105" customWidth="true"/>
    <col min="19" max="19" width="13.6094" style="105" customWidth="true"/>
    <col min="20" max="20" width="17.7109" customWidth="true"/>
    <col min="21" max="21" width="13.6094" style="105" customWidth="true"/>
  </cols>
  <sheetData>
    <row r="1" spans="1:21">
      <c r="A1" s="96" t="s">
        <v>1</v>
      </c>
      <c r="B1" s="96" t="s">
        <v>2</v>
      </c>
      <c r="C1" s="96" t="s">
        <v>313</v>
      </c>
      <c r="D1" s="96" t="s">
        <v>8</v>
      </c>
      <c r="E1" s="96" t="s">
        <v>314</v>
      </c>
      <c r="F1" s="97" t="s">
        <v>9</v>
      </c>
      <c r="G1" s="97" t="s">
        <v>315</v>
      </c>
      <c r="H1" s="97" t="s">
        <v>316</v>
      </c>
      <c r="I1" s="96" t="s">
        <v>317</v>
      </c>
      <c r="J1" s="98" t="s">
        <v>318</v>
      </c>
      <c r="K1" s="99">
        <v>46113</v>
      </c>
      <c r="L1" s="99">
        <v>46143</v>
      </c>
      <c r="M1" s="99">
        <v>46174</v>
      </c>
      <c r="N1" s="99">
        <v>46204</v>
      </c>
      <c r="O1" s="99">
        <v>46235</v>
      </c>
      <c r="P1" s="99">
        <v>46266</v>
      </c>
      <c r="Q1" s="99">
        <v>46296</v>
      </c>
      <c r="R1" s="99">
        <v>46327</v>
      </c>
      <c r="S1" s="99">
        <v>46357</v>
      </c>
      <c r="U1" s="100" t="s">
        <v>319</v>
      </c>
    </row>
    <row r="2" spans="1:21">
      <c r="A2" s="101">
        <v>22026</v>
      </c>
      <c r="B2" s="101" t="s">
        <v>275</v>
      </c>
      <c r="C2" s="101" t="s">
        <v>320</v>
      </c>
      <c r="D2" s="102" t="s">
        <v>52</v>
      </c>
      <c r="E2" s="101" t="s">
        <v>321</v>
      </c>
      <c r="F2" s="103">
        <v>43291</v>
      </c>
      <c r="G2" s="104" t="s">
        <v>322</v>
      </c>
      <c r="H2" s="104" t="s">
        <v>323</v>
      </c>
      <c r="I2" s="105" t="s"/>
      <c r="K2" s="105" t="s">
        <v>52</v>
      </c>
      <c r="L2" s="105" t="s">
        <v>52</v>
      </c>
      <c r="M2" s="105" t="s">
        <v>52</v>
      </c>
      <c r="N2" s="105" t="s">
        <v>52</v>
      </c>
      <c r="O2" s="105" t="s">
        <v>52</v>
      </c>
      <c r="P2" s="105" t="s">
        <v>52</v>
      </c>
      <c r="Q2" s="105" t="s">
        <v>52</v>
      </c>
      <c r="R2" s="105" t="s">
        <v>52</v>
      </c>
      <c r="S2" s="105" t="s">
        <v>52</v>
      </c>
      <c r="U2" s="105" t="s">
        <v>324</v>
      </c>
    </row>
    <row r="3" spans="1:21">
      <c r="A3" s="101">
        <v>89476</v>
      </c>
      <c r="B3" s="101" t="s">
        <v>325</v>
      </c>
      <c r="C3" s="101" t="s">
        <v>326</v>
      </c>
      <c r="D3" s="102" t="s">
        <v>327</v>
      </c>
      <c r="E3" s="101" t="s">
        <v>328</v>
      </c>
      <c r="F3" s="103">
        <v>44099</v>
      </c>
      <c r="G3" s="104" t="s">
        <v>329</v>
      </c>
      <c r="H3" s="104" t="s">
        <v>323</v>
      </c>
      <c r="I3" s="105" t="s"/>
      <c r="K3" s="105" t="s">
        <v>327</v>
      </c>
      <c r="L3" s="105" t="s">
        <v>327</v>
      </c>
      <c r="M3" s="105" t="s">
        <v>327</v>
      </c>
      <c r="N3" s="105" t="s">
        <v>327</v>
      </c>
      <c r="O3" s="105" t="s">
        <v>327</v>
      </c>
      <c r="P3" s="105" t="s">
        <v>327</v>
      </c>
      <c r="Q3" s="105" t="s">
        <v>327</v>
      </c>
      <c r="R3" s="105" t="s">
        <v>327</v>
      </c>
      <c r="S3" s="105" t="s">
        <v>327</v>
      </c>
      <c r="U3" s="105" t="s">
        <v>330</v>
      </c>
    </row>
    <row r="4" spans="1:19">
      <c r="A4" s="101">
        <v>24934</v>
      </c>
      <c r="B4" s="101" t="s">
        <v>331</v>
      </c>
      <c r="C4" s="101" t="s">
        <v>332</v>
      </c>
      <c r="D4" s="102" t="s">
        <v>52</v>
      </c>
      <c r="E4" s="101" t="s">
        <v>333</v>
      </c>
      <c r="F4" s="103">
        <v>41036</v>
      </c>
      <c r="G4" s="104" t="s">
        <v>334</v>
      </c>
      <c r="H4" s="104" t="s">
        <v>323</v>
      </c>
      <c r="I4" s="105" t="s"/>
      <c r="J4" s="105" t="s">
        <v>335</v>
      </c>
      <c r="K4" s="105" t="s">
        <v>52</v>
      </c>
      <c r="L4" s="105" t="s">
        <v>52</v>
      </c>
      <c r="M4" s="105" t="s">
        <v>52</v>
      </c>
      <c r="N4" s="105" t="s">
        <v>52</v>
      </c>
      <c r="O4" s="105" t="s">
        <v>52</v>
      </c>
      <c r="P4" s="105" t="s">
        <v>52</v>
      </c>
      <c r="Q4" s="105" t="s">
        <v>52</v>
      </c>
      <c r="R4" s="105" t="s">
        <v>52</v>
      </c>
      <c r="S4" s="105" t="s">
        <v>52</v>
      </c>
    </row>
    <row r="5" spans="1:19">
      <c r="A5" s="106">
        <v>12383</v>
      </c>
      <c r="B5" s="106" t="s">
        <v>167</v>
      </c>
      <c r="C5" s="106" t="s">
        <v>66</v>
      </c>
      <c r="D5" s="107" t="s">
        <v>69</v>
      </c>
      <c r="E5" s="106" t="s">
        <v>336</v>
      </c>
      <c r="F5" s="103">
        <v>44627</v>
      </c>
      <c r="G5" s="104" t="s">
        <v>337</v>
      </c>
      <c r="H5" s="104" t="s">
        <v>323</v>
      </c>
      <c r="I5" s="105" t="s">
        <v>338</v>
      </c>
      <c r="J5" s="105" t="s">
        <v>339</v>
      </c>
      <c r="K5" s="105" t="s">
        <v>340</v>
      </c>
      <c r="L5" s="105" t="s">
        <v>340</v>
      </c>
      <c r="M5" s="105" t="s">
        <v>341</v>
      </c>
      <c r="N5" s="105" t="s">
        <v>341</v>
      </c>
      <c r="O5" s="105" t="s">
        <v>341</v>
      </c>
      <c r="P5" s="105" t="s">
        <v>341</v>
      </c>
      <c r="Q5" s="105" t="s">
        <v>341</v>
      </c>
      <c r="R5" s="105" t="s">
        <v>341</v>
      </c>
      <c r="S5" s="105" t="s">
        <v>341</v>
      </c>
    </row>
    <row r="6" spans="1:19">
      <c r="A6" s="106">
        <v>12944</v>
      </c>
      <c r="B6" s="106" t="s">
        <v>153</v>
      </c>
      <c r="C6" s="106" t="s">
        <v>68</v>
      </c>
      <c r="D6" s="107" t="s">
        <v>69</v>
      </c>
      <c r="E6" s="106" t="s">
        <v>342</v>
      </c>
      <c r="F6" s="103">
        <v>44440</v>
      </c>
      <c r="G6" s="104" t="s">
        <v>343</v>
      </c>
      <c r="H6" s="104" t="s">
        <v>323</v>
      </c>
      <c r="I6" s="105" t="s">
        <v>338</v>
      </c>
      <c r="K6" s="105" t="s">
        <v>344</v>
      </c>
      <c r="L6" s="105" t="s">
        <v>344</v>
      </c>
      <c r="M6" s="105" t="s">
        <v>344</v>
      </c>
      <c r="N6" s="105" t="s">
        <v>344</v>
      </c>
      <c r="O6" s="105" t="s">
        <v>344</v>
      </c>
      <c r="P6" s="105" t="s">
        <v>344</v>
      </c>
      <c r="Q6" s="105" t="s">
        <v>341</v>
      </c>
      <c r="R6" s="105" t="s">
        <v>341</v>
      </c>
      <c r="S6" s="105" t="s">
        <v>341</v>
      </c>
    </row>
    <row r="7" spans="1:19">
      <c r="A7" s="106">
        <v>17795</v>
      </c>
      <c r="B7" s="106" t="s">
        <v>189</v>
      </c>
      <c r="C7" s="106" t="s">
        <v>43</v>
      </c>
      <c r="D7" s="107" t="s">
        <v>69</v>
      </c>
      <c r="E7" s="106" t="s"/>
      <c r="F7" s="103">
        <v>44265</v>
      </c>
      <c r="G7" s="104" t="s">
        <v>345</v>
      </c>
      <c r="H7" s="104" t="s">
        <v>323</v>
      </c>
      <c r="I7" s="105" t="s">
        <v>346</v>
      </c>
      <c r="K7" s="105" t="s">
        <v>347</v>
      </c>
      <c r="L7" s="105" t="s">
        <v>347</v>
      </c>
      <c r="M7" s="105" t="s">
        <v>347</v>
      </c>
      <c r="N7" s="105" t="s">
        <v>346</v>
      </c>
      <c r="O7" s="105" t="s">
        <v>346</v>
      </c>
      <c r="P7" s="105" t="s">
        <v>346</v>
      </c>
      <c r="Q7" s="105" t="s">
        <v>348</v>
      </c>
      <c r="R7" s="105" t="s">
        <v>348</v>
      </c>
      <c r="S7" s="105" t="s">
        <v>348</v>
      </c>
    </row>
    <row r="8" spans="1:11">
      <c r="A8" s="106">
        <v>19083</v>
      </c>
      <c r="B8" s="106" t="s">
        <v>181</v>
      </c>
      <c r="C8" s="106" t="s">
        <v>66</v>
      </c>
      <c r="D8" s="107" t="s">
        <v>69</v>
      </c>
      <c r="E8" s="106" t="s"/>
      <c r="F8" s="103">
        <v>42459</v>
      </c>
      <c r="G8" s="104" t="s">
        <v>349</v>
      </c>
      <c r="H8" s="104" t="s">
        <v>323</v>
      </c>
      <c r="I8" s="105" t="s">
        <v>350</v>
      </c>
      <c r="K8" s="105" t="s">
        <v>172</v>
      </c>
    </row>
    <row r="9" spans="1:19">
      <c r="A9" s="106">
        <v>20811</v>
      </c>
      <c r="B9" s="106" t="s">
        <v>197</v>
      </c>
      <c r="C9" s="106" t="s">
        <v>66</v>
      </c>
      <c r="D9" s="107" t="s">
        <v>69</v>
      </c>
      <c r="E9" s="106" t="s"/>
      <c r="F9" s="103">
        <v>43245</v>
      </c>
      <c r="G9" s="104" t="s">
        <v>349</v>
      </c>
      <c r="H9" s="104" t="s">
        <v>323</v>
      </c>
      <c r="I9" s="105" t="s">
        <v>338</v>
      </c>
      <c r="K9" s="105" t="s">
        <v>347</v>
      </c>
      <c r="L9" s="105" t="s">
        <v>347</v>
      </c>
      <c r="M9" s="105" t="s">
        <v>347</v>
      </c>
      <c r="N9" s="105" t="s">
        <v>351</v>
      </c>
      <c r="O9" s="105" t="s">
        <v>351</v>
      </c>
      <c r="P9" s="105" t="s">
        <v>172</v>
      </c>
      <c r="Q9" s="105" t="s">
        <v>172</v>
      </c>
      <c r="R9" s="105" t="s">
        <v>172</v>
      </c>
      <c r="S9" s="105" t="s">
        <v>352</v>
      </c>
    </row>
    <row r="10" spans="1:19">
      <c r="A10" s="106">
        <v>23418</v>
      </c>
      <c r="B10" s="106" t="s">
        <v>163</v>
      </c>
      <c r="C10" s="106" t="s">
        <v>30</v>
      </c>
      <c r="D10" s="107" t="s">
        <v>69</v>
      </c>
      <c r="E10" s="106" t="s"/>
      <c r="F10" s="103">
        <v>46099</v>
      </c>
      <c r="G10" s="104" t="s">
        <v>353</v>
      </c>
      <c r="H10" s="104" t="s">
        <v>323</v>
      </c>
      <c r="I10" s="105" t="s">
        <v>354</v>
      </c>
      <c r="K10" s="105" t="s">
        <v>57</v>
      </c>
      <c r="L10" s="105" t="s">
        <v>57</v>
      </c>
      <c r="M10" s="105" t="s">
        <v>57</v>
      </c>
      <c r="N10" s="105" t="s">
        <v>172</v>
      </c>
      <c r="O10" s="105" t="s">
        <v>172</v>
      </c>
      <c r="P10" s="105" t="s">
        <v>172</v>
      </c>
      <c r="Q10" s="105" t="s">
        <v>172</v>
      </c>
      <c r="R10" s="105" t="s">
        <v>172</v>
      </c>
      <c r="S10" s="105" t="s">
        <v>172</v>
      </c>
    </row>
    <row r="11" spans="1:19">
      <c r="A11" s="106">
        <v>29050</v>
      </c>
      <c r="B11" s="106" t="s">
        <v>203</v>
      </c>
      <c r="C11" s="106" t="s">
        <v>66</v>
      </c>
      <c r="D11" s="107" t="s">
        <v>69</v>
      </c>
      <c r="E11" s="106" t="s"/>
      <c r="F11" s="103">
        <v>43915</v>
      </c>
      <c r="G11" s="104" t="s">
        <v>355</v>
      </c>
      <c r="H11" s="104" t="s">
        <v>323</v>
      </c>
      <c r="I11" s="105" t="s">
        <v>257</v>
      </c>
      <c r="K11" s="105" t="s">
        <v>347</v>
      </c>
      <c r="L11" s="105" t="s">
        <v>347</v>
      </c>
      <c r="M11" s="105" t="s">
        <v>172</v>
      </c>
      <c r="N11" s="105" t="s">
        <v>172</v>
      </c>
      <c r="O11" s="105" t="s">
        <v>172</v>
      </c>
      <c r="P11" s="105" t="s">
        <v>341</v>
      </c>
      <c r="Q11" s="105" t="s">
        <v>341</v>
      </c>
      <c r="R11" s="105" t="s">
        <v>341</v>
      </c>
      <c r="S11" s="105" t="s">
        <v>341</v>
      </c>
    </row>
    <row r="12" spans="1:19">
      <c r="A12" s="106">
        <v>37791</v>
      </c>
      <c r="B12" s="106" t="s">
        <v>356</v>
      </c>
      <c r="C12" s="106" t="s">
        <v>30</v>
      </c>
      <c r="D12" s="107" t="s">
        <v>69</v>
      </c>
      <c r="E12" s="106" t="s"/>
      <c r="F12" s="103">
        <v>44193</v>
      </c>
      <c r="G12" s="104" t="s">
        <v>357</v>
      </c>
      <c r="H12" s="104" t="s">
        <v>323</v>
      </c>
      <c r="I12" s="105" t="s">
        <v>338</v>
      </c>
      <c r="K12" s="105" t="s">
        <v>358</v>
      </c>
      <c r="L12" s="105" t="s">
        <v>358</v>
      </c>
      <c r="M12" s="105" t="s">
        <v>340</v>
      </c>
      <c r="N12" s="105" t="s">
        <v>341</v>
      </c>
      <c r="O12" s="105" t="s">
        <v>341</v>
      </c>
      <c r="P12" s="105" t="s">
        <v>341</v>
      </c>
      <c r="Q12" s="105" t="s">
        <v>341</v>
      </c>
      <c r="R12" s="105" t="s">
        <v>341</v>
      </c>
      <c r="S12" s="105" t="s">
        <v>341</v>
      </c>
    </row>
    <row r="13" spans="1:19">
      <c r="A13" s="106">
        <v>52012</v>
      </c>
      <c r="B13" s="106" t="s">
        <v>194</v>
      </c>
      <c r="C13" s="106" t="s">
        <v>30</v>
      </c>
      <c r="D13" s="107" t="s">
        <v>69</v>
      </c>
      <c r="E13" s="106" t="s"/>
      <c r="F13" s="103">
        <v>43983</v>
      </c>
      <c r="G13" s="104" t="s">
        <v>355</v>
      </c>
      <c r="H13" s="104" t="s">
        <v>323</v>
      </c>
      <c r="I13" s="105" t="s">
        <v>172</v>
      </c>
      <c r="K13" s="105" t="s">
        <v>57</v>
      </c>
      <c r="L13" s="105" t="s">
        <v>172</v>
      </c>
      <c r="M13" s="105" t="s">
        <v>172</v>
      </c>
      <c r="N13" s="105" t="s">
        <v>172</v>
      </c>
      <c r="O13" s="105" t="s">
        <v>172</v>
      </c>
      <c r="P13" s="105" t="s">
        <v>172</v>
      </c>
      <c r="Q13" s="105" t="s">
        <v>172</v>
      </c>
      <c r="R13" s="105" t="s">
        <v>172</v>
      </c>
      <c r="S13" s="105" t="s">
        <v>172</v>
      </c>
    </row>
    <row r="14" spans="1:19">
      <c r="A14" s="106">
        <v>53558</v>
      </c>
      <c r="B14" s="106" t="s">
        <v>209</v>
      </c>
      <c r="C14" s="106" t="s">
        <v>66</v>
      </c>
      <c r="D14" s="107" t="s">
        <v>69</v>
      </c>
      <c r="E14" s="106" t="s"/>
      <c r="F14" s="103">
        <v>42562</v>
      </c>
      <c r="G14" s="104" t="s">
        <v>359</v>
      </c>
      <c r="H14" s="104" t="s">
        <v>360</v>
      </c>
      <c r="I14" s="105" t="s">
        <v>257</v>
      </c>
      <c r="K14" s="105" t="s">
        <v>361</v>
      </c>
      <c r="L14" s="105" t="s">
        <v>361</v>
      </c>
      <c r="M14" s="105" t="s">
        <v>361</v>
      </c>
      <c r="N14" s="105" t="s">
        <v>361</v>
      </c>
      <c r="O14" s="105" t="s">
        <v>361</v>
      </c>
      <c r="P14" s="105" t="s">
        <v>361</v>
      </c>
      <c r="Q14" s="105" t="s">
        <v>352</v>
      </c>
      <c r="R14" s="105" t="s">
        <v>352</v>
      </c>
      <c r="S14" s="105" t="s">
        <v>352</v>
      </c>
    </row>
    <row r="15" spans="1:19">
      <c r="A15" s="106">
        <v>54477</v>
      </c>
      <c r="B15" s="106" t="s">
        <v>159</v>
      </c>
      <c r="C15" s="106" t="s">
        <v>43</v>
      </c>
      <c r="D15" s="107" t="s">
        <v>69</v>
      </c>
      <c r="E15" s="106" t="s">
        <v>158</v>
      </c>
      <c r="F15" s="103">
        <v>43068</v>
      </c>
      <c r="G15" s="104" t="s">
        <v>362</v>
      </c>
      <c r="H15" s="104" t="s">
        <v>323</v>
      </c>
      <c r="I15" s="105" t="s">
        <v>338</v>
      </c>
      <c r="K15" s="105" t="s">
        <v>347</v>
      </c>
      <c r="L15" s="105" t="s">
        <v>347</v>
      </c>
      <c r="M15" s="105" t="s">
        <v>347</v>
      </c>
      <c r="N15" s="105" t="s">
        <v>341</v>
      </c>
      <c r="O15" s="105" t="s">
        <v>341</v>
      </c>
      <c r="P15" s="105" t="s">
        <v>341</v>
      </c>
      <c r="Q15" s="105" t="s">
        <v>341</v>
      </c>
      <c r="R15" s="105" t="s">
        <v>341</v>
      </c>
      <c r="S15" s="105" t="s">
        <v>341</v>
      </c>
    </row>
    <row r="16" spans="1:19">
      <c r="A16" s="106">
        <v>56862</v>
      </c>
      <c r="B16" s="106" t="s">
        <v>363</v>
      </c>
      <c r="C16" s="106" t="s">
        <v>30</v>
      </c>
      <c r="D16" s="107" t="s">
        <v>69</v>
      </c>
      <c r="E16" s="106" t="s"/>
      <c r="F16" s="103">
        <v>45362</v>
      </c>
      <c r="G16" s="104" t="s">
        <v>364</v>
      </c>
      <c r="H16" s="104" t="s">
        <v>323</v>
      </c>
      <c r="I16" s="105" t="s">
        <v>57</v>
      </c>
      <c r="K16" s="105" t="s">
        <v>347</v>
      </c>
      <c r="L16" s="105" t="s">
        <v>347</v>
      </c>
      <c r="M16" s="105" t="s">
        <v>347</v>
      </c>
      <c r="N16" s="105" t="s">
        <v>57</v>
      </c>
      <c r="O16" s="105" t="s">
        <v>57</v>
      </c>
      <c r="P16" s="105" t="s">
        <v>57</v>
      </c>
      <c r="Q16" s="105" t="s">
        <v>57</v>
      </c>
      <c r="R16" s="105" t="s">
        <v>57</v>
      </c>
      <c r="S16" s="105" t="s">
        <v>57</v>
      </c>
    </row>
    <row r="17" spans="1:19">
      <c r="A17" s="106">
        <v>62555</v>
      </c>
      <c r="B17" s="106" t="s">
        <v>365</v>
      </c>
      <c r="C17" s="106" t="s">
        <v>30</v>
      </c>
      <c r="D17" s="107" t="s">
        <v>69</v>
      </c>
      <c r="E17" s="106" t="s"/>
      <c r="F17" s="103">
        <v>41071</v>
      </c>
      <c r="G17" s="104" t="s">
        <v>366</v>
      </c>
      <c r="H17" s="104" t="s">
        <v>323</v>
      </c>
      <c r="I17" s="105" t="s">
        <v>338</v>
      </c>
      <c r="K17" s="105" t="s">
        <v>347</v>
      </c>
      <c r="L17" s="105" t="s">
        <v>347</v>
      </c>
      <c r="M17" s="105" t="s">
        <v>347</v>
      </c>
      <c r="N17" s="105" t="s">
        <v>341</v>
      </c>
      <c r="O17" s="105" t="s">
        <v>341</v>
      </c>
      <c r="P17" s="105" t="s">
        <v>341</v>
      </c>
      <c r="Q17" s="105" t="s">
        <v>341</v>
      </c>
      <c r="R17" s="105" t="s">
        <v>341</v>
      </c>
      <c r="S17" s="105" t="s">
        <v>341</v>
      </c>
    </row>
    <row r="18" spans="1:19">
      <c r="A18" s="106">
        <v>72205</v>
      </c>
      <c r="B18" s="106" t="s">
        <v>367</v>
      </c>
      <c r="C18" s="106" t="s">
        <v>30</v>
      </c>
      <c r="D18" s="107" t="s">
        <v>69</v>
      </c>
      <c r="E18" s="106" t="s"/>
      <c r="F18" s="103">
        <v>43291</v>
      </c>
      <c r="G18" s="104" t="s">
        <v>343</v>
      </c>
      <c r="H18" s="104" t="s">
        <v>360</v>
      </c>
      <c r="I18" s="105" t="s">
        <v>338</v>
      </c>
      <c r="K18" s="105" t="s">
        <v>347</v>
      </c>
      <c r="L18" s="105" t="s">
        <v>347</v>
      </c>
      <c r="M18" s="105" t="s">
        <v>341</v>
      </c>
      <c r="N18" s="105" t="s">
        <v>341</v>
      </c>
      <c r="O18" s="105" t="s">
        <v>341</v>
      </c>
      <c r="P18" s="105" t="s">
        <v>341</v>
      </c>
      <c r="Q18" s="105" t="s">
        <v>341</v>
      </c>
      <c r="R18" s="105" t="s">
        <v>341</v>
      </c>
      <c r="S18" s="105" t="s">
        <v>341</v>
      </c>
    </row>
    <row r="19" spans="1:19">
      <c r="A19" s="106">
        <v>72479</v>
      </c>
      <c r="B19" s="106" t="s">
        <v>368</v>
      </c>
      <c r="C19" s="106" t="s">
        <v>30</v>
      </c>
      <c r="D19" s="107" t="s">
        <v>69</v>
      </c>
      <c r="E19" s="106" t="s"/>
      <c r="F19" s="103">
        <v>43035</v>
      </c>
      <c r="G19" s="104" t="s">
        <v>369</v>
      </c>
      <c r="H19" s="104" t="s">
        <v>323</v>
      </c>
      <c r="I19" s="105" t="s">
        <v>57</v>
      </c>
      <c r="K19" s="105" t="s">
        <v>347</v>
      </c>
      <c r="L19" s="105" t="s">
        <v>57</v>
      </c>
      <c r="M19" s="105" t="s">
        <v>57</v>
      </c>
      <c r="N19" s="105" t="s">
        <v>57</v>
      </c>
      <c r="O19" s="105" t="s">
        <v>57</v>
      </c>
      <c r="P19" s="105" t="s">
        <v>57</v>
      </c>
      <c r="Q19" s="105" t="s">
        <v>57</v>
      </c>
      <c r="R19" s="105" t="s">
        <v>57</v>
      </c>
      <c r="S19" s="105" t="s">
        <v>57</v>
      </c>
    </row>
    <row r="20" spans="1:19">
      <c r="A20" s="106">
        <v>72949</v>
      </c>
      <c r="B20" s="106" t="s">
        <v>370</v>
      </c>
      <c r="C20" s="106" t="s">
        <v>177</v>
      </c>
      <c r="D20" s="107" t="s">
        <v>69</v>
      </c>
      <c r="E20" s="106" t="s"/>
      <c r="F20" s="103">
        <v>42552</v>
      </c>
      <c r="G20" s="104" t="s">
        <v>371</v>
      </c>
      <c r="H20" s="104" t="s">
        <v>323</v>
      </c>
      <c r="I20" s="105" t="s">
        <v>338</v>
      </c>
      <c r="K20" s="105" t="s">
        <v>347</v>
      </c>
      <c r="L20" s="105" t="s">
        <v>347</v>
      </c>
      <c r="M20" s="105" t="s">
        <v>347</v>
      </c>
      <c r="N20" s="105" t="s">
        <v>341</v>
      </c>
      <c r="O20" s="105" t="s">
        <v>341</v>
      </c>
      <c r="P20" s="105" t="s">
        <v>341</v>
      </c>
      <c r="Q20" s="105" t="s">
        <v>341</v>
      </c>
      <c r="R20" s="105" t="s">
        <v>341</v>
      </c>
      <c r="S20" s="105" t="s">
        <v>341</v>
      </c>
    </row>
    <row r="21" spans="1:19">
      <c r="A21" s="106">
        <v>76442</v>
      </c>
      <c r="B21" s="106" t="s">
        <v>176</v>
      </c>
      <c r="C21" s="106" t="s">
        <v>177</v>
      </c>
      <c r="D21" s="107" t="s">
        <v>69</v>
      </c>
      <c r="E21" s="106" t="s">
        <v>158</v>
      </c>
      <c r="F21" s="103">
        <v>46003</v>
      </c>
      <c r="G21" s="104" t="s">
        <v>372</v>
      </c>
      <c r="H21" s="104" t="s">
        <v>323</v>
      </c>
      <c r="I21" s="105" t="s">
        <v>257</v>
      </c>
      <c r="K21" s="105" t="s">
        <v>347</v>
      </c>
      <c r="L21" s="105" t="s">
        <v>347</v>
      </c>
      <c r="M21" s="105" t="s">
        <v>358</v>
      </c>
      <c r="N21" s="105" t="s">
        <v>351</v>
      </c>
      <c r="O21" s="105" t="s">
        <v>351</v>
      </c>
      <c r="P21" s="105" t="s">
        <v>351</v>
      </c>
      <c r="Q21" s="105" t="s">
        <v>352</v>
      </c>
      <c r="R21" s="105" t="s">
        <v>352</v>
      </c>
      <c r="S21" s="105" t="s">
        <v>352</v>
      </c>
    </row>
    <row r="22" spans="1:19">
      <c r="A22" s="106">
        <v>77251</v>
      </c>
      <c r="B22" s="106" t="s">
        <v>215</v>
      </c>
      <c r="C22" s="106" t="s">
        <v>177</v>
      </c>
      <c r="D22" s="107" t="s">
        <v>69</v>
      </c>
      <c r="E22" s="106" t="s">
        <v>180</v>
      </c>
      <c r="F22" s="103">
        <v>45901</v>
      </c>
      <c r="G22" s="104" t="s">
        <v>362</v>
      </c>
      <c r="H22" s="104" t="s">
        <v>360</v>
      </c>
      <c r="I22" s="108" t="s">
        <v>180</v>
      </c>
      <c r="K22" s="105" t="s">
        <v>373</v>
      </c>
      <c r="L22" s="105" t="s">
        <v>373</v>
      </c>
      <c r="M22" s="105" t="s">
        <v>373</v>
      </c>
      <c r="N22" s="105" t="s">
        <v>351</v>
      </c>
      <c r="O22" s="105" t="s">
        <v>351</v>
      </c>
      <c r="P22" s="105" t="s">
        <v>351</v>
      </c>
      <c r="Q22" s="105" t="s">
        <v>352</v>
      </c>
      <c r="R22" s="105" t="s">
        <v>352</v>
      </c>
      <c r="S22" s="105" t="s">
        <v>352</v>
      </c>
    </row>
    <row r="23" spans="1:19">
      <c r="A23" s="106">
        <v>77303</v>
      </c>
      <c r="B23" s="106" t="s">
        <v>374</v>
      </c>
      <c r="C23" s="106" t="s">
        <v>30</v>
      </c>
      <c r="D23" s="107" t="s">
        <v>69</v>
      </c>
      <c r="E23" s="106" t="s"/>
      <c r="F23" s="103">
        <v>41099</v>
      </c>
      <c r="G23" s="104" t="s">
        <v>375</v>
      </c>
      <c r="H23" s="104" t="s">
        <v>323</v>
      </c>
      <c r="I23" s="105" t="s">
        <v>338</v>
      </c>
      <c r="K23" s="105" t="s">
        <v>347</v>
      </c>
      <c r="L23" s="105" t="s">
        <v>347</v>
      </c>
      <c r="M23" s="105" t="s">
        <v>358</v>
      </c>
      <c r="N23" s="105" t="s">
        <v>341</v>
      </c>
      <c r="O23" s="105" t="s">
        <v>341</v>
      </c>
      <c r="P23" s="105" t="s">
        <v>341</v>
      </c>
      <c r="Q23" s="105" t="s">
        <v>341</v>
      </c>
      <c r="R23" s="105" t="s">
        <v>341</v>
      </c>
      <c r="S23" s="105" t="s">
        <v>341</v>
      </c>
    </row>
    <row r="24" spans="1:19">
      <c r="A24" s="106">
        <v>81343</v>
      </c>
      <c r="B24" s="106" t="s">
        <v>376</v>
      </c>
      <c r="C24" s="106" t="s">
        <v>30</v>
      </c>
      <c r="D24" s="107" t="s">
        <v>69</v>
      </c>
      <c r="E24" s="106" t="s"/>
      <c r="F24" s="103">
        <v>45110</v>
      </c>
      <c r="G24" s="104" t="s">
        <v>377</v>
      </c>
      <c r="H24" s="104" t="s">
        <v>323</v>
      </c>
      <c r="I24" s="105" t="s">
        <v>338</v>
      </c>
      <c r="K24" s="105" t="s">
        <v>347</v>
      </c>
      <c r="L24" s="105" t="s">
        <v>347</v>
      </c>
      <c r="M24" s="105" t="s">
        <v>358</v>
      </c>
      <c r="N24" s="105" t="s">
        <v>341</v>
      </c>
      <c r="O24" s="105" t="s">
        <v>341</v>
      </c>
      <c r="P24" s="105" t="s">
        <v>341</v>
      </c>
      <c r="Q24" s="105" t="s">
        <v>341</v>
      </c>
      <c r="R24" s="105" t="s">
        <v>341</v>
      </c>
      <c r="S24" s="105" t="s">
        <v>341</v>
      </c>
    </row>
    <row r="25" spans="1:19">
      <c r="A25" s="106">
        <v>91418</v>
      </c>
      <c r="B25" s="106" t="s">
        <v>200</v>
      </c>
      <c r="C25" s="106" t="s">
        <v>30</v>
      </c>
      <c r="D25" s="107" t="s">
        <v>69</v>
      </c>
      <c r="E25" s="106" t="s"/>
      <c r="F25" s="103">
        <v>42919</v>
      </c>
      <c r="G25" s="104" t="s">
        <v>378</v>
      </c>
      <c r="H25" s="104" t="s">
        <v>360</v>
      </c>
      <c r="I25" s="105" t="s">
        <v>257</v>
      </c>
      <c r="J25" s="105" t="s"/>
      <c r="K25" s="105" t="s">
        <v>347</v>
      </c>
      <c r="L25" s="105" t="s">
        <v>347</v>
      </c>
      <c r="M25" s="105" t="s">
        <v>358</v>
      </c>
      <c r="N25" s="105" t="s">
        <v>351</v>
      </c>
      <c r="O25" s="105" t="s">
        <v>351</v>
      </c>
      <c r="P25" s="105" t="s">
        <v>351</v>
      </c>
      <c r="Q25" s="105" t="s">
        <v>352</v>
      </c>
      <c r="R25" s="105" t="s">
        <v>352</v>
      </c>
      <c r="S25" s="105" t="s">
        <v>352</v>
      </c>
    </row>
    <row r="26" spans="1:19">
      <c r="A26" s="106">
        <v>92042</v>
      </c>
      <c r="B26" s="106" t="s">
        <v>212</v>
      </c>
      <c r="C26" s="106" t="s">
        <v>43</v>
      </c>
      <c r="D26" s="107" t="s">
        <v>69</v>
      </c>
      <c r="E26" s="106" t="s"/>
      <c r="F26" s="103">
        <v>42555</v>
      </c>
      <c r="G26" s="104" t="s">
        <v>378</v>
      </c>
      <c r="H26" s="104" t="s">
        <v>360</v>
      </c>
      <c r="I26" s="105" t="s">
        <v>338</v>
      </c>
      <c r="K26" s="105" t="s">
        <v>347</v>
      </c>
      <c r="L26" s="105" t="s">
        <v>347</v>
      </c>
      <c r="M26" s="105" t="s">
        <v>347</v>
      </c>
      <c r="N26" s="105" t="s">
        <v>341</v>
      </c>
      <c r="O26" s="105" t="s">
        <v>341</v>
      </c>
      <c r="P26" s="105" t="s">
        <v>341</v>
      </c>
      <c r="Q26" s="105" t="s">
        <v>341</v>
      </c>
      <c r="R26" s="105" t="s">
        <v>341</v>
      </c>
      <c r="S26" s="105" t="s">
        <v>341</v>
      </c>
    </row>
    <row r="27" spans="1:19">
      <c r="A27" s="106">
        <v>96208</v>
      </c>
      <c r="B27" s="106" t="s">
        <v>206</v>
      </c>
      <c r="C27" s="106" t="s">
        <v>177</v>
      </c>
      <c r="D27" s="107" t="s">
        <v>69</v>
      </c>
      <c r="E27" s="106" t="s"/>
      <c r="F27" s="103">
        <v>45901</v>
      </c>
      <c r="G27" s="104" t="s">
        <v>355</v>
      </c>
      <c r="H27" s="104" t="s">
        <v>360</v>
      </c>
      <c r="I27" s="105" t="s">
        <v>257</v>
      </c>
      <c r="K27" s="105" t="s">
        <v>172</v>
      </c>
      <c r="L27" s="105" t="s">
        <v>172</v>
      </c>
      <c r="M27" s="105" t="s">
        <v>351</v>
      </c>
      <c r="N27" s="105" t="s">
        <v>351</v>
      </c>
      <c r="O27" s="105" t="s">
        <v>351</v>
      </c>
      <c r="P27" s="105" t="s">
        <v>351</v>
      </c>
      <c r="Q27" s="105" t="s">
        <v>352</v>
      </c>
      <c r="R27" s="105" t="s">
        <v>352</v>
      </c>
      <c r="S27" s="105" t="s">
        <v>352</v>
      </c>
    </row>
    <row r="28" spans="1:13">
      <c r="A28" s="106">
        <v>96634</v>
      </c>
      <c r="B28" s="106" t="s">
        <v>379</v>
      </c>
      <c r="C28" s="106" t="s">
        <v>30</v>
      </c>
      <c r="D28" s="107" t="s">
        <v>69</v>
      </c>
      <c r="E28" s="106" t="s"/>
      <c r="F28" s="103">
        <v>44746</v>
      </c>
      <c r="G28" s="104" t="s">
        <v>380</v>
      </c>
      <c r="H28" s="104" t="s">
        <v>323</v>
      </c>
      <c r="I28" s="105" t="s">
        <v>350</v>
      </c>
      <c r="K28" s="105" t="s">
        <v>347</v>
      </c>
      <c r="L28" s="105" t="s">
        <v>347</v>
      </c>
      <c r="M28" s="105" t="s">
        <v>347</v>
      </c>
    </row>
    <row r="29" spans="1:19">
      <c r="A29" s="106">
        <v>97224</v>
      </c>
      <c r="B29" s="106" t="s">
        <v>381</v>
      </c>
      <c r="C29" s="106" t="s">
        <v>30</v>
      </c>
      <c r="D29" s="109" t="s">
        <v>69</v>
      </c>
      <c r="E29" s="106" t="s"/>
      <c r="F29" s="103">
        <v>45954</v>
      </c>
      <c r="G29" s="104" t="s">
        <v>357</v>
      </c>
      <c r="H29" s="104" t="s">
        <v>360</v>
      </c>
      <c r="I29" s="105" t="s">
        <v>338</v>
      </c>
      <c r="K29" s="105" t="s">
        <v>86</v>
      </c>
      <c r="L29" s="105" t="s">
        <v>86</v>
      </c>
      <c r="M29" s="105" t="s">
        <v>86</v>
      </c>
      <c r="N29" s="105" t="s">
        <v>341</v>
      </c>
      <c r="O29" s="105" t="s">
        <v>341</v>
      </c>
      <c r="P29" s="105" t="s">
        <v>341</v>
      </c>
      <c r="Q29" s="105" t="s">
        <v>341</v>
      </c>
      <c r="R29" s="105" t="s">
        <v>341</v>
      </c>
      <c r="S29" s="105" t="s">
        <v>341</v>
      </c>
    </row>
    <row r="30" spans="1:19">
      <c r="A30" s="106" t="s"/>
      <c r="B30" s="106" t="s">
        <v>382</v>
      </c>
      <c r="C30" s="106" t="s"/>
      <c r="D30" s="109" t="s">
        <v>69</v>
      </c>
      <c r="E30" s="106" t="s"/>
      <c r="F30" s="103" t="s"/>
      <c r="G30" s="104" t="s"/>
      <c r="H30" s="104" t="s"/>
      <c r="I30" s="105" t="s">
        <v>338</v>
      </c>
      <c r="J30" s="105" t="s">
        <v>338</v>
      </c>
      <c r="K30" s="105" t="s">
        <v>338</v>
      </c>
      <c r="L30" s="105" t="s">
        <v>338</v>
      </c>
      <c r="M30" s="105" t="s">
        <v>338</v>
      </c>
      <c r="N30" s="105" t="s">
        <v>341</v>
      </c>
      <c r="O30" s="105" t="s">
        <v>341</v>
      </c>
      <c r="P30" s="105" t="s">
        <v>341</v>
      </c>
      <c r="Q30" s="105" t="s">
        <v>341</v>
      </c>
      <c r="R30" s="105" t="s">
        <v>341</v>
      </c>
      <c r="S30" s="105" t="s">
        <v>341</v>
      </c>
    </row>
    <row r="31" spans="1:19">
      <c r="A31" s="106" t="s"/>
      <c r="B31" s="106" t="s">
        <v>383</v>
      </c>
      <c r="C31" s="106" t="s"/>
      <c r="D31" s="109" t="s">
        <v>69</v>
      </c>
      <c r="E31" s="106" t="s"/>
      <c r="F31" s="103" t="s"/>
      <c r="G31" s="104" t="s"/>
      <c r="H31" s="104" t="s"/>
      <c r="I31" s="105" t="s">
        <v>338</v>
      </c>
      <c r="J31" s="105" t="s">
        <v>338</v>
      </c>
      <c r="K31" s="105" t="s">
        <v>338</v>
      </c>
      <c r="L31" s="105" t="s">
        <v>338</v>
      </c>
      <c r="M31" s="105" t="s">
        <v>338</v>
      </c>
      <c r="N31" s="105" t="s">
        <v>341</v>
      </c>
      <c r="O31" s="105" t="s">
        <v>341</v>
      </c>
      <c r="P31" s="105" t="s">
        <v>341</v>
      </c>
      <c r="Q31" s="105" t="s">
        <v>341</v>
      </c>
      <c r="R31" s="105" t="s">
        <v>341</v>
      </c>
      <c r="S31" s="105" t="s">
        <v>341</v>
      </c>
    </row>
    <row r="32" spans="1:19">
      <c r="A32" s="106" t="s"/>
      <c r="B32" s="106" t="s">
        <v>384</v>
      </c>
      <c r="C32" s="106" t="s"/>
      <c r="D32" s="109" t="s">
        <v>69</v>
      </c>
      <c r="E32" s="106" t="s"/>
      <c r="F32" s="103" t="s"/>
      <c r="G32" s="104" t="s"/>
      <c r="H32" s="104" t="s"/>
      <c r="I32" s="105" t="s">
        <v>338</v>
      </c>
      <c r="J32" s="105" t="s">
        <v>338</v>
      </c>
      <c r="K32" s="105" t="s">
        <v>338</v>
      </c>
      <c r="L32" s="105" t="s">
        <v>338</v>
      </c>
      <c r="M32" s="105" t="s">
        <v>338</v>
      </c>
      <c r="N32" s="105" t="s">
        <v>341</v>
      </c>
      <c r="O32" s="105" t="s">
        <v>341</v>
      </c>
      <c r="P32" s="105" t="s">
        <v>341</v>
      </c>
      <c r="Q32" s="105" t="s">
        <v>341</v>
      </c>
      <c r="R32" s="105" t="s">
        <v>341</v>
      </c>
      <c r="S32" s="105" t="s">
        <v>341</v>
      </c>
    </row>
    <row r="33" spans="1:13">
      <c r="A33" s="106">
        <v>99812</v>
      </c>
      <c r="B33" s="106" t="s">
        <v>171</v>
      </c>
      <c r="C33" s="106" t="s">
        <v>30</v>
      </c>
      <c r="D33" s="107" t="s">
        <v>69</v>
      </c>
      <c r="E33" s="106" t="s"/>
      <c r="F33" s="103">
        <v>45839</v>
      </c>
      <c r="G33" s="104" t="s">
        <v>355</v>
      </c>
      <c r="H33" s="104" t="s">
        <v>360</v>
      </c>
      <c r="I33" s="105" t="s">
        <v>350</v>
      </c>
      <c r="K33" s="105" t="s">
        <v>347</v>
      </c>
      <c r="L33" s="105" t="s">
        <v>347</v>
      </c>
      <c r="M33" s="105" t="s">
        <v>347</v>
      </c>
    </row>
    <row r="34" spans="1:19">
      <c r="A34" s="110">
        <v>93622</v>
      </c>
      <c r="B34" s="110" t="s">
        <v>112</v>
      </c>
      <c r="C34" s="110" t="s">
        <v>66</v>
      </c>
      <c r="D34" s="111" t="s">
        <v>385</v>
      </c>
      <c r="E34" s="110" t="s">
        <v>386</v>
      </c>
      <c r="F34" s="103">
        <v>42562</v>
      </c>
      <c r="G34" s="104" t="s">
        <v>387</v>
      </c>
      <c r="H34" s="104" t="s">
        <v>323</v>
      </c>
      <c r="I34" s="105" t="s">
        <v>338</v>
      </c>
      <c r="K34" s="105" t="s">
        <v>347</v>
      </c>
      <c r="L34" s="105" t="s">
        <v>347</v>
      </c>
      <c r="M34" s="105" t="s">
        <v>347</v>
      </c>
      <c r="N34" s="105" t="s">
        <v>341</v>
      </c>
      <c r="O34" s="105" t="s">
        <v>341</v>
      </c>
      <c r="P34" s="105" t="s">
        <v>341</v>
      </c>
      <c r="Q34" s="105" t="s">
        <v>341</v>
      </c>
      <c r="R34" s="105" t="s">
        <v>341</v>
      </c>
      <c r="S34" s="105" t="s">
        <v>341</v>
      </c>
    </row>
    <row r="35" spans="1:13">
      <c r="A35" s="110">
        <v>89973</v>
      </c>
      <c r="B35" s="110" t="s">
        <v>134</v>
      </c>
      <c r="C35" s="110" t="s">
        <v>43</v>
      </c>
      <c r="D35" s="111" t="s">
        <v>385</v>
      </c>
      <c r="E35" s="110" t="s"/>
      <c r="F35" s="103">
        <v>43672</v>
      </c>
      <c r="G35" s="104" t="s">
        <v>355</v>
      </c>
      <c r="H35" s="104" t="s">
        <v>323</v>
      </c>
      <c r="I35" s="105" t="s">
        <v>350</v>
      </c>
      <c r="K35" s="105" t="s">
        <v>172</v>
      </c>
      <c r="L35" s="105" t="s">
        <v>172</v>
      </c>
      <c r="M35" s="105" t="s">
        <v>172</v>
      </c>
    </row>
    <row r="36" spans="1:19">
      <c r="A36" s="110">
        <v>29586</v>
      </c>
      <c r="B36" s="110" t="s">
        <v>143</v>
      </c>
      <c r="C36" s="110" t="s">
        <v>388</v>
      </c>
      <c r="D36" s="111" t="s">
        <v>385</v>
      </c>
      <c r="E36" s="100" t="s">
        <v>310</v>
      </c>
      <c r="F36" s="103">
        <v>42499</v>
      </c>
      <c r="G36" s="104" t="s">
        <v>389</v>
      </c>
      <c r="H36" s="104" t="s">
        <v>323</v>
      </c>
      <c r="I36" s="105" t="s">
        <v>310</v>
      </c>
      <c r="K36" s="105" t="s">
        <v>310</v>
      </c>
      <c r="L36" s="105" t="s">
        <v>310</v>
      </c>
      <c r="M36" s="105" t="s">
        <v>310</v>
      </c>
      <c r="N36" s="105" t="s">
        <v>310</v>
      </c>
      <c r="O36" s="105" t="s">
        <v>310</v>
      </c>
      <c r="P36" s="105" t="s">
        <v>310</v>
      </c>
      <c r="Q36" s="105" t="s">
        <v>310</v>
      </c>
      <c r="R36" s="105" t="s">
        <v>310</v>
      </c>
      <c r="S36" s="105" t="s">
        <v>310</v>
      </c>
    </row>
    <row r="37" spans="1:13">
      <c r="A37" s="110">
        <v>37038</v>
      </c>
      <c r="B37" s="110" t="s">
        <v>115</v>
      </c>
      <c r="C37" s="110" t="s">
        <v>66</v>
      </c>
      <c r="D37" s="111" t="s">
        <v>385</v>
      </c>
      <c r="E37" s="110" t="s"/>
      <c r="F37" s="103">
        <v>41019</v>
      </c>
      <c r="G37" s="104" t="s">
        <v>377</v>
      </c>
      <c r="H37" s="104" t="s">
        <v>360</v>
      </c>
      <c r="I37" s="105" t="s">
        <v>350</v>
      </c>
      <c r="K37" s="105" t="s">
        <v>390</v>
      </c>
      <c r="L37" s="105" t="s">
        <v>390</v>
      </c>
      <c r="M37" s="105" t="s">
        <v>390</v>
      </c>
    </row>
    <row r="38" spans="1:19">
      <c r="A38" s="110">
        <v>14659</v>
      </c>
      <c r="B38" s="110" t="s">
        <v>98</v>
      </c>
      <c r="C38" s="110" t="s">
        <v>66</v>
      </c>
      <c r="D38" s="111" t="s">
        <v>385</v>
      </c>
      <c r="E38" s="100" t="s"/>
      <c r="F38" s="103">
        <v>46036</v>
      </c>
      <c r="G38" s="104" t="s">
        <v>391</v>
      </c>
      <c r="H38" s="104" t="s">
        <v>323</v>
      </c>
      <c r="I38" s="105" t="s">
        <v>172</v>
      </c>
      <c r="K38" s="105" t="s">
        <v>347</v>
      </c>
      <c r="L38" s="105" t="s">
        <v>347</v>
      </c>
      <c r="M38" s="105" t="s">
        <v>347</v>
      </c>
      <c r="N38" s="105" t="s">
        <v>172</v>
      </c>
      <c r="O38" s="105" t="s">
        <v>172</v>
      </c>
      <c r="P38" s="105" t="s">
        <v>172</v>
      </c>
      <c r="Q38" s="105" t="s">
        <v>172</v>
      </c>
      <c r="R38" s="105" t="s">
        <v>172</v>
      </c>
      <c r="S38" s="105" t="s">
        <v>172</v>
      </c>
    </row>
    <row r="39" spans="1:13">
      <c r="A39" s="110">
        <v>17220</v>
      </c>
      <c r="B39" s="110" t="s">
        <v>146</v>
      </c>
      <c r="C39" s="110" t="s">
        <v>66</v>
      </c>
      <c r="D39" s="111" t="s">
        <v>385</v>
      </c>
      <c r="E39" s="110" t="s"/>
      <c r="F39" s="103">
        <v>45840</v>
      </c>
      <c r="G39" s="104" t="s">
        <v>392</v>
      </c>
      <c r="H39" s="104" t="s">
        <v>323</v>
      </c>
      <c r="I39" s="105" t="s">
        <v>350</v>
      </c>
      <c r="K39" s="105" t="s">
        <v>347</v>
      </c>
      <c r="L39" s="105" t="s">
        <v>347</v>
      </c>
      <c r="M39" s="105" t="s">
        <v>347</v>
      </c>
    </row>
    <row r="40" spans="1:11">
      <c r="A40" s="110">
        <v>75912</v>
      </c>
      <c r="B40" s="110" t="s">
        <v>119</v>
      </c>
      <c r="C40" s="110" t="s">
        <v>393</v>
      </c>
      <c r="D40" s="111" t="s">
        <v>385</v>
      </c>
      <c r="E40" s="110" t="s">
        <v>308</v>
      </c>
      <c r="F40" s="103">
        <v>42191</v>
      </c>
      <c r="G40" s="104" t="s">
        <v>394</v>
      </c>
      <c r="H40" s="104" t="s">
        <v>360</v>
      </c>
      <c r="I40" s="105" t="s">
        <v>350</v>
      </c>
      <c r="K40" s="105" t="s">
        <v>347</v>
      </c>
    </row>
    <row r="41" spans="1:19">
      <c r="A41" s="110">
        <v>65248</v>
      </c>
      <c r="B41" s="110" t="s">
        <v>125</v>
      </c>
      <c r="C41" s="110" t="s">
        <v>43</v>
      </c>
      <c r="D41" s="111" t="s">
        <v>385</v>
      </c>
      <c r="E41" s="110" t="s">
        <v>386</v>
      </c>
      <c r="F41" s="103">
        <v>40277</v>
      </c>
      <c r="G41" s="104" t="s">
        <v>395</v>
      </c>
      <c r="H41" s="104" t="s">
        <v>396</v>
      </c>
      <c r="I41" s="105" t="s">
        <v>338</v>
      </c>
      <c r="K41" s="105" t="s">
        <v>347</v>
      </c>
      <c r="L41" s="105" t="s">
        <v>347</v>
      </c>
      <c r="M41" s="105" t="s">
        <v>347</v>
      </c>
      <c r="N41" s="105" t="s">
        <v>341</v>
      </c>
      <c r="O41" s="105" t="s">
        <v>341</v>
      </c>
      <c r="P41" s="105" t="s">
        <v>341</v>
      </c>
      <c r="Q41" s="105" t="s">
        <v>341</v>
      </c>
      <c r="R41" s="105" t="s">
        <v>341</v>
      </c>
      <c r="S41" s="105" t="s">
        <v>341</v>
      </c>
    </row>
    <row r="42" spans="1:19">
      <c r="A42" s="110">
        <v>70568</v>
      </c>
      <c r="B42" s="110" t="s">
        <v>139</v>
      </c>
      <c r="C42" s="110" t="s">
        <v>397</v>
      </c>
      <c r="D42" s="111" t="s">
        <v>385</v>
      </c>
      <c r="E42" s="110" t="s">
        <v>386</v>
      </c>
      <c r="F42" s="103">
        <v>42184</v>
      </c>
      <c r="G42" s="104" t="s">
        <v>362</v>
      </c>
      <c r="H42" s="104" t="s">
        <v>360</v>
      </c>
      <c r="I42" s="105" t="s">
        <v>338</v>
      </c>
      <c r="K42" s="105" t="s">
        <v>347</v>
      </c>
      <c r="L42" s="105" t="s">
        <v>347</v>
      </c>
      <c r="M42" s="105" t="s">
        <v>347</v>
      </c>
      <c r="N42" s="105" t="s">
        <v>341</v>
      </c>
      <c r="O42" s="105" t="s">
        <v>341</v>
      </c>
      <c r="P42" s="105" t="s">
        <v>341</v>
      </c>
      <c r="Q42" s="105" t="s">
        <v>341</v>
      </c>
      <c r="R42" s="105" t="s">
        <v>341</v>
      </c>
      <c r="S42" s="105" t="s">
        <v>341</v>
      </c>
    </row>
    <row r="43" spans="1:19">
      <c r="A43" s="110">
        <v>60993</v>
      </c>
      <c r="B43" s="110" t="s">
        <v>129</v>
      </c>
      <c r="C43" s="110" t="s">
        <v>68</v>
      </c>
      <c r="D43" s="111" t="s">
        <v>385</v>
      </c>
      <c r="E43" s="110" t="s"/>
      <c r="F43" s="103">
        <v>41099</v>
      </c>
      <c r="G43" s="104" t="s">
        <v>322</v>
      </c>
      <c r="H43" s="104" t="s">
        <v>323</v>
      </c>
      <c r="I43" s="105" t="s">
        <v>172</v>
      </c>
      <c r="K43" s="105" t="s">
        <v>347</v>
      </c>
      <c r="L43" s="105" t="s">
        <v>347</v>
      </c>
      <c r="M43" s="105" t="s">
        <v>347</v>
      </c>
      <c r="N43" s="105" t="s">
        <v>172</v>
      </c>
      <c r="O43" s="105" t="s">
        <v>172</v>
      </c>
      <c r="P43" s="105" t="s">
        <v>172</v>
      </c>
      <c r="Q43" s="105" t="s">
        <v>172</v>
      </c>
      <c r="R43" s="105" t="s">
        <v>172</v>
      </c>
      <c r="S43" s="105" t="s">
        <v>172</v>
      </c>
    </row>
    <row r="44" spans="1:19">
      <c r="A44" s="110">
        <v>62340</v>
      </c>
      <c r="B44" s="110" t="s">
        <v>398</v>
      </c>
      <c r="C44" s="110" t="s">
        <v>30</v>
      </c>
      <c r="D44" s="111" t="s">
        <v>385</v>
      </c>
      <c r="E44" s="110" t="s"/>
      <c r="F44" s="103">
        <v>46028</v>
      </c>
      <c r="G44" s="104" t="s">
        <v>399</v>
      </c>
      <c r="H44" s="104" t="s">
        <v>323</v>
      </c>
      <c r="I44" s="105" t="s">
        <v>354</v>
      </c>
      <c r="K44" s="105" t="s">
        <v>172</v>
      </c>
      <c r="L44" s="105" t="s">
        <v>172</v>
      </c>
      <c r="M44" s="105" t="s">
        <v>172</v>
      </c>
      <c r="N44" s="105" t="s">
        <v>390</v>
      </c>
      <c r="O44" s="105" t="s">
        <v>390</v>
      </c>
      <c r="P44" s="105" t="s">
        <v>390</v>
      </c>
      <c r="Q44" s="105" t="s">
        <v>390</v>
      </c>
      <c r="R44" s="105" t="s">
        <v>390</v>
      </c>
      <c r="S44" s="105" t="s">
        <v>390</v>
      </c>
    </row>
    <row r="45" spans="1:19">
      <c r="A45" s="110">
        <v>46032</v>
      </c>
      <c r="B45" s="110" t="s">
        <v>400</v>
      </c>
      <c r="C45" s="110" t="s">
        <v>30</v>
      </c>
      <c r="D45" s="111" t="s">
        <v>385</v>
      </c>
      <c r="E45" s="110" t="s"/>
      <c r="F45" s="103">
        <v>44018</v>
      </c>
      <c r="G45" s="104" t="s">
        <v>401</v>
      </c>
      <c r="H45" s="104" t="s">
        <v>323</v>
      </c>
      <c r="I45" s="105" t="s">
        <v>354</v>
      </c>
      <c r="K45" s="105" t="s">
        <v>390</v>
      </c>
      <c r="L45" s="105" t="s">
        <v>390</v>
      </c>
      <c r="M45" s="105" t="s">
        <v>390</v>
      </c>
      <c r="N45" s="105" t="s">
        <v>390</v>
      </c>
      <c r="O45" s="105" t="s">
        <v>390</v>
      </c>
      <c r="P45" s="105" t="s">
        <v>390</v>
      </c>
      <c r="Q45" s="105" t="s">
        <v>390</v>
      </c>
      <c r="R45" s="105" t="s">
        <v>390</v>
      </c>
      <c r="S45" s="105" t="s">
        <v>390</v>
      </c>
    </row>
    <row r="46" spans="1:19">
      <c r="A46" s="110">
        <v>23167</v>
      </c>
      <c r="B46" s="110" t="s">
        <v>107</v>
      </c>
      <c r="C46" s="110" t="s">
        <v>63</v>
      </c>
      <c r="D46" s="111" t="s">
        <v>385</v>
      </c>
      <c r="E46" s="110" t="s">
        <v>402</v>
      </c>
      <c r="F46" s="103">
        <v>45840</v>
      </c>
      <c r="G46" s="104" t="s">
        <v>377</v>
      </c>
      <c r="H46" s="104" t="s">
        <v>323</v>
      </c>
      <c r="I46" s="105" t="s">
        <v>338</v>
      </c>
      <c r="K46" s="105" t="s">
        <v>347</v>
      </c>
      <c r="L46" s="105" t="s">
        <v>347</v>
      </c>
      <c r="M46" s="105" t="s">
        <v>347</v>
      </c>
      <c r="N46" s="105" t="s">
        <v>341</v>
      </c>
      <c r="O46" s="105" t="s">
        <v>341</v>
      </c>
      <c r="P46" s="105" t="s">
        <v>341</v>
      </c>
      <c r="Q46" s="105" t="s">
        <v>341</v>
      </c>
      <c r="R46" s="105" t="s">
        <v>341</v>
      </c>
      <c r="S46" s="105" t="s">
        <v>341</v>
      </c>
    </row>
    <row r="47" spans="1:19">
      <c r="A47" s="110" t="s"/>
      <c r="B47" s="110" t="s">
        <v>382</v>
      </c>
      <c r="C47" s="110" t="s"/>
      <c r="D47" s="111" t="s">
        <v>385</v>
      </c>
      <c r="E47" s="110" t="s"/>
      <c r="F47" s="103" t="s"/>
      <c r="G47" s="104" t="s"/>
      <c r="H47" s="104" t="s"/>
      <c r="I47" s="105" t="s">
        <v>338</v>
      </c>
      <c r="J47" s="105" t="s">
        <v>338</v>
      </c>
      <c r="K47" s="105" t="s">
        <v>338</v>
      </c>
      <c r="L47" s="105" t="s">
        <v>338</v>
      </c>
      <c r="M47" s="105" t="s">
        <v>338</v>
      </c>
      <c r="N47" s="105" t="s">
        <v>341</v>
      </c>
      <c r="O47" s="105" t="s">
        <v>341</v>
      </c>
      <c r="P47" s="105" t="s">
        <v>341</v>
      </c>
      <c r="Q47" s="105" t="s">
        <v>341</v>
      </c>
      <c r="R47" s="105" t="s">
        <v>341</v>
      </c>
      <c r="S47" s="105" t="s">
        <v>341</v>
      </c>
    </row>
    <row r="48" spans="1:19">
      <c r="A48" s="110">
        <v>49087</v>
      </c>
      <c r="B48" s="110" t="s">
        <v>103</v>
      </c>
      <c r="C48" s="110" t="s">
        <v>177</v>
      </c>
      <c r="D48" s="111" t="s">
        <v>385</v>
      </c>
      <c r="E48" s="110" t="s">
        <v>403</v>
      </c>
      <c r="F48" s="103">
        <v>41057</v>
      </c>
      <c r="G48" s="104" t="s">
        <v>404</v>
      </c>
      <c r="H48" s="104" t="s">
        <v>396</v>
      </c>
      <c r="I48" s="105" t="s">
        <v>257</v>
      </c>
      <c r="K48" s="105" t="s">
        <v>373</v>
      </c>
      <c r="L48" s="105" t="s">
        <v>373</v>
      </c>
      <c r="M48" s="105" t="s">
        <v>351</v>
      </c>
      <c r="N48" s="105" t="s">
        <v>351</v>
      </c>
      <c r="O48" s="105" t="s">
        <v>351</v>
      </c>
      <c r="P48" s="105" t="s">
        <v>351</v>
      </c>
      <c r="Q48" s="105" t="s">
        <v>352</v>
      </c>
      <c r="R48" s="105" t="s">
        <v>352</v>
      </c>
      <c r="S48" s="105" t="s">
        <v>352</v>
      </c>
    </row>
    <row r="49" spans="1:13">
      <c r="A49" s="101">
        <v>10394</v>
      </c>
      <c r="B49" s="101" t="s">
        <v>405</v>
      </c>
      <c r="C49" s="101" t="s">
        <v>66</v>
      </c>
      <c r="D49" s="102" t="s">
        <v>406</v>
      </c>
      <c r="E49" s="101" t="s"/>
      <c r="F49" s="103">
        <v>41036</v>
      </c>
      <c r="G49" s="104" t="s">
        <v>407</v>
      </c>
      <c r="H49" s="104" t="s">
        <v>323</v>
      </c>
      <c r="I49" s="105" t="s">
        <v>350</v>
      </c>
      <c r="K49" s="105" t="s">
        <v>57</v>
      </c>
      <c r="L49" s="105" t="s">
        <v>57</v>
      </c>
      <c r="M49" s="105" t="s">
        <v>57</v>
      </c>
    </row>
    <row r="50" spans="1:19">
      <c r="A50" s="101">
        <v>10531</v>
      </c>
      <c r="B50" s="101" t="s">
        <v>408</v>
      </c>
      <c r="C50" s="101" t="s">
        <v>68</v>
      </c>
      <c r="D50" s="102" t="s">
        <v>406</v>
      </c>
      <c r="E50" s="101" t="s"/>
      <c r="F50" s="103">
        <v>43675</v>
      </c>
      <c r="G50" s="104" t="s">
        <v>409</v>
      </c>
      <c r="H50" s="104" t="s">
        <v>323</v>
      </c>
      <c r="I50" s="105" t="s">
        <v>172</v>
      </c>
      <c r="K50" s="105" t="s">
        <v>172</v>
      </c>
      <c r="L50" s="105" t="s">
        <v>172</v>
      </c>
      <c r="M50" s="105" t="s">
        <v>172</v>
      </c>
      <c r="N50" s="105" t="s">
        <v>172</v>
      </c>
      <c r="O50" s="105" t="s">
        <v>172</v>
      </c>
      <c r="P50" s="105" t="s">
        <v>172</v>
      </c>
      <c r="Q50" s="105" t="s">
        <v>172</v>
      </c>
      <c r="R50" s="105" t="s">
        <v>172</v>
      </c>
      <c r="S50" s="105" t="s">
        <v>172</v>
      </c>
    </row>
    <row r="51" spans="1:19">
      <c r="A51" s="101">
        <v>11881</v>
      </c>
      <c r="B51" s="101" t="s">
        <v>410</v>
      </c>
      <c r="C51" s="101" t="s">
        <v>411</v>
      </c>
      <c r="D51" s="102" t="s">
        <v>406</v>
      </c>
      <c r="E51" s="101" t="s"/>
      <c r="F51" s="103">
        <v>44984</v>
      </c>
      <c r="G51" s="104" t="s">
        <v>412</v>
      </c>
      <c r="H51" s="104" t="s">
        <v>323</v>
      </c>
      <c r="I51" s="105" t="s">
        <v>257</v>
      </c>
      <c r="K51" s="105" t="s">
        <v>347</v>
      </c>
      <c r="L51" s="105" t="s">
        <v>347</v>
      </c>
      <c r="M51" s="105" t="s">
        <v>347</v>
      </c>
      <c r="N51" s="105" t="s">
        <v>351</v>
      </c>
      <c r="O51" s="105" t="s">
        <v>351</v>
      </c>
      <c r="P51" s="105" t="s">
        <v>351</v>
      </c>
      <c r="Q51" s="105" t="s">
        <v>352</v>
      </c>
      <c r="R51" s="105" t="s">
        <v>352</v>
      </c>
      <c r="S51" s="105" t="s">
        <v>352</v>
      </c>
    </row>
    <row r="52" spans="1:19">
      <c r="A52" s="101" t="s"/>
      <c r="B52" s="112" t="s">
        <v>382</v>
      </c>
      <c r="C52" s="101" t="s"/>
      <c r="D52" s="102" t="s">
        <v>406</v>
      </c>
      <c r="E52" s="101" t="s"/>
      <c r="F52" s="103" t="s"/>
      <c r="G52" s="104" t="s"/>
      <c r="H52" s="104" t="s"/>
      <c r="I52" s="105" t="s">
        <v>338</v>
      </c>
      <c r="J52" s="105" t="s">
        <v>338</v>
      </c>
      <c r="K52" s="105" t="s">
        <v>338</v>
      </c>
      <c r="L52" s="105" t="s">
        <v>338</v>
      </c>
      <c r="M52" s="105" t="s">
        <v>338</v>
      </c>
      <c r="N52" s="105" t="s">
        <v>341</v>
      </c>
      <c r="O52" s="105" t="s">
        <v>341</v>
      </c>
      <c r="P52" s="105" t="s">
        <v>341</v>
      </c>
      <c r="Q52" s="105" t="s">
        <v>341</v>
      </c>
      <c r="R52" s="105" t="s">
        <v>341</v>
      </c>
      <c r="S52" s="105" t="s">
        <v>341</v>
      </c>
    </row>
    <row r="53" spans="1:19">
      <c r="A53" s="101" t="s"/>
      <c r="B53" s="112" t="s">
        <v>383</v>
      </c>
      <c r="C53" s="101" t="s"/>
      <c r="D53" s="102" t="s">
        <v>406</v>
      </c>
      <c r="E53" s="101" t="s"/>
      <c r="F53" s="103" t="s"/>
      <c r="G53" s="104" t="s"/>
      <c r="H53" s="104" t="s"/>
      <c r="I53" s="105" t="s">
        <v>338</v>
      </c>
      <c r="J53" s="105" t="s">
        <v>338</v>
      </c>
      <c r="K53" s="105" t="s">
        <v>338</v>
      </c>
      <c r="L53" s="105" t="s">
        <v>338</v>
      </c>
      <c r="M53" s="105" t="s">
        <v>338</v>
      </c>
      <c r="N53" s="105" t="s">
        <v>341</v>
      </c>
      <c r="O53" s="105" t="s">
        <v>341</v>
      </c>
      <c r="P53" s="105" t="s">
        <v>341</v>
      </c>
      <c r="Q53" s="105" t="s">
        <v>341</v>
      </c>
      <c r="R53" s="105" t="s">
        <v>341</v>
      </c>
      <c r="S53" s="105" t="s">
        <v>341</v>
      </c>
    </row>
    <row r="54" spans="1:19">
      <c r="A54" s="101" t="s"/>
      <c r="B54" s="112" t="s">
        <v>384</v>
      </c>
      <c r="C54" s="101" t="s"/>
      <c r="D54" s="102" t="s">
        <v>406</v>
      </c>
      <c r="E54" s="101" t="s"/>
      <c r="F54" s="103" t="s"/>
      <c r="G54" s="104" t="s"/>
      <c r="H54" s="104" t="s"/>
      <c r="I54" s="113" t="s">
        <v>257</v>
      </c>
      <c r="N54" s="105" t="s">
        <v>351</v>
      </c>
      <c r="O54" s="105" t="s">
        <v>351</v>
      </c>
      <c r="P54" s="105" t="s">
        <v>351</v>
      </c>
      <c r="Q54" s="105" t="s">
        <v>352</v>
      </c>
      <c r="R54" s="105" t="s">
        <v>352</v>
      </c>
      <c r="S54" s="105" t="s">
        <v>352</v>
      </c>
    </row>
    <row r="55" spans="1:19">
      <c r="A55" s="101" t="s"/>
      <c r="B55" s="112" t="s">
        <v>413</v>
      </c>
      <c r="C55" s="101" t="s"/>
      <c r="D55" s="102" t="s">
        <v>406</v>
      </c>
      <c r="E55" s="101" t="s"/>
      <c r="F55" s="103" t="s"/>
      <c r="G55" s="104" t="s"/>
      <c r="H55" s="104" t="s"/>
      <c r="I55" s="105" t="s">
        <v>57</v>
      </c>
      <c r="N55" s="105" t="s">
        <v>57</v>
      </c>
      <c r="O55" s="105" t="s">
        <v>57</v>
      </c>
      <c r="P55" s="105" t="s">
        <v>57</v>
      </c>
      <c r="Q55" s="105" t="s">
        <v>57</v>
      </c>
      <c r="R55" s="105" t="s">
        <v>57</v>
      </c>
      <c r="S55" s="105" t="s">
        <v>57</v>
      </c>
    </row>
    <row r="56" spans="1:8">
      <c r="A56" s="101" t="s">
        <v>414</v>
      </c>
      <c r="B56" s="101" t="s">
        <v>415</v>
      </c>
      <c r="C56" s="101" t="s"/>
      <c r="D56" s="102" t="s">
        <v>416</v>
      </c>
      <c r="E56" s="101" t="s"/>
      <c r="F56" s="103">
        <v>43077</v>
      </c>
      <c r="G56" s="104" t="s">
        <v>417</v>
      </c>
      <c r="H56" s="104" t="s">
        <v>323</v>
      </c>
    </row>
    <row r="57" spans="1:8">
      <c r="A57" s="101" t="s">
        <v>418</v>
      </c>
      <c r="B57" s="101" t="s">
        <v>419</v>
      </c>
      <c r="C57" s="101" t="s"/>
      <c r="D57" s="102" t="s">
        <v>416</v>
      </c>
      <c r="E57" s="101" t="s"/>
      <c r="F57" s="103">
        <v>42880</v>
      </c>
      <c r="G57" s="104" t="s">
        <v>394</v>
      </c>
      <c r="H57" s="104" t="s">
        <v>323</v>
      </c>
    </row>
    <row r="58" spans="1:13">
      <c r="A58" s="101">
        <v>82327</v>
      </c>
      <c r="B58" s="101" t="s">
        <v>420</v>
      </c>
      <c r="C58" s="101" t="s">
        <v>43</v>
      </c>
      <c r="D58" s="102" t="s">
        <v>406</v>
      </c>
      <c r="E58" s="101" t="s"/>
      <c r="F58" s="103">
        <v>42191</v>
      </c>
      <c r="G58" s="104" t="s">
        <v>334</v>
      </c>
      <c r="H58" s="104" t="s">
        <v>360</v>
      </c>
      <c r="I58" s="105" t="s">
        <v>350</v>
      </c>
      <c r="K58" s="105" t="s">
        <v>347</v>
      </c>
      <c r="L58" s="105" t="s">
        <v>347</v>
      </c>
      <c r="M58" s="105" t="s">
        <v>347</v>
      </c>
    </row>
    <row r="59" spans="1:19">
      <c r="A59" s="101">
        <v>79787</v>
      </c>
      <c r="B59" s="101" t="s">
        <v>421</v>
      </c>
      <c r="C59" s="101" t="s">
        <v>66</v>
      </c>
      <c r="D59" s="102" t="s">
        <v>406</v>
      </c>
      <c r="E59" s="101" t="s"/>
      <c r="F59" s="103">
        <v>45840</v>
      </c>
      <c r="G59" s="104" t="s">
        <v>377</v>
      </c>
      <c r="H59" s="104" t="s">
        <v>323</v>
      </c>
      <c r="I59" s="105" t="s">
        <v>338</v>
      </c>
      <c r="K59" s="105" t="s">
        <v>347</v>
      </c>
      <c r="L59" s="105" t="s">
        <v>347</v>
      </c>
      <c r="M59" s="105" t="s">
        <v>347</v>
      </c>
      <c r="N59" s="105" t="s">
        <v>341</v>
      </c>
      <c r="O59" s="105" t="s">
        <v>341</v>
      </c>
      <c r="P59" s="105" t="s">
        <v>341</v>
      </c>
      <c r="Q59" s="105" t="s">
        <v>341</v>
      </c>
      <c r="R59" s="105" t="s">
        <v>341</v>
      </c>
      <c r="S59" s="105" t="s">
        <v>341</v>
      </c>
    </row>
    <row r="60" spans="1:19">
      <c r="A60" s="101">
        <v>71944</v>
      </c>
      <c r="B60" s="101" t="s">
        <v>422</v>
      </c>
      <c r="C60" s="101" t="s">
        <v>43</v>
      </c>
      <c r="D60" s="102" t="s">
        <v>406</v>
      </c>
      <c r="E60" s="101" t="s"/>
      <c r="F60" s="103">
        <v>45840</v>
      </c>
      <c r="G60" s="104" t="s">
        <v>377</v>
      </c>
      <c r="H60" s="104" t="s">
        <v>323</v>
      </c>
      <c r="I60" s="105" t="s">
        <v>338</v>
      </c>
      <c r="K60" s="105" t="s">
        <v>347</v>
      </c>
      <c r="L60" s="105" t="s">
        <v>347</v>
      </c>
      <c r="M60" s="105" t="s">
        <v>347</v>
      </c>
      <c r="N60" s="105" t="s">
        <v>341</v>
      </c>
      <c r="O60" s="105" t="s">
        <v>341</v>
      </c>
      <c r="P60" s="105" t="s">
        <v>341</v>
      </c>
      <c r="Q60" s="105" t="s">
        <v>341</v>
      </c>
      <c r="R60" s="105" t="s">
        <v>341</v>
      </c>
      <c r="S60" s="105" t="s">
        <v>341</v>
      </c>
    </row>
    <row r="61" spans="1:19">
      <c r="A61" s="101">
        <v>64754</v>
      </c>
      <c r="B61" s="101" t="s">
        <v>423</v>
      </c>
      <c r="C61" s="101" t="s">
        <v>66</v>
      </c>
      <c r="D61" s="102" t="s">
        <v>406</v>
      </c>
      <c r="E61" s="101" t="s"/>
      <c r="F61" s="103">
        <v>44746</v>
      </c>
      <c r="G61" s="104" t="s">
        <v>392</v>
      </c>
      <c r="H61" s="104" t="s">
        <v>323</v>
      </c>
      <c r="I61" s="105" t="s">
        <v>338</v>
      </c>
      <c r="K61" s="105" t="s">
        <v>347</v>
      </c>
      <c r="L61" s="105" t="s">
        <v>347</v>
      </c>
      <c r="M61" s="105" t="s">
        <v>347</v>
      </c>
      <c r="N61" s="105" t="s">
        <v>341</v>
      </c>
      <c r="O61" s="105" t="s">
        <v>341</v>
      </c>
      <c r="P61" s="105" t="s">
        <v>341</v>
      </c>
      <c r="Q61" s="105" t="s">
        <v>341</v>
      </c>
      <c r="R61" s="105" t="s">
        <v>341</v>
      </c>
      <c r="S61" s="105" t="s">
        <v>341</v>
      </c>
    </row>
    <row r="62" spans="1:19">
      <c r="A62" s="102" t="s"/>
      <c r="B62" s="102" t="s">
        <v>424</v>
      </c>
      <c r="C62" s="102" t="s">
        <v>30</v>
      </c>
      <c r="D62" s="102" t="s">
        <v>406</v>
      </c>
      <c r="E62" s="102" t="s"/>
      <c r="F62" s="103" t="s"/>
      <c r="G62" s="104" t="s"/>
      <c r="H62" s="104" t="s"/>
      <c r="I62" s="105" t="s">
        <v>86</v>
      </c>
      <c r="J62" s="105" t="s">
        <v>86</v>
      </c>
      <c r="K62" s="105" t="s">
        <v>86</v>
      </c>
      <c r="L62" s="105" t="s">
        <v>86</v>
      </c>
      <c r="M62" s="105" t="s">
        <v>86</v>
      </c>
      <c r="N62" s="105" t="s">
        <v>86</v>
      </c>
      <c r="O62" s="105" t="s">
        <v>86</v>
      </c>
      <c r="P62" s="105" t="s">
        <v>86</v>
      </c>
      <c r="Q62" s="105" t="s">
        <v>86</v>
      </c>
      <c r="R62" s="105" t="s">
        <v>86</v>
      </c>
      <c r="S62" s="105" t="s">
        <v>86</v>
      </c>
    </row>
    <row r="63" spans="1:9">
      <c r="A63" s="101">
        <v>17859</v>
      </c>
      <c r="B63" s="101" t="s">
        <v>425</v>
      </c>
      <c r="C63" s="101" t="s"/>
      <c r="D63" s="101" t="s">
        <v>426</v>
      </c>
      <c r="F63" s="103">
        <v>46013</v>
      </c>
      <c r="G63" s="104" t="s">
        <v>427</v>
      </c>
      <c r="H63" s="104" t="s">
        <v>396</v>
      </c>
      <c r="I63" s="105" t="s"/>
    </row>
    <row r="64" spans="1:19">
      <c r="A64" s="101">
        <v>18483</v>
      </c>
      <c r="B64" s="101" t="s">
        <v>428</v>
      </c>
      <c r="C64" s="101" t="s">
        <v>429</v>
      </c>
      <c r="D64" s="102" t="s">
        <v>406</v>
      </c>
      <c r="E64" s="101" t="s">
        <v>430</v>
      </c>
      <c r="F64" s="103">
        <v>46017</v>
      </c>
      <c r="G64" s="104" t="s">
        <v>431</v>
      </c>
      <c r="H64" s="104" t="s">
        <v>323</v>
      </c>
      <c r="I64" s="105" t="s">
        <v>86</v>
      </c>
      <c r="K64" s="105" t="s">
        <v>86</v>
      </c>
      <c r="L64" s="105" t="s">
        <v>86</v>
      </c>
      <c r="M64" s="105" t="s">
        <v>86</v>
      </c>
      <c r="N64" s="105" t="s">
        <v>86</v>
      </c>
      <c r="O64" s="105" t="s">
        <v>86</v>
      </c>
      <c r="P64" s="105" t="s">
        <v>86</v>
      </c>
      <c r="Q64" s="105" t="s">
        <v>86</v>
      </c>
      <c r="R64" s="105" t="s">
        <v>86</v>
      </c>
      <c r="S64" s="105" t="s">
        <v>86</v>
      </c>
    </row>
    <row r="69" spans="4:25">
      <c r="D69" s="114" t="s">
        <v>432</v>
      </c>
      <c r="E69" s="115" t="s"/>
      <c r="F69" s="115" t="s"/>
      <c r="G69" s="115" t="s"/>
      <c r="H69" s="115" t="s"/>
      <c r="I69" s="115" t="s"/>
      <c r="J69" s="115" t="s"/>
      <c r="K69" s="115" t="s"/>
      <c r="L69" s="115" t="s"/>
      <c r="M69" s="115" t="s"/>
      <c r="N69" s="115" t="s"/>
      <c r="O69" s="115" t="s"/>
      <c r="P69" s="115" t="s"/>
      <c r="Q69" s="115" t="s"/>
      <c r="R69" s="115" t="s"/>
      <c r="S69" s="116" t="s"/>
      <c r="T69" s="117" t="s"/>
      <c r="U69" s="117" t="s"/>
      <c r="V69" s="117" t="s"/>
      <c r="W69" s="117" t="s"/>
      <c r="X69" s="117" t="s"/>
      <c r="Y69" s="117" t="s"/>
    </row>
    <row r="70" spans="4:25">
      <c r="D70" s="118" t="s">
        <v>433</v>
      </c>
      <c r="I70" s="119" t="s"/>
      <c r="J70" s="120" t="s"/>
      <c r="K70" s="121">
        <v>46113</v>
      </c>
      <c r="L70" s="121">
        <v>46143</v>
      </c>
      <c r="M70" s="121">
        <v>46174</v>
      </c>
      <c r="N70" s="121">
        <v>46204</v>
      </c>
      <c r="O70" s="121">
        <v>46235</v>
      </c>
      <c r="P70" s="121">
        <v>46266</v>
      </c>
      <c r="Q70" s="121">
        <v>46296</v>
      </c>
      <c r="R70" s="121">
        <v>46327</v>
      </c>
      <c r="S70" s="121">
        <v>46357</v>
      </c>
      <c r="T70" s="117" t="s"/>
      <c r="U70" s="117" t="s"/>
      <c r="V70" s="117" t="s"/>
      <c r="W70" s="117" t="s"/>
      <c r="X70" s="117" t="s"/>
      <c r="Y70" s="117" t="s"/>
    </row>
    <row r="71" spans="4:25">
      <c r="D71" s="78" t="s">
        <v>341</v>
      </c>
      <c r="E71" s="78" t="s">
        <v>69</v>
      </c>
      <c r="F71" s="78" t="s"/>
      <c r="G71" s="80" t="s"/>
      <c r="H71" s="122" t="s"/>
      <c r="I71" s="123">
        <f>=SUM(K71:S73)/I$92</f>
        <v>0.331858407079646</v>
      </c>
      <c r="J71" s="124" t="s"/>
      <c r="K71" s="78">
        <f>=COUNTIFS($D$5:$D$64,$E71,K$5:K$64,"AI智网1.0")+COUNTIFS($D$5:$D$64,$E71,K$5:K$64,"AI业务编排Demo")</f>
        <v>1</v>
      </c>
      <c r="L71" s="78">
        <f>=COUNTIFS($D$5:$D$64,$E71,L$5:L$64,"AI智网1.0")+COUNTIFS($D$5:$D$64,$E71,L$5:L$64,"AI业务编排Demo")</f>
        <v>1</v>
      </c>
      <c r="M71" s="78">
        <f>=COUNTIFS($D$5:$D$64,$E71,M$5:M$64,"AI智网1.0")+COUNTIFS($D$5:$D$64,$E71,M$5:M$64,"AI业务编排Demo")</f>
        <v>3</v>
      </c>
      <c r="N71" s="78">
        <f>=COUNTIFS($D$5:$D$64,$E71,N$5:N$64,"AI智网1.0")+COUNTIFS($D$5:$D$64,$E71,N$5:N$64,"AI业务编排Demo")</f>
        <v>13</v>
      </c>
      <c r="O71" s="78">
        <f>=COUNTIFS($D$5:$D$64,$E71,O$5:O$64,"AI智网1.0")+COUNTIFS($D$5:$D$64,$E71,O$5:O$64,"AI业务编排Demo")</f>
        <v>13</v>
      </c>
      <c r="P71" s="78">
        <f>=COUNTIFS($D$5:$D$64,$E71,P$5:P$64,"AI智网1.0")+COUNTIFS($D$5:$D$64,$E71,P$5:P$64,"AI业务编排Demo")</f>
        <v>14</v>
      </c>
      <c r="Q71" s="78">
        <f>=COUNTIFS($D$5:$D$64,$E71,Q$5:Q$64,"AI智网1.0")+COUNTIFS($D$5:$D$64,$E71,Q$5:Q$64,"AI业务编排Demo")</f>
        <v>15</v>
      </c>
      <c r="R71" s="78">
        <f>=COUNTIFS($D$5:$D$64,$E71,R$5:R$64,"AI智网1.0")+COUNTIFS($D$5:$D$64,$E71,R$5:R$64,"AI业务编排Demo")</f>
        <v>15</v>
      </c>
      <c r="S71" s="78">
        <f>=COUNTIFS($D$5:$D$64,$E71,S$5:S$64,"AI智网1.0")+COUNTIFS($D$5:$D$64,$E71,S$5:S$64,"AI业务编排Demo")</f>
        <v>15</v>
      </c>
      <c r="T71" s="117" t="s"/>
      <c r="U71" s="117" t="s"/>
      <c r="V71" s="117" t="s"/>
      <c r="W71" s="117" t="s"/>
      <c r="X71" s="117" t="s"/>
      <c r="Y71" s="117" t="s"/>
    </row>
    <row r="72" spans="4:25">
      <c r="D72" s="80" t="s"/>
      <c r="E72" s="78" t="s">
        <v>385</v>
      </c>
      <c r="F72" s="78" t="s"/>
      <c r="G72" s="80" t="s"/>
      <c r="H72" s="122" t="s"/>
      <c r="I72" s="125" t="s"/>
      <c r="J72" s="124" t="s"/>
      <c r="K72" s="78">
        <f>=COUNTIFS($D$5:$D$64,$E72,K$5:K$64,"AI智网1.0")+COUNTIFS($D$5:$D$64,$E72,K$5:K$64,"AI业务编排Demo")</f>
        <v>0</v>
      </c>
      <c r="L72" s="78">
        <f>=COUNTIFS($D$5:$D$64,$E72,L$5:L$64,"AI智网1.0")+COUNTIFS($D$5:$D$64,$E72,L$5:L$64,"AI业务编排Demo")</f>
        <v>0</v>
      </c>
      <c r="M72" s="78">
        <f>=COUNTIFS($D$5:$D$64,$E72,M$5:M$64,"AI智网1.0")+COUNTIFS($D$5:$D$64,$E72,M$5:M$64,"AI业务编排Demo")</f>
        <v>0</v>
      </c>
      <c r="N72" s="78">
        <f>=COUNTIFS($D$5:$D$64,$E72,N$5:N$64,"AI智网1.0")+COUNTIFS($D$5:$D$64,$E72,N$5:N$64,"AI业务编排Demo")</f>
        <v>5</v>
      </c>
      <c r="O72" s="78">
        <f>=COUNTIFS($D$5:$D$64,$E72,O$5:O$64,"AI智网1.0")+COUNTIFS($D$5:$D$64,$E72,O$5:O$64,"AI业务编排Demo")</f>
        <v>5</v>
      </c>
      <c r="P72" s="78">
        <f>=COUNTIFS($D$5:$D$64,$E72,P$5:P$64,"AI智网1.0")+COUNTIFS($D$5:$D$64,$E72,P$5:P$64,"AI业务编排Demo")</f>
        <v>5</v>
      </c>
      <c r="Q72" s="78">
        <f>=COUNTIFS($D$5:$D$64,$E72,Q$5:Q$64,"AI智网1.0")+COUNTIFS($D$5:$D$64,$E72,Q$5:Q$64,"AI业务编排Demo")</f>
        <v>5</v>
      </c>
      <c r="R72" s="78">
        <f>=COUNTIFS($D$5:$D$64,$E72,R$5:R$64,"AI智网1.0")+COUNTIFS($D$5:$D$64,$E72,R$5:R$64,"AI业务编排Demo")</f>
        <v>5</v>
      </c>
      <c r="S72" s="78">
        <f>=COUNTIFS($D$5:$D$64,$E72,S$5:S$64,"AI智网1.0")+COUNTIFS($D$5:$D$64,$E72,S$5:S$64,"AI业务编排Demo")</f>
        <v>5</v>
      </c>
      <c r="T72" s="117" t="s"/>
      <c r="U72" s="117" t="s"/>
      <c r="V72" s="117" t="s"/>
      <c r="W72" s="117" t="s"/>
      <c r="X72" s="117" t="s"/>
      <c r="Y72" s="117" t="s"/>
    </row>
    <row r="73" spans="4:25">
      <c r="D73" s="80" t="s"/>
      <c r="E73" s="78" t="s">
        <v>406</v>
      </c>
      <c r="F73" s="78" t="s"/>
      <c r="G73" s="80" t="s"/>
      <c r="H73" s="122" t="s"/>
      <c r="I73" s="126" t="s"/>
      <c r="J73" s="124" t="s"/>
      <c r="K73" s="78">
        <f>=COUNTIFS($D$5:$D$64,$E73,K$5:K$64,"AI智网1.0")+COUNTIFS($D$5:$D$64,$E73,K$5:K$64,"AI业务编排Demo")</f>
        <v>0</v>
      </c>
      <c r="L73" s="78">
        <f>=COUNTIFS($D$5:$D$64,$E73,L$5:L$64,"AI智网1.0")+COUNTIFS($D$5:$D$64,$E73,L$5:L$64,"AI业务编排Demo")</f>
        <v>0</v>
      </c>
      <c r="M73" s="78">
        <f>=COUNTIFS($D$5:$D$64,$E73,M$5:M$64,"AI智网1.0")+COUNTIFS($D$5:$D$64,$E73,M$5:M$64,"AI业务编排Demo")</f>
        <v>0</v>
      </c>
      <c r="N73" s="78">
        <f>=COUNTIFS($D$5:$D$64,$E73,N$5:N$64,"AI智网1.0")+COUNTIFS($D$5:$D$64,$E73,N$5:N$64,"AI业务编排Demo")</f>
        <v>5</v>
      </c>
      <c r="O73" s="78">
        <f>=COUNTIFS($D$5:$D$64,$E73,O$5:O$64,"AI智网1.0")+COUNTIFS($D$5:$D$64,$E73,O$5:O$64,"AI业务编排Demo")</f>
        <v>5</v>
      </c>
      <c r="P73" s="78">
        <f>=COUNTIFS($D$5:$D$64,$E73,P$5:P$64,"AI智网1.0")+COUNTIFS($D$5:$D$64,$E73,P$5:P$64,"AI业务编排Demo")</f>
        <v>5</v>
      </c>
      <c r="Q73" s="78">
        <f>=COUNTIFS($D$5:$D$64,$E73,Q$5:Q$64,"AI智网1.0")+COUNTIFS($D$5:$D$64,$E73,Q$5:Q$64,"AI业务编排Demo")</f>
        <v>5</v>
      </c>
      <c r="R73" s="78">
        <f>=COUNTIFS($D$5:$D$64,$E73,R$5:R$64,"AI智网1.0")+COUNTIFS($D$5:$D$64,$E73,R$5:R$64,"AI业务编排Demo")</f>
        <v>5</v>
      </c>
      <c r="S73" s="78">
        <f>=COUNTIFS($D$5:$D$64,$E73,S$5:S$64,"AI智网1.0")+COUNTIFS($D$5:$D$64,$E73,S$5:S$64,"AI业务编排Demo")</f>
        <v>5</v>
      </c>
      <c r="T73" s="117" t="s"/>
      <c r="U73" s="117" t="s"/>
      <c r="V73" s="117" t="s"/>
      <c r="W73" s="117" t="s"/>
      <c r="X73" s="117" t="s"/>
      <c r="Y73" s="117" t="s"/>
    </row>
    <row r="74" spans="4:25">
      <c r="D74" s="78" t="s">
        <v>347</v>
      </c>
      <c r="E74" s="78" t="s">
        <v>69</v>
      </c>
      <c r="F74" s="78" t="s"/>
      <c r="G74" s="80" t="s"/>
      <c r="H74" s="122" t="s"/>
      <c r="I74" s="123">
        <f>=SUM(K74:S76)/I$92</f>
        <v>0.170353982300885</v>
      </c>
      <c r="J74" s="124" t="s"/>
      <c r="K74" s="78">
        <f>=COUNTIFS($D$5:$D$64,$E74,K$5:K$64,"集群1.0")</f>
        <v>16</v>
      </c>
      <c r="L74" s="78">
        <f>=COUNTIFS($D$5:$D$64,$E74,L$5:L$64,"集群1.0")</f>
        <v>15</v>
      </c>
      <c r="M74" s="78">
        <f>=COUNTIFS($D$5:$D$64,$E74,M$5:M$64,"集群1.0")</f>
        <v>9</v>
      </c>
      <c r="N74" s="78">
        <f>=COUNTIFS($D$5:$D$64,$E74,N$5:N$64,"集群1.0")</f>
        <v>0</v>
      </c>
      <c r="O74" s="78">
        <f>=COUNTIFS($D$5:$D$64,$E74,O$5:O$64,"集群1.0")</f>
        <v>0</v>
      </c>
      <c r="P74" s="78">
        <f>=COUNTIFS($D$5:$D$64,$E74,P$5:P$64,"集群1.0")</f>
        <v>0</v>
      </c>
      <c r="Q74" s="78">
        <f>=COUNTIFS($D$5:$D$64,$E74,Q$5:Q$64,"集群1.0")</f>
        <v>0</v>
      </c>
      <c r="R74" s="78">
        <f>=COUNTIFS($D$5:$D$64,$E74,R$5:R$64,"集群1.0")</f>
        <v>0</v>
      </c>
      <c r="S74" s="78">
        <f>=COUNTIFS($D$5:$D$64,$E74,S$5:S$64,"集群1.0")</f>
        <v>0</v>
      </c>
      <c r="T74" s="117" t="s"/>
      <c r="U74" s="117" t="s"/>
      <c r="V74" s="117" t="s"/>
      <c r="W74" s="117" t="s"/>
      <c r="X74" s="117" t="s"/>
      <c r="Y74" s="117" t="s"/>
    </row>
    <row r="75" spans="4:25">
      <c r="D75" s="80" t="s"/>
      <c r="E75" s="78" t="s">
        <v>385</v>
      </c>
      <c r="F75" s="78" t="s"/>
      <c r="G75" s="80" t="s"/>
      <c r="H75" s="122" t="s"/>
      <c r="I75" s="125" t="s"/>
      <c r="J75" s="124" t="s"/>
      <c r="K75" s="78">
        <f>=COUNTIFS($D$5:$D$64,$E75,K$5:K$64,"集群1.0")</f>
        <v>8</v>
      </c>
      <c r="L75" s="78">
        <f>=COUNTIFS($D$5:$D$64,$E75,L$5:L$64,"集群1.0")</f>
        <v>7</v>
      </c>
      <c r="M75" s="78">
        <f>=COUNTIFS($D$5:$D$64,$E75,M$5:M$64,"集群1.0")</f>
        <v>7</v>
      </c>
      <c r="N75" s="78">
        <f>=COUNTIFS($D$5:$D$64,$E75,N$5:N$64,"集群1.0")</f>
        <v>0</v>
      </c>
      <c r="O75" s="78">
        <f>=COUNTIFS($D$5:$D$64,$E75,O$5:O$64,"集群1.0")</f>
        <v>0</v>
      </c>
      <c r="P75" s="78">
        <f>=COUNTIFS($D$5:$D$64,$E75,P$5:P$64,"集群1.0")</f>
        <v>0</v>
      </c>
      <c r="Q75" s="78">
        <f>=COUNTIFS($D$5:$D$64,$E75,Q$5:Q$64,"集群1.0")</f>
        <v>0</v>
      </c>
      <c r="R75" s="78">
        <f>=COUNTIFS($D$5:$D$64,$E75,R$5:R$64,"集群1.0")</f>
        <v>0</v>
      </c>
      <c r="S75" s="78">
        <f>=COUNTIFS($D$5:$D$64,$E75,S$5:S$64,"集群1.0")</f>
        <v>0</v>
      </c>
      <c r="T75" s="117" t="s"/>
      <c r="U75" s="117" t="s"/>
      <c r="V75" s="117" t="s"/>
      <c r="W75" s="117" t="s"/>
      <c r="X75" s="117" t="s"/>
      <c r="Y75" s="117" t="s"/>
    </row>
    <row r="76" spans="4:25">
      <c r="D76" s="80" t="s"/>
      <c r="E76" s="78" t="s">
        <v>406</v>
      </c>
      <c r="F76" s="78" t="s"/>
      <c r="G76" s="80" t="s"/>
      <c r="H76" s="122" t="s"/>
      <c r="I76" s="126" t="s"/>
      <c r="J76" s="124" t="s"/>
      <c r="K76" s="78">
        <f>=COUNTIFS($D$5:$D$64,$E76,K$5:K$64,"集群1.0")</f>
        <v>5</v>
      </c>
      <c r="L76" s="78">
        <f>=COUNTIFS($D$5:$D$64,$E76,L$5:L$64,"集群1.0")</f>
        <v>5</v>
      </c>
      <c r="M76" s="78">
        <f>=COUNTIFS($D$5:$D$64,$E76,M$5:M$64,"集群1.0")</f>
        <v>5</v>
      </c>
      <c r="N76" s="78">
        <f>=COUNTIFS($D$5:$D$64,$E76,N$5:N$64,"集群1.0")</f>
        <v>0</v>
      </c>
      <c r="O76" s="78">
        <f>=COUNTIFS($D$5:$D$64,$E76,O$5:O$64,"集群1.0")</f>
        <v>0</v>
      </c>
      <c r="P76" s="78">
        <f>=COUNTIFS($D$5:$D$64,$E76,P$5:P$64,"集群1.0")</f>
        <v>0</v>
      </c>
      <c r="Q76" s="78">
        <f>=COUNTIFS($D$5:$D$64,$E76,Q$5:Q$64,"集群1.0")</f>
        <v>0</v>
      </c>
      <c r="R76" s="78">
        <f>=COUNTIFS($D$5:$D$64,$E76,R$5:R$64,"集群1.0")</f>
        <v>0</v>
      </c>
      <c r="S76" s="78">
        <f>=COUNTIFS($D$5:$D$64,$E76,S$5:S$64,"集群1.0")</f>
        <v>0</v>
      </c>
      <c r="T76" s="117" t="s"/>
      <c r="U76" s="117" t="s"/>
      <c r="V76" s="117" t="s"/>
      <c r="W76" s="117" t="s"/>
      <c r="X76" s="117" t="s"/>
      <c r="Y76" s="117" t="s"/>
    </row>
    <row r="77" spans="4:25">
      <c r="D77" s="78" t="s">
        <v>434</v>
      </c>
      <c r="E77" s="78" t="s">
        <v>69</v>
      </c>
      <c r="F77" s="78" t="s"/>
      <c r="G77" s="80" t="s"/>
      <c r="H77" s="122" t="s"/>
      <c r="I77" s="123">
        <f>=SUM(K77:S79)/I$92</f>
        <v>0.194690265486726</v>
      </c>
      <c r="J77" s="124" t="s"/>
      <c r="K77" s="78">
        <f>=COUNTIFS($D$5:$D$64,$E77,K$5:K$64,"Q2大质量")+COUNTIFS($D$5:$D$64,$E77,K$5:K$64,"Q3大质量")+COUNTIFS($D$5:$D$64,$E77,K$5:K$64,"Q4大质量")+COUNTIFS($D$5:$D$64,$E77,K$5:K$64,"交换机无损")+COUNTIFS($D$5:$D$64,$E77,K$5:K$64,"云切换")+COUNTIFS($D$5:$D$64,$E77,K$5:K$64,"集群2.0")+COUNTIFS($D$5:$D$64,$E77,K$5:K$64,"自动化")</f>
        <v>3</v>
      </c>
      <c r="L77" s="78">
        <f>=COUNTIFS($D$5:$D$64,$E77,L$5:L$64,"Q2大质量")+COUNTIFS($D$5:$D$64,$E77,L$5:L$64,"Q3大质量")+COUNTIFS($D$5:$D$64,$E77,L$5:L$64,"Q4大质量")+COUNTIFS($D$5:$D$64,$E77,L$5:L$64,"交换机无损")+COUNTIFS($D$5:$D$64,$E77,L$5:L$64,"云切换")+COUNTIFS($D$5:$D$64,$E77,L$5:L$64,"集群2.0")+COUNTIFS($D$5:$D$64,$E77,L$5:L$64,"自动化")</f>
        <v>3</v>
      </c>
      <c r="M77" s="78">
        <f>=COUNTIFS($D$5:$D$64,$E77,M$5:M$64,"Q2大质量")+COUNTIFS($D$5:$D$64,$E77,M$5:M$64,"Q3大质量")+COUNTIFS($D$5:$D$64,$E77,M$5:M$64,"Q4大质量")+COUNTIFS($D$5:$D$64,$E77,M$5:M$64,"交换机无损")+COUNTIFS($D$5:$D$64,$E77,M$5:M$64,"云切换")+COUNTIFS($D$5:$D$64,$E77,M$5:M$64,"集群2.0")+COUNTIFS($D$5:$D$64,$E77,M$5:M$64,"自动化")</f>
        <v>4</v>
      </c>
      <c r="N77" s="78">
        <f>=COUNTIFS($D$5:$D$64,$E77,N$5:N$64,"Q2大质量")+COUNTIFS($D$5:$D$64,$E77,N$5:N$64,"Q3大质量")+COUNTIFS($D$5:$D$64,$E77,N$5:N$64,"Q4大质量")+COUNTIFS($D$5:$D$64,$E77,N$5:N$64,"交换机无损")+COUNTIFS($D$5:$D$64,$E77,N$5:N$64,"云切换")+COUNTIFS($D$5:$D$64,$E77,N$5:N$64,"集群2.0")+COUNTIFS($D$5:$D$64,$E77,N$5:N$64,"自动化")</f>
        <v>7</v>
      </c>
      <c r="O77" s="78">
        <f>=COUNTIFS($D$5:$D$64,$E77,O$5:O$64,"Q2大质量")+COUNTIFS($D$5:$D$64,$E77,O$5:O$64,"Q3大质量")+COUNTIFS($D$5:$D$64,$E77,O$5:O$64,"Q4大质量")+COUNTIFS($D$5:$D$64,$E77,O$5:O$64,"交换机无损")+COUNTIFS($D$5:$D$64,$E77,O$5:O$64,"云切换")+COUNTIFS($D$5:$D$64,$E77,O$5:O$64,"集群2.0")+COUNTIFS($D$5:$D$64,$E77,O$5:O$64,"自动化")</f>
        <v>7</v>
      </c>
      <c r="P77" s="78">
        <f>=COUNTIFS($D$5:$D$64,$E77,P$5:P$64,"Q2大质量")+COUNTIFS($D$5:$D$64,$E77,P$5:P$64,"Q3大质量")+COUNTIFS($D$5:$D$64,$E77,P$5:P$64,"Q4大质量")+COUNTIFS($D$5:$D$64,$E77,P$5:P$64,"交换机无损")+COUNTIFS($D$5:$D$64,$E77,P$5:P$64,"云切换")+COUNTIFS($D$5:$D$64,$E77,P$5:P$64,"集群2.0")+COUNTIFS($D$5:$D$64,$E77,P$5:P$64,"自动化")</f>
        <v>6</v>
      </c>
      <c r="Q77" s="78">
        <f>=COUNTIFS($D$5:$D$64,$E77,Q$5:Q$64,"Q2大质量")+COUNTIFS($D$5:$D$64,$E77,Q$5:Q$64,"Q3大质量")+COUNTIFS($D$5:$D$64,$E77,Q$5:Q$64,"Q4大质量")+COUNTIFS($D$5:$D$64,$E77,Q$5:Q$64,"交换机无损")+COUNTIFS($D$5:$D$64,$E77,Q$5:Q$64,"云切换")+COUNTIFS($D$5:$D$64,$E77,Q$5:Q$64,"集群2.0")+COUNTIFS($D$5:$D$64,$E77,Q$5:Q$64,"自动化")</f>
        <v>6</v>
      </c>
      <c r="R77" s="78">
        <f>=COUNTIFS($D$5:$D$64,$E77,R$5:R$64,"Q2大质量")+COUNTIFS($D$5:$D$64,$E77,R$5:R$64,"Q3大质量")+COUNTIFS($D$5:$D$64,$E77,R$5:R$64,"Q4大质量")+COUNTIFS($D$5:$D$64,$E77,R$5:R$64,"交换机无损")+COUNTIFS($D$5:$D$64,$E77,R$5:R$64,"云切换")+COUNTIFS($D$5:$D$64,$E77,R$5:R$64,"集群2.0")+COUNTIFS($D$5:$D$64,$E77,R$5:R$64,"自动化")</f>
        <v>6</v>
      </c>
      <c r="S77" s="78">
        <f>=COUNTIFS($D$5:$D$64,$E77,S$5:S$64,"Q2大质量")+COUNTIFS($D$5:$D$64,$E77,S$5:S$64,"Q3大质量")+COUNTIFS($D$5:$D$64,$E77,S$5:S$64,"Q4大质量")+COUNTIFS($D$5:$D$64,$E77,S$5:S$64,"交换机无损")+COUNTIFS($D$5:$D$64,$E77,S$5:S$64,"云切换")+COUNTIFS($D$5:$D$64,$E77,S$5:S$64,"集群2.0")+COUNTIFS($D$5:$D$64,$E77,S$5:S$64,"自动化")</f>
        <v>7</v>
      </c>
      <c r="T77" s="117" t="s"/>
      <c r="U77" s="117" t="s"/>
      <c r="V77" s="117" t="s"/>
      <c r="W77" s="117" t="s"/>
      <c r="X77" s="117" t="s"/>
      <c r="Y77" s="117" t="s"/>
    </row>
    <row r="78" spans="4:25">
      <c r="D78" s="80" t="s"/>
      <c r="E78" s="78" t="s">
        <v>385</v>
      </c>
      <c r="F78" s="78" t="s"/>
      <c r="G78" s="80" t="s"/>
      <c r="H78" s="122" t="s"/>
      <c r="I78" s="125" t="s"/>
      <c r="J78" s="124" t="s"/>
      <c r="K78" s="78">
        <f>=COUNTIFS($D$5:$D$64,$E78,K$5:K$64,"Q2大质量")+COUNTIFS($D$5:$D$64,$E78,K$5:K$64,"Q3大质量")+COUNTIFS($D$5:$D$64,$E78,K$5:K$64,"Q4大质量")+COUNTIFS($D$5:$D$64,$E78,K$5:K$64,"交换机无损")+COUNTIFS($D$5:$D$64,$E78,K$5:K$64,"云切换")+COUNTIFS($D$5:$D$64,$E78,K$5:K$64,"集群2.0")+COUNTIFS($D$5:$D$64,$E78,K$5:K$64,"自动化")</f>
        <v>1</v>
      </c>
      <c r="L78" s="78">
        <f>=COUNTIFS($D$5:$D$64,$E78,L$5:L$64,"Q2大质量")+COUNTIFS($D$5:$D$64,$E78,L$5:L$64,"Q3大质量")+COUNTIFS($D$5:$D$64,$E78,L$5:L$64,"Q4大质量")+COUNTIFS($D$5:$D$64,$E78,L$5:L$64,"交换机无损")+COUNTIFS($D$5:$D$64,$E78,L$5:L$64,"云切换")+COUNTIFS($D$5:$D$64,$E78,L$5:L$64,"集群2.0")+COUNTIFS($D$5:$D$64,$E78,L$5:L$64,"自动化")</f>
        <v>1</v>
      </c>
      <c r="M78" s="78">
        <f>=COUNTIFS($D$5:$D$64,$E78,M$5:M$64,"Q2大质量")+COUNTIFS($D$5:$D$64,$E78,M$5:M$64,"Q3大质量")+COUNTIFS($D$5:$D$64,$E78,M$5:M$64,"Q4大质量")+COUNTIFS($D$5:$D$64,$E78,M$5:M$64,"交换机无损")+COUNTIFS($D$5:$D$64,$E78,M$5:M$64,"云切换")+COUNTIFS($D$5:$D$64,$E78,M$5:M$64,"集群2.0")+COUNTIFS($D$5:$D$64,$E78,M$5:M$64,"自动化")</f>
        <v>1</v>
      </c>
      <c r="N78" s="78">
        <f>=COUNTIFS($D$5:$D$64,$E78,N$5:N$64,"Q2大质量")+COUNTIFS($D$5:$D$64,$E78,N$5:N$64,"Q3大质量")+COUNTIFS($D$5:$D$64,$E78,N$5:N$64,"Q4大质量")+COUNTIFS($D$5:$D$64,$E78,N$5:N$64,"交换机无损")+COUNTIFS($D$5:$D$64,$E78,N$5:N$64,"云切换")+COUNTIFS($D$5:$D$64,$E78,N$5:N$64,"集群2.0")+COUNTIFS($D$5:$D$64,$E78,N$5:N$64,"自动化")</f>
        <v>1</v>
      </c>
      <c r="O78" s="78">
        <f>=COUNTIFS($D$5:$D$64,$E78,O$5:O$64,"Q2大质量")+COUNTIFS($D$5:$D$64,$E78,O$5:O$64,"Q3大质量")+COUNTIFS($D$5:$D$64,$E78,O$5:O$64,"Q4大质量")+COUNTIFS($D$5:$D$64,$E78,O$5:O$64,"交换机无损")+COUNTIFS($D$5:$D$64,$E78,O$5:O$64,"云切换")+COUNTIFS($D$5:$D$64,$E78,O$5:O$64,"集群2.0")+COUNTIFS($D$5:$D$64,$E78,O$5:O$64,"自动化")</f>
        <v>1</v>
      </c>
      <c r="P78" s="78">
        <f>=COUNTIFS($D$5:$D$64,$E78,P$5:P$64,"Q2大质量")+COUNTIFS($D$5:$D$64,$E78,P$5:P$64,"Q3大质量")+COUNTIFS($D$5:$D$64,$E78,P$5:P$64,"Q4大质量")+COUNTIFS($D$5:$D$64,$E78,P$5:P$64,"交换机无损")+COUNTIFS($D$5:$D$64,$E78,P$5:P$64,"云切换")+COUNTIFS($D$5:$D$64,$E78,P$5:P$64,"集群2.0")+COUNTIFS($D$5:$D$64,$E78,P$5:P$64,"自动化")</f>
        <v>1</v>
      </c>
      <c r="Q78" s="78">
        <f>=COUNTIFS($D$5:$D$64,$E78,Q$5:Q$64,"Q2大质量")+COUNTIFS($D$5:$D$64,$E78,Q$5:Q$64,"Q3大质量")+COUNTIFS($D$5:$D$64,$E78,Q$5:Q$64,"Q4大质量")+COUNTIFS($D$5:$D$64,$E78,Q$5:Q$64,"交换机无损")+COUNTIFS($D$5:$D$64,$E78,Q$5:Q$64,"云切换")+COUNTIFS($D$5:$D$64,$E78,Q$5:Q$64,"集群2.0")+COUNTIFS($D$5:$D$64,$E78,Q$5:Q$64,"自动化")</f>
        <v>1</v>
      </c>
      <c r="R78" s="78">
        <f>=COUNTIFS($D$5:$D$64,$E78,R$5:R$64,"Q2大质量")+COUNTIFS($D$5:$D$64,$E78,R$5:R$64,"Q3大质量")+COUNTIFS($D$5:$D$64,$E78,R$5:R$64,"Q4大质量")+COUNTIFS($D$5:$D$64,$E78,R$5:R$64,"交换机无损")+COUNTIFS($D$5:$D$64,$E78,R$5:R$64,"云切换")+COUNTIFS($D$5:$D$64,$E78,R$5:R$64,"集群2.0")+COUNTIFS($D$5:$D$64,$E78,R$5:R$64,"自动化")</f>
        <v>1</v>
      </c>
      <c r="S78" s="78">
        <f>=COUNTIFS($D$5:$D$64,$E78,S$5:S$64,"Q2大质量")+COUNTIFS($D$5:$D$64,$E78,S$5:S$64,"Q3大质量")+COUNTIFS($D$5:$D$64,$E78,S$5:S$64,"Q4大质量")+COUNTIFS($D$5:$D$64,$E78,S$5:S$64,"交换机无损")+COUNTIFS($D$5:$D$64,$E78,S$5:S$64,"云切换")+COUNTIFS($D$5:$D$64,$E78,S$5:S$64,"集群2.0")+COUNTIFS($D$5:$D$64,$E78,S$5:S$64,"自动化")</f>
        <v>1</v>
      </c>
      <c r="T78" s="117" t="s"/>
      <c r="U78" s="117" t="s"/>
      <c r="V78" s="117" t="s"/>
      <c r="W78" s="117" t="s"/>
      <c r="X78" s="117" t="s"/>
      <c r="Y78" s="117" t="s"/>
    </row>
    <row r="79" spans="4:25">
      <c r="D79" s="80" t="s"/>
      <c r="E79" s="78" t="s">
        <v>406</v>
      </c>
      <c r="F79" s="78" t="s"/>
      <c r="G79" s="80" t="s"/>
      <c r="H79" s="122" t="s"/>
      <c r="I79" s="126" t="s"/>
      <c r="J79" s="124" t="s"/>
      <c r="K79" s="78">
        <f>=COUNTIFS($D$5:$D$64,$E79,K$5:K$64,"Q2大质量")+COUNTIFS($D$5:$D$64,$E79,K$5:K$64,"Q3大质量")+COUNTIFS($D$5:$D$64,$E79,K$5:K$64,"Q4大质量")+COUNTIFS($D$5:$D$64,$E79,K$5:K$64,"交换机无损")+COUNTIFS($D$5:$D$64,$E79,K$5:K$64,"云切换")+COUNTIFS($D$5:$D$64,$E79,K$5:K$64,"集群2.0")+COUNTIFS($D$5:$D$64,$E79,K$5:K$64,"自动化")</f>
        <v>2</v>
      </c>
      <c r="L79" s="78">
        <f>=COUNTIFS($D$5:$D$64,$E79,L$5:L$64,"Q2大质量")+COUNTIFS($D$5:$D$64,$E79,L$5:L$64,"Q3大质量")+COUNTIFS($D$5:$D$64,$E79,L$5:L$64,"Q4大质量")+COUNTIFS($D$5:$D$64,$E79,L$5:L$64,"交换机无损")+COUNTIFS($D$5:$D$64,$E79,L$5:L$64,"云切换")+COUNTIFS($D$5:$D$64,$E79,L$5:L$64,"集群2.0")+COUNTIFS($D$5:$D$64,$E79,L$5:L$64,"自动化")</f>
        <v>2</v>
      </c>
      <c r="M79" s="78">
        <f>=COUNTIFS($D$5:$D$64,$E79,M$5:M$64,"Q2大质量")+COUNTIFS($D$5:$D$64,$E79,M$5:M$64,"Q3大质量")+COUNTIFS($D$5:$D$64,$E79,M$5:M$64,"Q4大质量")+COUNTIFS($D$5:$D$64,$E79,M$5:M$64,"交换机无损")+COUNTIFS($D$5:$D$64,$E79,M$5:M$64,"云切换")+COUNTIFS($D$5:$D$64,$E79,M$5:M$64,"集群2.0")+COUNTIFS($D$5:$D$64,$E79,M$5:M$64,"自动化")</f>
        <v>2</v>
      </c>
      <c r="N79" s="78">
        <f>=COUNTIFS($D$5:$D$64,$E79,N$5:N$64,"Q2大质量")+COUNTIFS($D$5:$D$64,$E79,N$5:N$64,"Q3大质量")+COUNTIFS($D$5:$D$64,$E79,N$5:N$64,"Q4大质量")+COUNTIFS($D$5:$D$64,$E79,N$5:N$64,"交换机无损")+COUNTIFS($D$5:$D$64,$E79,N$5:N$64,"云切换")+COUNTIFS($D$5:$D$64,$E79,N$5:N$64,"集群2.0")+COUNTIFS($D$5:$D$64,$E79,N$5:N$64,"自动化")</f>
        <v>4</v>
      </c>
      <c r="O79" s="78">
        <f>=COUNTIFS($D$5:$D$64,$E79,O$5:O$64,"Q2大质量")+COUNTIFS($D$5:$D$64,$E79,O$5:O$64,"Q3大质量")+COUNTIFS($D$5:$D$64,$E79,O$5:O$64,"Q4大质量")+COUNTIFS($D$5:$D$64,$E79,O$5:O$64,"交换机无损")+COUNTIFS($D$5:$D$64,$E79,O$5:O$64,"云切换")+COUNTIFS($D$5:$D$64,$E79,O$5:O$64,"集群2.0")+COUNTIFS($D$5:$D$64,$E79,O$5:O$64,"自动化")</f>
        <v>4</v>
      </c>
      <c r="P79" s="78">
        <f>=COUNTIFS($D$5:$D$64,$E79,P$5:P$64,"Q2大质量")+COUNTIFS($D$5:$D$64,$E79,P$5:P$64,"Q3大质量")+COUNTIFS($D$5:$D$64,$E79,P$5:P$64,"Q4大质量")+COUNTIFS($D$5:$D$64,$E79,P$5:P$64,"交换机无损")+COUNTIFS($D$5:$D$64,$E79,P$5:P$64,"云切换")+COUNTIFS($D$5:$D$64,$E79,P$5:P$64,"集群2.0")+COUNTIFS($D$5:$D$64,$E79,P$5:P$64,"自动化")</f>
        <v>4</v>
      </c>
      <c r="Q79" s="78">
        <f>=COUNTIFS($D$5:$D$64,$E79,Q$5:Q$64,"Q2大质量")+COUNTIFS($D$5:$D$64,$E79,Q$5:Q$64,"Q3大质量")+COUNTIFS($D$5:$D$64,$E79,Q$5:Q$64,"Q4大质量")+COUNTIFS($D$5:$D$64,$E79,Q$5:Q$64,"交换机无损")+COUNTIFS($D$5:$D$64,$E79,Q$5:Q$64,"云切换")+COUNTIFS($D$5:$D$64,$E79,Q$5:Q$64,"集群2.0")+COUNTIFS($D$5:$D$64,$E79,Q$5:Q$64,"自动化")</f>
        <v>4</v>
      </c>
      <c r="R79" s="78">
        <f>=COUNTIFS($D$5:$D$64,$E79,R$5:R$64,"Q2大质量")+COUNTIFS($D$5:$D$64,$E79,R$5:R$64,"Q3大质量")+COUNTIFS($D$5:$D$64,$E79,R$5:R$64,"Q4大质量")+COUNTIFS($D$5:$D$64,$E79,R$5:R$64,"交换机无损")+COUNTIFS($D$5:$D$64,$E79,R$5:R$64,"云切换")+COUNTIFS($D$5:$D$64,$E79,R$5:R$64,"集群2.0")+COUNTIFS($D$5:$D$64,$E79,R$5:R$64,"自动化")</f>
        <v>4</v>
      </c>
      <c r="S79" s="78">
        <f>=COUNTIFS($D$5:$D$64,$E79,S$5:S$64,"Q2大质量")+COUNTIFS($D$5:$D$64,$E79,S$5:S$64,"Q3大质量")+COUNTIFS($D$5:$D$64,$E79,S$5:S$64,"Q4大质量")+COUNTIFS($D$5:$D$64,$E79,S$5:S$64,"交换机无损")+COUNTIFS($D$5:$D$64,$E79,S$5:S$64,"云切换")+COUNTIFS($D$5:$D$64,$E79,S$5:S$64,"集群2.0")+COUNTIFS($D$5:$D$64,$E79,S$5:S$64,"自动化")</f>
        <v>4</v>
      </c>
      <c r="T79" s="117" t="s"/>
      <c r="U79" s="117" t="s"/>
      <c r="V79" s="117" t="s"/>
      <c r="W79" s="117" t="s"/>
      <c r="X79" s="117" t="s"/>
      <c r="Y79" s="117" t="s"/>
    </row>
    <row r="80" spans="4:25">
      <c r="D80" s="127" t="s">
        <v>435</v>
      </c>
      <c r="E80" s="78" t="s">
        <v>69</v>
      </c>
      <c r="F80" s="78" t="s"/>
      <c r="G80" s="80" t="s"/>
      <c r="H80" s="122" t="s"/>
      <c r="I80" s="123">
        <f>=SUM(K80:S82)/I$92</f>
        <v>0.170353982300885</v>
      </c>
      <c r="J80" s="124" t="s"/>
      <c r="K80" s="78">
        <f>=COUNTIFS($D$5:$D$64,$E80,K$5:K$64,"技术支持")+COUNTIFS($D$5:$D$64,$E80,K$5:K$64,"定制")</f>
        <v>4</v>
      </c>
      <c r="L80" s="78">
        <f>=COUNTIFS($D$5:$D$64,$E80,L$5:L$64,"技术支持")+COUNTIFS($D$5:$D$64,$E80,L$5:L$64,"定制")</f>
        <v>4</v>
      </c>
      <c r="M80" s="78">
        <f>=COUNTIFS($D$5:$D$64,$E80,M$5:M$64,"技术支持")+COUNTIFS($D$5:$D$64,$E80,M$5:M$64,"定制")</f>
        <v>4</v>
      </c>
      <c r="N80" s="78">
        <f>=COUNTIFS($D$5:$D$64,$E80,N$5:N$64,"技术支持")+COUNTIFS($D$5:$D$64,$E80,N$5:N$64,"定制")</f>
        <v>5</v>
      </c>
      <c r="O80" s="78">
        <f>=COUNTIFS($D$5:$D$64,$E80,O$5:O$64,"技术支持")+COUNTIFS($D$5:$D$64,$E80,O$5:O$64,"定制")</f>
        <v>5</v>
      </c>
      <c r="P80" s="78">
        <f>=COUNTIFS($D$5:$D$64,$E80,P$5:P$64,"技术支持")+COUNTIFS($D$5:$D$64,$E80,P$5:P$64,"定制")</f>
        <v>5</v>
      </c>
      <c r="Q80" s="78">
        <f>=COUNTIFS($D$5:$D$64,$E80,Q$5:Q$64,"技术支持")+COUNTIFS($D$5:$D$64,$E80,Q$5:Q$64,"定制")</f>
        <v>5</v>
      </c>
      <c r="R80" s="78">
        <f>=COUNTIFS($D$5:$D$64,$E80,R$5:R$64,"技术支持")+COUNTIFS($D$5:$D$64,$E80,R$5:R$64,"定制")</f>
        <v>5</v>
      </c>
      <c r="S80" s="78">
        <f>=COUNTIFS($D$5:$D$64,$E80,S$5:S$64,"技术支持")+COUNTIFS($D$5:$D$64,$E80,S$5:S$64,"定制")</f>
        <v>4</v>
      </c>
      <c r="T80" s="117" t="s"/>
      <c r="U80" s="117" t="s"/>
      <c r="V80" s="117" t="s"/>
      <c r="W80" s="117" t="s"/>
      <c r="X80" s="117" t="s"/>
      <c r="Y80" s="117" t="s"/>
    </row>
    <row r="81" spans="4:25">
      <c r="D81" s="80" t="s"/>
      <c r="E81" s="78" t="s">
        <v>385</v>
      </c>
      <c r="F81" s="78" t="s"/>
      <c r="G81" s="80" t="s"/>
      <c r="H81" s="122" t="s"/>
      <c r="I81" s="125" t="s"/>
      <c r="J81" s="124" t="s"/>
      <c r="K81" s="78">
        <f>=COUNTIFS($D$5:$D$64,$E81,K$5:K$64,"技术支持")+COUNTIFS($D$5:$D$64,$E81,K$5:K$64,"定制")</f>
        <v>2</v>
      </c>
      <c r="L81" s="78">
        <f>=COUNTIFS($D$5:$D$64,$E81,L$5:L$64,"技术支持")+COUNTIFS($D$5:$D$64,$E81,L$5:L$64,"定制")</f>
        <v>2</v>
      </c>
      <c r="M81" s="78">
        <f>=COUNTIFS($D$5:$D$64,$E81,M$5:M$64,"技术支持")+COUNTIFS($D$5:$D$64,$E81,M$5:M$64,"定制")</f>
        <v>2</v>
      </c>
      <c r="N81" s="78">
        <f>=COUNTIFS($D$5:$D$64,$E81,N$5:N$64,"技术支持")+COUNTIFS($D$5:$D$64,$E81,N$5:N$64,"定制")</f>
        <v>2</v>
      </c>
      <c r="O81" s="78">
        <f>=COUNTIFS($D$5:$D$64,$E81,O$5:O$64,"技术支持")+COUNTIFS($D$5:$D$64,$E81,O$5:O$64,"定制")</f>
        <v>2</v>
      </c>
      <c r="P81" s="78">
        <f>=COUNTIFS($D$5:$D$64,$E81,P$5:P$64,"技术支持")+COUNTIFS($D$5:$D$64,$E81,P$5:P$64,"定制")</f>
        <v>2</v>
      </c>
      <c r="Q81" s="78">
        <f>=COUNTIFS($D$5:$D$64,$E81,Q$5:Q$64,"技术支持")+COUNTIFS($D$5:$D$64,$E81,Q$5:Q$64,"定制")</f>
        <v>2</v>
      </c>
      <c r="R81" s="78">
        <f>=COUNTIFS($D$5:$D$64,$E81,R$5:R$64,"技术支持")+COUNTIFS($D$5:$D$64,$E81,R$5:R$64,"定制")</f>
        <v>2</v>
      </c>
      <c r="S81" s="78">
        <f>=COUNTIFS($D$5:$D$64,$E81,S$5:S$64,"技术支持")+COUNTIFS($D$5:$D$64,$E81,S$5:S$64,"定制")</f>
        <v>2</v>
      </c>
      <c r="T81" s="117" t="s"/>
      <c r="U81" s="117" t="s"/>
      <c r="V81" s="117" t="s"/>
      <c r="W81" s="117" t="s"/>
      <c r="X81" s="117" t="s"/>
      <c r="Y81" s="117" t="s"/>
    </row>
    <row r="82" spans="4:25">
      <c r="D82" s="80" t="s"/>
      <c r="E82" s="78" t="s">
        <v>406</v>
      </c>
      <c r="F82" s="78" t="s"/>
      <c r="G82" s="80" t="s"/>
      <c r="H82" s="122" t="s"/>
      <c r="I82" s="126" t="s"/>
      <c r="J82" s="124" t="s"/>
      <c r="K82" s="78">
        <f>=COUNTIFS($D$5:$D$64,$E82,K$5:K$64,"技术支持")+COUNTIFS($D$5:$D$64,$E82,K$5:K$64,"定制")</f>
        <v>2</v>
      </c>
      <c r="L82" s="78">
        <f>=COUNTIFS($D$5:$D$64,$E82,L$5:L$64,"技术支持")+COUNTIFS($D$5:$D$64,$E82,L$5:L$64,"定制")</f>
        <v>2</v>
      </c>
      <c r="M82" s="78">
        <f>=COUNTIFS($D$5:$D$64,$E82,M$5:M$64,"技术支持")+COUNTIFS($D$5:$D$64,$E82,M$5:M$64,"定制")</f>
        <v>2</v>
      </c>
      <c r="N82" s="78">
        <f>=COUNTIFS($D$5:$D$64,$E82,N$5:N$64,"技术支持")+COUNTIFS($D$5:$D$64,$E82,N$5:N$64,"定制")</f>
        <v>2</v>
      </c>
      <c r="O82" s="78">
        <f>=COUNTIFS($D$5:$D$64,$E82,O$5:O$64,"技术支持")+COUNTIFS($D$5:$D$64,$E82,O$5:O$64,"定制")</f>
        <v>2</v>
      </c>
      <c r="P82" s="78">
        <f>=COUNTIFS($D$5:$D$64,$E82,P$5:P$64,"技术支持")+COUNTIFS($D$5:$D$64,$E82,P$5:P$64,"定制")</f>
        <v>2</v>
      </c>
      <c r="Q82" s="78">
        <f>=COUNTIFS($D$5:$D$64,$E82,Q$5:Q$64,"技术支持")+COUNTIFS($D$5:$D$64,$E82,Q$5:Q$64,"定制")</f>
        <v>2</v>
      </c>
      <c r="R82" s="78">
        <f>=COUNTIFS($D$5:$D$64,$E82,R$5:R$64,"技术支持")+COUNTIFS($D$5:$D$64,$E82,R$5:R$64,"定制")</f>
        <v>2</v>
      </c>
      <c r="S82" s="78">
        <f>=COUNTIFS($D$5:$D$64,$E82,S$5:S$64,"技术支持")+COUNTIFS($D$5:$D$64,$E82,S$5:S$64,"定制")</f>
        <v>2</v>
      </c>
      <c r="T82" s="117" t="s"/>
      <c r="U82" s="117" t="s"/>
      <c r="V82" s="117" t="s"/>
      <c r="W82" s="117" t="s"/>
      <c r="X82" s="117" t="s"/>
      <c r="Y82" s="117" t="s"/>
    </row>
    <row r="83" spans="4:25">
      <c r="D83" s="78" t="s">
        <v>436</v>
      </c>
      <c r="E83" s="78" t="s">
        <v>385</v>
      </c>
      <c r="F83" s="78" t="s"/>
      <c r="G83" s="80" t="s"/>
      <c r="H83" s="122" t="s"/>
      <c r="I83" s="128">
        <f>=SUM(K83:S83)/I$92</f>
        <v>0.0597345132743363</v>
      </c>
      <c r="J83" s="124" t="s"/>
      <c r="K83" s="78">
        <f>=COUNTIFS($D$5:$D$64,$E83,K$5:K$64,"支撑(无线、交换)")+COUNTIFS($D$5:$D$64,$E83,K$5:K$64,"视觉")</f>
        <v>3</v>
      </c>
      <c r="L83" s="78">
        <f>=COUNTIFS($D$5:$D$64,$E83,L$5:L$64,"支撑(无线、交换)")+COUNTIFS($D$5:$D$64,$E83,L$5:L$64,"视觉")</f>
        <v>3</v>
      </c>
      <c r="M83" s="78">
        <f>=COUNTIFS($D$5:$D$64,$E83,M$5:M$64,"支撑(无线、交换)")+COUNTIFS($D$5:$D$64,$E83,M$5:M$64,"视觉")</f>
        <v>3</v>
      </c>
      <c r="N83" s="78">
        <f>=COUNTIFS($D$5:$D$64,$E83,N$5:N$64,"支撑(无线、交换)")+COUNTIFS($D$5:$D$64,$E83,N$5:N$64,"视觉")</f>
        <v>3</v>
      </c>
      <c r="O83" s="78">
        <f>=COUNTIFS($D$5:$D$64,$E83,O$5:O$64,"支撑(无线、交换)")+COUNTIFS($D$5:$D$64,$E83,O$5:O$64,"视觉")</f>
        <v>3</v>
      </c>
      <c r="P83" s="78">
        <f>=COUNTIFS($D$5:$D$64,$E83,P$5:P$64,"支撑(无线、交换)")+COUNTIFS($D$5:$D$64,$E83,P$5:P$64,"视觉")</f>
        <v>3</v>
      </c>
      <c r="Q83" s="78">
        <f>=COUNTIFS($D$5:$D$64,$E83,Q$5:Q$64,"支撑(无线、交换)")+COUNTIFS($D$5:$D$64,$E83,Q$5:Q$64,"视觉")</f>
        <v>3</v>
      </c>
      <c r="R83" s="78">
        <f>=COUNTIFS($D$5:$D$64,$E83,R$5:R$64,"支撑(无线、交换)")+COUNTIFS($D$5:$D$64,$E83,R$5:R$64,"视觉")</f>
        <v>3</v>
      </c>
      <c r="S83" s="78">
        <f>=COUNTIFS($D$5:$D$64,$E83,S$5:S$64,"支撑(无线、交换)")+COUNTIFS($D$5:$D$64,$E83,S$5:S$64,"视觉")</f>
        <v>3</v>
      </c>
      <c r="T83" s="117" t="s"/>
      <c r="U83" s="117" t="s"/>
      <c r="V83" s="117" t="s"/>
      <c r="W83" s="117" t="s"/>
      <c r="X83" s="117" t="s"/>
      <c r="Y83" s="117" t="s"/>
    </row>
    <row r="84" spans="4:21">
      <c r="D84" s="78" t="s">
        <v>437</v>
      </c>
      <c r="E84" s="78" t="s">
        <v>69</v>
      </c>
      <c r="F84" s="78" t="s"/>
      <c r="G84" s="80" t="s"/>
      <c r="H84" s="122" t="s"/>
      <c r="I84" s="128">
        <f>=SUM(K84:S84)/I$92</f>
        <v>0.0132743362831858</v>
      </c>
      <c r="J84" s="124" t="s"/>
      <c r="K84" s="78">
        <f>=COUNTIFS($D$5:$D$64,$E84,K$5:K$64,"AI基建打造")</f>
        <v>1</v>
      </c>
      <c r="L84" s="78">
        <f>=COUNTIFS($D$5:$D$64,$E84,L$5:L$64,"AI基建打造")</f>
        <v>1</v>
      </c>
      <c r="M84" s="78">
        <f>=COUNTIFS($D$5:$D$64,$E84,M$5:M$64,"AI基建打造")</f>
        <v>1</v>
      </c>
      <c r="N84" s="78">
        <f>=COUNTIFS($D$5:$D$64,$E84,N$5:N$64,"AI基建打造")</f>
        <v>1</v>
      </c>
      <c r="O84" s="78">
        <f>=COUNTIFS($D$5:$D$64,$E84,O$5:O$64,"AI基建打造")</f>
        <v>1</v>
      </c>
      <c r="P84" s="78">
        <f>=COUNTIFS($D$5:$D$64,$E84,P$5:P$64,"AI基建打造")</f>
        <v>1</v>
      </c>
      <c r="Q84" s="78">
        <f>=COUNTIFS($D$5:$D$64,$E84,Q$5:Q$64,"AI基建打造")</f>
        <v>0</v>
      </c>
      <c r="R84" s="78">
        <f>=COUNTIFS($D$5:$D$64,$E84,R$5:R$64,"AI基建打造")</f>
        <v>0</v>
      </c>
      <c r="S84" s="78">
        <f>=COUNTIFS($D$5:$D$64,$E84,S$5:S$64,"AI基建打造")</f>
        <v>0</v>
      </c>
      <c r="T84" s="117" t="s"/>
      <c r="U84" s="117" t="s"/>
    </row>
    <row r="85" spans="4:21">
      <c r="D85" s="78" t="s">
        <v>327</v>
      </c>
      <c r="E85" s="78" t="s">
        <v>327</v>
      </c>
      <c r="F85" s="78" t="s"/>
      <c r="G85" s="80" t="s"/>
      <c r="H85" s="122" t="s"/>
      <c r="I85" s="128">
        <f>=SUM(K85:S85)/I$92</f>
        <v>0.0199115044247788</v>
      </c>
      <c r="J85" s="124" t="s"/>
      <c r="K85" s="78">
        <f>=COUNTIFS($D$2:$D$64,$E87,K$2:K$64,"规划")</f>
        <v>1</v>
      </c>
      <c r="L85" s="78">
        <f>=COUNTIFS($D$2:$D$64,$E87,L$2:L$64,"规划")</f>
        <v>1</v>
      </c>
      <c r="M85" s="78">
        <f>=COUNTIFS($D$2:$D$64,$E87,M$2:M$64,"规划")</f>
        <v>1</v>
      </c>
      <c r="N85" s="78">
        <f>=COUNTIFS($D$2:$D$64,$E87,N$2:N$64,"规划")</f>
        <v>1</v>
      </c>
      <c r="O85" s="78">
        <f>=COUNTIFS($D$2:$D$64,$E87,O$2:O$64,"规划")</f>
        <v>1</v>
      </c>
      <c r="P85" s="78">
        <f>=COUNTIFS($D$2:$D$64,$E87,P$2:P$64,"规划")</f>
        <v>1</v>
      </c>
      <c r="Q85" s="78">
        <f>=COUNTIFS($D$2:$D$64,$E87,Q$2:Q$64,"规划")</f>
        <v>1</v>
      </c>
      <c r="R85" s="78">
        <f>=COUNTIFS($D$2:$D$64,$E87,R$2:R$64,"规划")</f>
        <v>1</v>
      </c>
      <c r="S85" s="78">
        <f>=COUNTIFS($D$2:$D$64,$E87,S$2:S$64,"规划")</f>
        <v>1</v>
      </c>
      <c r="T85" s="117" t="s"/>
      <c r="U85" s="117" t="s"/>
    </row>
    <row r="86" spans="4:21">
      <c r="D86" s="78" t="s">
        <v>52</v>
      </c>
      <c r="E86" s="129" t="s">
        <v>52</v>
      </c>
      <c r="F86" s="129" t="s"/>
      <c r="G86" s="130" t="s"/>
      <c r="H86" s="131" t="s"/>
      <c r="I86" s="128">
        <f>=SUM(K86:S86)/I$92</f>
        <v>0.0398230088495575</v>
      </c>
      <c r="J86" s="132" t="s"/>
      <c r="K86" s="129">
        <f>=COUNTIFS($D$2:$D$64,$E88,K$2:K$64,"管理")</f>
        <v>2</v>
      </c>
      <c r="L86" s="129">
        <f>=COUNTIFS($D$2:$D$64,$E88,L$2:L$64,"管理")</f>
        <v>2</v>
      </c>
      <c r="M86" s="129">
        <f>=COUNTIFS($D$2:$D$64,$E88,M$2:M$64,"管理")</f>
        <v>2</v>
      </c>
      <c r="N86" s="129">
        <f>=COUNTIFS($D$2:$D$64,$E88,N$2:N$64,"管理")</f>
        <v>2</v>
      </c>
      <c r="O86" s="129">
        <f>=COUNTIFS($D$2:$D$64,$E88,O$2:O$64,"管理")</f>
        <v>2</v>
      </c>
      <c r="P86" s="129">
        <f>=COUNTIFS($D$2:$D$64,$E88,P$2:P$64,"管理")</f>
        <v>2</v>
      </c>
      <c r="Q86" s="129">
        <f>=COUNTIFS($D$2:$D$64,$E88,Q$2:Q$64,"管理")</f>
        <v>2</v>
      </c>
      <c r="R86" s="129">
        <f>=COUNTIFS($D$2:$D$64,$E88,R$2:R$64,"管理")</f>
        <v>2</v>
      </c>
      <c r="S86" s="129">
        <f>=COUNTIFS($D$2:$D$64,$E88,S$2:S$64,"管理")</f>
        <v>2</v>
      </c>
      <c r="T86" s="117" t="s"/>
      <c r="U86" s="117" t="s"/>
    </row>
    <row r="87" spans="4:21">
      <c r="D87" s="133" t="s">
        <v>438</v>
      </c>
      <c r="E87" s="78" t="s">
        <v>327</v>
      </c>
      <c r="F87" s="78" t="s"/>
      <c r="G87" s="80" t="s"/>
      <c r="H87" s="80" t="s"/>
      <c r="I87" s="78">
        <f>=SUM(K87:S87)</f>
        <v>9</v>
      </c>
      <c r="J87" s="78" t="s"/>
      <c r="K87" s="78">
        <f>=K85</f>
        <v>1</v>
      </c>
      <c r="L87" s="78">
        <f>=L85</f>
        <v>1</v>
      </c>
      <c r="M87" s="78">
        <f>=M85</f>
        <v>1</v>
      </c>
      <c r="N87" s="78">
        <f>=N85</f>
        <v>1</v>
      </c>
      <c r="O87" s="78">
        <f>=O85</f>
        <v>1</v>
      </c>
      <c r="P87" s="78">
        <f>=P85</f>
        <v>1</v>
      </c>
      <c r="Q87" s="78">
        <f>=Q85</f>
        <v>1</v>
      </c>
      <c r="R87" s="78">
        <f>=R85</f>
        <v>1</v>
      </c>
      <c r="S87" s="78">
        <f>=S85</f>
        <v>1</v>
      </c>
      <c r="T87" s="117" t="s"/>
      <c r="U87" s="117" t="s"/>
    </row>
    <row r="88" spans="4:21">
      <c r="D88" s="134" t="s"/>
      <c r="E88" s="78" t="s">
        <v>52</v>
      </c>
      <c r="F88" s="78" t="s"/>
      <c r="G88" s="80" t="s"/>
      <c r="H88" s="80" t="s"/>
      <c r="I88" s="78">
        <f>=SUM(K88:S88)</f>
        <v>18</v>
      </c>
      <c r="J88" s="78" t="s"/>
      <c r="K88" s="78">
        <f>=K86</f>
        <v>2</v>
      </c>
      <c r="L88" s="78">
        <f>=L86</f>
        <v>2</v>
      </c>
      <c r="M88" s="78">
        <f>=M86</f>
        <v>2</v>
      </c>
      <c r="N88" s="78">
        <f>=N86</f>
        <v>2</v>
      </c>
      <c r="O88" s="78">
        <f>=O86</f>
        <v>2</v>
      </c>
      <c r="P88" s="78">
        <f>=P86</f>
        <v>2</v>
      </c>
      <c r="Q88" s="78">
        <f>=Q86</f>
        <v>2</v>
      </c>
      <c r="R88" s="78">
        <f>=R86</f>
        <v>2</v>
      </c>
      <c r="S88" s="78">
        <f>=S86</f>
        <v>2</v>
      </c>
      <c r="T88" s="117" t="s"/>
      <c r="U88" s="117" t="s"/>
    </row>
    <row r="89" spans="4:21">
      <c r="D89" s="125" t="s"/>
      <c r="E89" s="135" t="s">
        <v>69</v>
      </c>
      <c r="F89" s="136" t="s"/>
      <c r="G89" s="137" t="s"/>
      <c r="H89" s="138" t="s"/>
      <c r="I89" s="136">
        <f>=SUM(K89:S89)</f>
        <v>226</v>
      </c>
      <c r="J89" s="139" t="s"/>
      <c r="K89" s="136">
        <f>=K84+K80+K77+K74+K71</f>
        <v>25</v>
      </c>
      <c r="L89" s="136">
        <f>=L84+L80+L77+L74+L71</f>
        <v>24</v>
      </c>
      <c r="M89" s="136">
        <f>=M84+M80+M77+M74+M71</f>
        <v>21</v>
      </c>
      <c r="N89" s="136">
        <f>=N84+N80+N77+N74+N71</f>
        <v>26</v>
      </c>
      <c r="O89" s="136">
        <f>=O84+O80+O77+O74+O71</f>
        <v>26</v>
      </c>
      <c r="P89" s="136">
        <f>=P84+P80+P77+P74+P71</f>
        <v>26</v>
      </c>
      <c r="Q89" s="136">
        <f>=Q84+Q80+Q77+Q74+Q71</f>
        <v>26</v>
      </c>
      <c r="R89" s="136">
        <f>=R84+R80+R77+R74+R71</f>
        <v>26</v>
      </c>
      <c r="S89" s="136">
        <f>=S84+S80+S77+S74+S71</f>
        <v>26</v>
      </c>
      <c r="T89" s="140" t="s"/>
      <c r="U89" s="141" t="s"/>
    </row>
    <row r="90" spans="4:21">
      <c r="D90" s="125" t="s"/>
      <c r="E90" s="78" t="s">
        <v>385</v>
      </c>
      <c r="F90" s="78" t="s"/>
      <c r="G90" s="80" t="s"/>
      <c r="H90" s="122" t="s"/>
      <c r="I90" s="78">
        <f>=SUM(K90:S90)</f>
        <v>106</v>
      </c>
      <c r="J90" s="124" t="s"/>
      <c r="K90" s="78">
        <f>=K83+K81+K78+K75+K72</f>
        <v>14</v>
      </c>
      <c r="L90" s="78">
        <f>=L83+L81+L78+L75+L72</f>
        <v>13</v>
      </c>
      <c r="M90" s="78">
        <f>=M83+M81+M78+M75+M72</f>
        <v>13</v>
      </c>
      <c r="N90" s="78">
        <f>=N83+N81+N78+N75+N72</f>
        <v>11</v>
      </c>
      <c r="O90" s="78">
        <f>=O83+O81+O78+O75+O72</f>
        <v>11</v>
      </c>
      <c r="P90" s="78">
        <f>=P83+P81+P78+P75+P72</f>
        <v>11</v>
      </c>
      <c r="Q90" s="78">
        <f>=Q83+Q81+Q78+Q75+Q72</f>
        <v>11</v>
      </c>
      <c r="R90" s="78">
        <f>=R83+R81+R78+R75+R72</f>
        <v>11</v>
      </c>
      <c r="S90" s="78">
        <f>=S83+S81+S78+S75+S72</f>
        <v>11</v>
      </c>
      <c r="T90" s="140" t="s"/>
      <c r="U90" s="141" t="s"/>
    </row>
    <row r="91" spans="4:21">
      <c r="D91" s="126" t="s"/>
      <c r="E91" s="129" t="s">
        <v>406</v>
      </c>
      <c r="F91" s="129" t="s"/>
      <c r="G91" s="130" t="s"/>
      <c r="H91" s="131" t="s"/>
      <c r="I91" s="129">
        <f>=SUM(K91:S91)</f>
        <v>93</v>
      </c>
      <c r="J91" s="132" t="s"/>
      <c r="K91" s="129">
        <f>=K82+K79+K76+K73</f>
        <v>9</v>
      </c>
      <c r="L91" s="129">
        <f>=L82+L79+L76+L73</f>
        <v>9</v>
      </c>
      <c r="M91" s="129">
        <f>=M82+M79+M76+M73</f>
        <v>9</v>
      </c>
      <c r="N91" s="129">
        <f>=N82+N79+N76+N73</f>
        <v>11</v>
      </c>
      <c r="O91" s="129">
        <f>=O82+O79+O76+O73</f>
        <v>11</v>
      </c>
      <c r="P91" s="129">
        <f>=P82+P79+P76+P73</f>
        <v>11</v>
      </c>
      <c r="Q91" s="129">
        <f>=Q82+Q79+Q76+Q73</f>
        <v>11</v>
      </c>
      <c r="R91" s="129">
        <f>=R82+R79+R76+R73</f>
        <v>11</v>
      </c>
      <c r="S91" s="129">
        <f>=S82+S79+S76+S73</f>
        <v>11</v>
      </c>
      <c r="T91" s="140" t="s"/>
      <c r="U91" s="141" t="s"/>
    </row>
    <row r="92" spans="3:21">
      <c r="C92" s="120" t="s"/>
      <c r="D92" s="78" t="s">
        <v>439</v>
      </c>
      <c r="E92" s="78" t="s"/>
      <c r="F92" s="78" t="s"/>
      <c r="G92" s="80" t="s"/>
      <c r="H92" s="80" t="s"/>
      <c r="I92" s="78">
        <f>=SUM(I87:I91)</f>
        <v>452</v>
      </c>
      <c r="J92" s="78" t="s"/>
      <c r="K92" s="78">
        <f>=SUM(K87:K91)</f>
        <v>51</v>
      </c>
      <c r="L92" s="78">
        <f>=SUM(L87:L91)</f>
        <v>49</v>
      </c>
      <c r="M92" s="78">
        <f>=SUM(M87:M91)</f>
        <v>46</v>
      </c>
      <c r="N92" s="78">
        <f>=SUM(N87:N91)</f>
        <v>51</v>
      </c>
      <c r="O92" s="78">
        <f>=SUM(O87:O91)</f>
        <v>51</v>
      </c>
      <c r="P92" s="78">
        <f>=SUM(P87:P91)</f>
        <v>51</v>
      </c>
      <c r="Q92" s="78">
        <f>=SUM(Q87:Q91)</f>
        <v>51</v>
      </c>
      <c r="R92" s="78">
        <f>=SUM(R87:R91)</f>
        <v>51</v>
      </c>
      <c r="S92" s="78">
        <f>=SUM(S87:S91)</f>
        <v>51</v>
      </c>
      <c r="T92" s="140" t="s"/>
      <c r="U92" s="141" t="s"/>
    </row>
    <row r="93" spans="3:21">
      <c r="C93" s="120" t="s"/>
      <c r="D93" s="105" t="s"/>
      <c r="E93" s="105" t="s"/>
      <c r="R93" s="141" t="s"/>
      <c r="S93" s="141" t="s"/>
      <c r="T93" s="140" t="s"/>
      <c r="U93" s="141" t="s"/>
    </row>
    <row r="94" spans="18:21">
      <c r="R94" s="141" t="s"/>
      <c r="S94" s="141" t="s"/>
      <c r="T94" s="140" t="s"/>
      <c r="U94" s="141" t="s"/>
    </row>
    <row r="95" spans="18:21">
      <c r="R95" s="141" t="s"/>
      <c r="S95" s="141" t="s"/>
      <c r="T95" s="140" t="s"/>
      <c r="U95" s="141" t="s"/>
    </row>
    <row r="96" spans="18:21">
      <c r="R96" s="141" t="s"/>
      <c r="S96" s="141" t="s"/>
      <c r="T96" s="140" t="s"/>
      <c r="U96" s="141" t="s"/>
    </row>
    <row r="97" spans="18:21">
      <c r="R97" s="141" t="s"/>
      <c r="S97" s="141" t="s"/>
      <c r="T97" s="140" t="s"/>
      <c r="U97" s="141" t="s"/>
    </row>
    <row r="98" spans="18:21">
      <c r="R98" s="141" t="s"/>
      <c r="S98" s="117" t="s"/>
      <c r="T98" s="117" t="s"/>
      <c r="U98" s="141" t="s"/>
    </row>
    <row r="99" spans="3:19">
      <c r="C99" s="105" t="s"/>
      <c r="D99" s="105" t="s"/>
      <c r="E99" s="105" t="s"/>
      <c r="F99" s="105" t="s"/>
      <c r="G99" s="105" t="s"/>
      <c r="H99" s="105" t="s"/>
      <c r="I99" s="105" t="s"/>
      <c r="J99" s="105" t="s"/>
      <c r="K99" s="105" t="s"/>
      <c r="L99" s="105" t="s"/>
      <c r="M99" s="105" t="s"/>
      <c r="N99" s="105" t="s"/>
      <c r="O99" s="105" t="s"/>
      <c r="P99" s="105" t="s"/>
      <c r="Q99" s="105" t="s"/>
      <c r="R99" s="105" t="s"/>
      <c r="S99" s="105" t="s"/>
    </row>
    <row r="100" spans="3:19">
      <c r="C100" s="105" t="s"/>
      <c r="D100" s="105" t="s"/>
      <c r="E100" s="105" t="s"/>
      <c r="F100" s="105" t="s"/>
      <c r="G100" s="105" t="s"/>
      <c r="H100" s="105" t="s"/>
      <c r="I100" s="105" t="s"/>
      <c r="J100" s="105" t="s"/>
      <c r="K100" s="105" t="s"/>
      <c r="L100" s="105" t="s"/>
      <c r="M100" s="105" t="s"/>
      <c r="N100" s="105" t="s"/>
      <c r="O100" s="105" t="s"/>
      <c r="P100" s="105" t="s"/>
      <c r="Q100" s="105" t="s"/>
      <c r="R100" s="105" t="s"/>
      <c r="S100" s="105" t="s"/>
    </row>
    <row r="101" spans="3:19">
      <c r="C101" s="105" t="s"/>
      <c r="D101" s="105" t="s"/>
      <c r="E101" s="105" t="s"/>
      <c r="F101" s="105" t="s"/>
      <c r="G101" s="105" t="s"/>
      <c r="H101" s="105" t="s"/>
      <c r="I101" s="105" t="s"/>
      <c r="J101" s="105" t="s"/>
      <c r="K101" s="105" t="s"/>
      <c r="L101" s="105" t="s"/>
      <c r="M101" s="105" t="s"/>
      <c r="N101" s="105" t="s"/>
      <c r="O101" s="105" t="s"/>
      <c r="P101" s="105" t="s"/>
      <c r="Q101" s="105" t="s"/>
      <c r="R101" s="105" t="s"/>
      <c r="S101" s="105" t="s"/>
    </row>
    <row r="102" spans="3:19">
      <c r="C102" s="105" t="s"/>
      <c r="D102" s="105" t="s"/>
      <c r="E102" s="105" t="s"/>
      <c r="F102" s="105" t="s"/>
      <c r="G102" s="105" t="s"/>
      <c r="H102" s="105" t="s"/>
      <c r="I102" s="105" t="s"/>
      <c r="J102" s="105" t="s"/>
      <c r="K102" s="105" t="s"/>
      <c r="L102" s="105" t="s"/>
      <c r="M102" s="105" t="s"/>
      <c r="N102" s="105" t="s"/>
      <c r="O102" s="105" t="s"/>
      <c r="P102" s="105" t="s"/>
      <c r="Q102" s="105" t="s"/>
      <c r="R102" s="105" t="s"/>
      <c r="S102" s="105" t="s"/>
    </row>
    <row r="103" spans="3:19">
      <c r="C103" s="105" t="s"/>
      <c r="D103" s="105" t="s"/>
      <c r="E103" s="105" t="s"/>
      <c r="F103" s="105" t="s"/>
      <c r="G103" s="105" t="s"/>
      <c r="H103" s="105" t="s"/>
      <c r="I103" s="105" t="s"/>
      <c r="J103" s="105" t="s"/>
      <c r="K103" s="105" t="s"/>
      <c r="L103" s="105" t="s"/>
      <c r="M103" s="105" t="s"/>
      <c r="N103" s="105" t="s"/>
      <c r="O103" s="105" t="s"/>
      <c r="P103" s="105" t="s"/>
      <c r="Q103" s="105" t="s"/>
      <c r="R103" s="105" t="s"/>
      <c r="S103" s="105" t="s"/>
    </row>
    <row r="104" spans="3:19">
      <c r="C104" s="105" t="s"/>
      <c r="D104" s="105" t="s"/>
      <c r="E104" s="105" t="s"/>
      <c r="F104" s="105" t="s"/>
      <c r="G104" s="105" t="s"/>
      <c r="H104" s="105" t="s"/>
      <c r="I104" s="105" t="s"/>
      <c r="J104" s="105" t="s"/>
      <c r="K104" s="105" t="s"/>
      <c r="L104" s="105" t="s"/>
      <c r="M104" s="105" t="s"/>
      <c r="N104" s="105" t="s"/>
      <c r="O104" s="105" t="s"/>
      <c r="P104" s="105" t="s"/>
      <c r="Q104" s="105" t="s"/>
      <c r="R104" s="105" t="s"/>
      <c r="S104" s="105" t="s"/>
    </row>
    <row r="105" spans="3:19">
      <c r="C105" s="105" t="s"/>
      <c r="D105" s="105" t="s"/>
      <c r="E105" s="105" t="s"/>
      <c r="F105" s="105" t="s"/>
      <c r="G105" s="105" t="s"/>
      <c r="H105" s="105" t="s"/>
      <c r="I105" s="105" t="s"/>
      <c r="J105" s="105" t="s"/>
      <c r="K105" s="105" t="s"/>
      <c r="L105" s="105" t="s"/>
      <c r="M105" s="105" t="s"/>
      <c r="N105" s="105" t="s"/>
      <c r="O105" s="105" t="s"/>
      <c r="P105" s="105" t="s"/>
      <c r="Q105" s="105" t="s"/>
      <c r="R105" s="105" t="s"/>
      <c r="S105" s="105" t="s"/>
    </row>
    <row r="106" spans="3:19">
      <c r="C106" s="105" t="s"/>
      <c r="D106" s="105" t="s"/>
      <c r="E106" s="105" t="s"/>
      <c r="F106" s="105" t="s"/>
      <c r="G106" s="105" t="s"/>
      <c r="H106" s="105" t="s"/>
      <c r="I106" s="105" t="s"/>
      <c r="J106" s="105" t="s"/>
      <c r="K106" s="105" t="s"/>
      <c r="L106" s="105" t="s"/>
      <c r="M106" s="105" t="s"/>
      <c r="N106" s="105" t="s"/>
      <c r="O106" s="105" t="s"/>
      <c r="P106" s="105" t="s"/>
      <c r="Q106" s="105" t="s"/>
      <c r="R106" s="105" t="s"/>
      <c r="S106" s="105" t="s"/>
    </row>
    <row r="107" spans="3:19">
      <c r="C107" s="105" t="s"/>
      <c r="D107" s="105" t="s"/>
      <c r="E107" s="105" t="s"/>
      <c r="F107" s="105" t="s"/>
      <c r="G107" s="105" t="s"/>
      <c r="H107" s="105" t="s"/>
      <c r="I107" s="105" t="s"/>
      <c r="J107" s="105" t="s"/>
      <c r="K107" s="105" t="s"/>
      <c r="L107" s="105" t="s"/>
      <c r="M107" s="105" t="s"/>
      <c r="N107" s="105" t="s"/>
      <c r="O107" s="105" t="s"/>
      <c r="P107" s="105" t="s"/>
      <c r="Q107" s="105" t="s"/>
      <c r="R107" s="105" t="s"/>
      <c r="S107" s="105" t="s"/>
    </row>
    <row r="108" spans="3:19">
      <c r="C108" s="105" t="s"/>
      <c r="D108" s="105" t="s"/>
      <c r="E108" s="105" t="s"/>
      <c r="F108" s="105" t="s"/>
      <c r="G108" s="105" t="s"/>
      <c r="H108" s="105" t="s"/>
      <c r="I108" s="105" t="s"/>
      <c r="J108" s="105" t="s"/>
      <c r="K108" s="105" t="s"/>
      <c r="L108" s="105" t="s"/>
      <c r="M108" s="105" t="s"/>
      <c r="N108" s="105" t="s"/>
      <c r="O108" s="105" t="s"/>
      <c r="P108" s="105" t="s"/>
      <c r="Q108" s="105" t="s"/>
      <c r="R108" s="105" t="s"/>
      <c r="S108" s="105" t="s"/>
    </row>
    <row r="109" spans="3:19">
      <c r="C109" s="105" t="s"/>
      <c r="D109" s="105" t="s"/>
      <c r="E109" s="105" t="s"/>
      <c r="F109" s="105" t="s"/>
      <c r="G109" s="105" t="s"/>
      <c r="H109" s="105" t="s"/>
      <c r="I109" s="105" t="s"/>
      <c r="J109" s="105" t="s"/>
      <c r="K109" s="105" t="s"/>
      <c r="L109" s="105" t="s"/>
      <c r="M109" s="105" t="s"/>
      <c r="N109" s="105" t="s"/>
      <c r="O109" s="105" t="s"/>
      <c r="P109" s="105" t="s"/>
      <c r="Q109" s="105" t="s"/>
      <c r="R109" s="105" t="s"/>
      <c r="S109" s="105" t="s"/>
    </row>
    <row r="110" spans="3:19">
      <c r="C110" s="105" t="s"/>
      <c r="D110" s="105" t="s"/>
      <c r="E110" s="105" t="s"/>
      <c r="F110" s="105" t="s"/>
      <c r="G110" s="105" t="s"/>
      <c r="H110" s="105" t="s"/>
      <c r="I110" s="105" t="s"/>
      <c r="J110" s="105" t="s"/>
      <c r="K110" s="105" t="s"/>
      <c r="L110" s="105" t="s"/>
      <c r="M110" s="105" t="s"/>
      <c r="N110" s="105" t="s"/>
      <c r="O110" s="105" t="s"/>
      <c r="P110" s="105" t="s"/>
      <c r="Q110" s="105" t="s"/>
      <c r="R110" s="105" t="s"/>
      <c r="S110" s="105" t="s"/>
    </row>
    <row r="111" spans="3:19">
      <c r="C111" s="105" t="s"/>
      <c r="D111" s="105" t="s"/>
      <c r="E111" s="105" t="s"/>
      <c r="F111" s="105" t="s"/>
      <c r="G111" s="105" t="s"/>
      <c r="H111" s="105" t="s"/>
      <c r="I111" s="105" t="s"/>
      <c r="J111" s="105" t="s"/>
      <c r="K111" s="105" t="s"/>
      <c r="L111" s="105" t="s"/>
      <c r="M111" s="105" t="s"/>
      <c r="N111" s="105" t="s"/>
      <c r="O111" s="105" t="s"/>
      <c r="P111" s="105" t="s"/>
      <c r="Q111" s="105" t="s"/>
      <c r="R111" s="105" t="s"/>
      <c r="S111" s="105" t="s"/>
    </row>
    <row r="112" spans="3:19">
      <c r="C112" s="105" t="s"/>
      <c r="D112" s="105" t="s"/>
      <c r="E112" s="105" t="s"/>
      <c r="F112" s="105" t="s"/>
      <c r="G112" s="105" t="s"/>
      <c r="H112" s="105" t="s"/>
      <c r="I112" s="105" t="s"/>
      <c r="J112" s="105" t="s"/>
      <c r="K112" s="105" t="s"/>
      <c r="L112" s="105" t="s"/>
      <c r="M112" s="105" t="s"/>
      <c r="N112" s="105" t="s"/>
      <c r="O112" s="105" t="s"/>
      <c r="P112" s="105" t="s"/>
      <c r="Q112" s="105" t="s"/>
      <c r="R112" s="105" t="s"/>
      <c r="S112" s="105" t="s"/>
    </row>
    <row r="113" spans="3:19">
      <c r="C113" s="105" t="s"/>
      <c r="D113" s="105" t="s"/>
      <c r="E113" s="105" t="s"/>
      <c r="F113" s="105" t="s"/>
      <c r="G113" s="105" t="s"/>
      <c r="H113" s="105" t="s"/>
      <c r="I113" s="105" t="s"/>
      <c r="J113" s="105" t="s"/>
      <c r="K113" s="105" t="s"/>
      <c r="L113" s="105" t="s"/>
      <c r="M113" s="105" t="s"/>
      <c r="N113" s="105" t="s"/>
      <c r="O113" s="105" t="s"/>
      <c r="P113" s="105" t="s"/>
      <c r="Q113" s="105" t="s"/>
      <c r="R113" s="105" t="s"/>
      <c r="S113" s="105" t="s"/>
    </row>
    <row r="114" spans="3:19">
      <c r="C114" s="105" t="s"/>
      <c r="D114" s="105" t="s"/>
      <c r="E114" s="105" t="s"/>
      <c r="F114" s="105" t="s"/>
      <c r="G114" s="105" t="s"/>
      <c r="H114" s="105" t="s"/>
      <c r="I114" s="105" t="s"/>
      <c r="J114" s="105" t="s"/>
      <c r="K114" s="105" t="s"/>
      <c r="L114" s="105" t="s"/>
      <c r="M114" s="105" t="s"/>
      <c r="N114" s="105" t="s"/>
      <c r="O114" s="105" t="s"/>
      <c r="P114" s="105" t="s"/>
      <c r="Q114" s="105" t="s"/>
      <c r="R114" s="105" t="s"/>
      <c r="S114" s="105" t="s"/>
    </row>
    <row r="115" spans="3:19">
      <c r="C115" s="105" t="s"/>
      <c r="D115" s="105" t="s"/>
      <c r="E115" s="105" t="s"/>
      <c r="F115" s="105" t="s"/>
      <c r="G115" s="105" t="s"/>
      <c r="H115" s="105" t="s"/>
      <c r="I115" s="105" t="s"/>
      <c r="J115" s="105" t="s"/>
      <c r="K115" s="105" t="s"/>
      <c r="L115" s="105" t="s"/>
      <c r="M115" s="105" t="s"/>
      <c r="N115" s="105" t="s"/>
      <c r="O115" s="105" t="s"/>
      <c r="P115" s="105" t="s"/>
      <c r="Q115" s="105" t="s"/>
      <c r="R115" s="105" t="s"/>
      <c r="S115" s="105" t="s"/>
    </row>
    <row r="116" spans="3:19">
      <c r="C116" s="105" t="s"/>
      <c r="D116" s="105" t="s"/>
      <c r="E116" s="105" t="s"/>
      <c r="F116" s="105" t="s"/>
      <c r="G116" s="105" t="s"/>
      <c r="H116" s="105" t="s"/>
      <c r="I116" s="105" t="s"/>
      <c r="J116" s="105" t="s"/>
      <c r="K116" s="105" t="s"/>
      <c r="L116" s="105" t="s"/>
      <c r="M116" s="105" t="s"/>
      <c r="N116" s="105" t="s"/>
      <c r="O116" s="105" t="s"/>
      <c r="P116" s="105" t="s"/>
      <c r="Q116" s="105" t="s"/>
      <c r="R116" s="105" t="s"/>
      <c r="S116" s="105" t="s"/>
    </row>
    <row r="117" spans="3:19">
      <c r="C117" s="105" t="s"/>
      <c r="D117" s="105" t="s"/>
      <c r="E117" s="105" t="s"/>
      <c r="F117" s="105" t="s"/>
      <c r="G117" s="105" t="s"/>
      <c r="H117" s="105" t="s"/>
      <c r="I117" s="105" t="s"/>
      <c r="J117" s="105" t="s"/>
      <c r="K117" s="105" t="s"/>
      <c r="L117" s="105" t="s"/>
      <c r="M117" s="105" t="s"/>
      <c r="N117" s="105" t="s"/>
      <c r="O117" s="105" t="s"/>
      <c r="P117" s="105" t="s"/>
      <c r="Q117" s="105" t="s"/>
      <c r="R117" s="105" t="s"/>
      <c r="S117" s="105" t="s"/>
    </row>
    <row r="118" spans="3:19">
      <c r="C118" s="105" t="s"/>
      <c r="D118" s="105" t="s"/>
      <c r="E118" s="105" t="s"/>
      <c r="F118" s="105" t="s"/>
      <c r="G118" s="105" t="s"/>
      <c r="H118" s="105" t="s"/>
      <c r="I118" s="105" t="s"/>
      <c r="J118" s="105" t="s"/>
      <c r="K118" s="105" t="s"/>
      <c r="L118" s="105" t="s"/>
      <c r="M118" s="105" t="s"/>
      <c r="N118" s="105" t="s"/>
      <c r="O118" s="105" t="s"/>
      <c r="P118" s="105" t="s"/>
      <c r="Q118" s="105" t="s"/>
      <c r="R118" s="105" t="s"/>
      <c r="S118" s="105" t="s"/>
    </row>
    <row r="119" spans="3:19">
      <c r="C119" s="105" t="s"/>
      <c r="D119" s="105" t="s"/>
      <c r="E119" s="105" t="s"/>
      <c r="F119" s="105" t="s"/>
      <c r="G119" s="105" t="s"/>
      <c r="H119" s="105" t="s"/>
      <c r="I119" s="105" t="s"/>
      <c r="J119" s="105" t="s"/>
      <c r="K119" s="105" t="s"/>
      <c r="L119" s="105" t="s"/>
      <c r="M119" s="105" t="s"/>
      <c r="N119" s="105" t="s"/>
      <c r="O119" s="105" t="s"/>
      <c r="P119" s="105" t="s"/>
      <c r="Q119" s="105" t="s"/>
      <c r="R119" s="105" t="s"/>
      <c r="S119" s="105" t="s"/>
    </row>
    <row r="120" spans="3:19">
      <c r="C120" s="105" t="s"/>
      <c r="D120" s="105" t="s"/>
      <c r="E120" s="105" t="s"/>
      <c r="F120" s="105" t="s"/>
      <c r="G120" s="105" t="s"/>
      <c r="H120" s="105" t="s"/>
      <c r="I120" s="105" t="s"/>
      <c r="J120" s="105" t="s"/>
      <c r="K120" s="105" t="s"/>
      <c r="L120" s="105" t="s"/>
      <c r="M120" s="105" t="s"/>
      <c r="N120" s="105" t="s"/>
      <c r="O120" s="105" t="s"/>
      <c r="P120" s="105" t="s"/>
      <c r="Q120" s="105" t="s"/>
      <c r="R120" s="105" t="s"/>
      <c r="S120" s="105" t="s"/>
    </row>
    <row r="121" spans="3:19">
      <c r="C121" s="105" t="s"/>
      <c r="D121" s="105" t="s"/>
      <c r="E121" s="105" t="s"/>
      <c r="F121" s="105" t="s"/>
      <c r="G121" s="105" t="s"/>
      <c r="H121" s="105" t="s"/>
      <c r="I121" s="105" t="s"/>
      <c r="J121" s="105" t="s"/>
      <c r="K121" s="105" t="s"/>
      <c r="L121" s="105" t="s"/>
      <c r="M121" s="105" t="s"/>
      <c r="N121" s="105" t="s"/>
      <c r="O121" s="105" t="s"/>
      <c r="P121" s="105" t="s"/>
      <c r="Q121" s="105" t="s"/>
      <c r="R121" s="105" t="s"/>
      <c r="S121" s="105" t="s"/>
    </row>
    <row r="122" spans="3:19">
      <c r="C122" s="105" t="s"/>
      <c r="D122" s="105" t="s"/>
      <c r="E122" s="105" t="s"/>
      <c r="F122" s="105" t="s"/>
      <c r="G122" s="105" t="s"/>
      <c r="H122" s="105" t="s"/>
      <c r="I122" s="105" t="s"/>
      <c r="J122" s="105" t="s"/>
      <c r="K122" s="105" t="s"/>
      <c r="L122" s="105" t="s"/>
      <c r="M122" s="105" t="s"/>
      <c r="N122" s="105" t="s"/>
      <c r="O122" s="105" t="s"/>
      <c r="P122" s="105" t="s"/>
      <c r="Q122" s="105" t="s"/>
      <c r="R122" s="105" t="s"/>
      <c r="S122" s="105" t="s"/>
    </row>
  </sheetData>
  <mergeCells count="11">
    <mergeCell ref="D69:S69"/>
    <mergeCell ref="D70:I70"/>
    <mergeCell ref="D80:D82"/>
    <mergeCell ref="D77:D79"/>
    <mergeCell ref="D74:D76"/>
    <mergeCell ref="D71:D73"/>
    <mergeCell ref="D87:D91"/>
    <mergeCell ref="I80:I82"/>
    <mergeCell ref="I77:I79"/>
    <mergeCell ref="I74:I76"/>
    <mergeCell ref="I71:I73"/>
  </mergeCells>
</worksheet>
</file>

<file path=xl/worksheets/sheet3.xml><?xml version="1.0" encoding="utf-8"?>
<worksheet xmlns="http://schemas.openxmlformats.org/spreadsheetml/2006/main">
  <sheetPr codeName="2026业务投资地图(Q3)">
    <tabColor/>
  </sheetPr>
  <dimension ref="T88"/>
  <sheetViews>
    <sheetView showGridLines="true" workbookViewId="0"/>
  </sheetViews>
  <sheetFormatPr baseColWidth="13" defaultRowHeight="18" customHeight="true"/>
  <cols>
    <col min="1" max="2" width="10.6719" style="105" customWidth="true"/>
    <col min="3" max="3" width="16.0625" style="105" customWidth="true"/>
    <col min="4" max="4" width="21.4609" style="105" customWidth="true"/>
    <col min="5" max="5" width="16.0625" style="105" customWidth="true"/>
    <col min="6" max="6" width="16.0625" style="105" customWidth="true"/>
    <col min="7" max="7" width="11.8906" style="105" customWidth="true"/>
    <col min="8" max="8" width="21.832" customWidth="true"/>
    <col min="9" max="9" width="16.9219" customWidth="true"/>
    <col min="10" max="10" width="10.9102" style="105" customWidth="true"/>
    <col min="11" max="11" width="12.2617" style="105" hidden="true" customWidth="true"/>
    <col min="12" max="15" width="13.6094" style="105" customWidth="true"/>
    <col min="16" max="16" width="13.6094" style="105" customWidth="true"/>
    <col min="17" max="17" width="13.6094" style="105" customWidth="true"/>
    <col min="18" max="18" width="13.6094" style="105" customWidth="true"/>
    <col min="19" max="19" width="13.6094" style="105" customWidth="true"/>
    <col min="20" max="20" width="13.6094" style="105" customWidth="true"/>
    <col min="21" max="21" width="17.7109" customWidth="true"/>
    <col min="22" max="22" width="13.6094" style="105" customWidth="true"/>
    <col min="23" max="23" width="19.7109" customWidth="true"/>
  </cols>
  <sheetData>
    <row r="1" spans="1:23">
      <c r="A1" s="239" t="s">
        <v>670</v>
      </c>
      <c r="B1" s="240" t="s"/>
      <c r="C1" s="240" t="s"/>
      <c r="D1" s="240" t="s"/>
      <c r="E1" s="240" t="s"/>
      <c r="F1" s="241" t="s"/>
      <c r="G1" s="242" t="s"/>
      <c r="H1" s="243" t="s">
        <v>671</v>
      </c>
      <c r="I1" s="244" t="s"/>
      <c r="J1" s="245" t="s"/>
      <c r="K1" s="246" t="s"/>
      <c r="L1" s="36" t="s">
        <v>672</v>
      </c>
      <c r="M1" s="246" t="s"/>
      <c r="N1" s="246" t="s"/>
      <c r="O1" s="246" t="s"/>
      <c r="P1" s="247" t="s"/>
      <c r="Q1" s="247" t="s"/>
      <c r="R1" s="247" t="s"/>
      <c r="S1" s="247" t="s"/>
      <c r="T1" s="247" t="s"/>
      <c r="U1" s="248" t="s"/>
      <c r="V1" s="249" t="s"/>
      <c r="W1" s="248" t="s"/>
    </row>
    <row r="2" spans="1:23" ht="25.5" customHeight="true">
      <c r="A2" s="250" t="s">
        <v>673</v>
      </c>
      <c r="B2" s="250" t="s">
        <v>674</v>
      </c>
      <c r="C2" s="250" t="s">
        <v>675</v>
      </c>
      <c r="D2" s="251" t="s">
        <v>676</v>
      </c>
      <c r="E2" s="252" t="s">
        <v>69</v>
      </c>
      <c r="F2" s="253" t="s">
        <v>677</v>
      </c>
      <c r="G2" s="239" t="s">
        <v>406</v>
      </c>
      <c r="H2" s="243" t="s">
        <v>69</v>
      </c>
      <c r="I2" s="243" t="s">
        <v>677</v>
      </c>
      <c r="J2" s="243" t="s">
        <v>406</v>
      </c>
      <c r="K2" s="254" t="s">
        <v>678</v>
      </c>
      <c r="L2" s="255" t="s">
        <v>679</v>
      </c>
      <c r="M2" s="256" t="s"/>
      <c r="N2" s="256" t="s"/>
      <c r="O2" s="257" t="s"/>
      <c r="P2" s="248" t="s"/>
      <c r="Q2" s="248" t="s"/>
      <c r="R2" s="248" t="s"/>
      <c r="S2" s="248" t="s"/>
      <c r="T2" s="248" t="s"/>
      <c r="U2" s="248" t="s"/>
      <c r="V2" s="248" t="s"/>
      <c r="W2" s="248" t="s"/>
    </row>
    <row r="3" spans="1:23" ht="12.75" customHeight="true">
      <c r="A3" s="258" t="s">
        <v>341</v>
      </c>
      <c r="B3" s="258" t="s">
        <v>680</v>
      </c>
      <c r="C3" s="259">
        <v>21</v>
      </c>
      <c r="D3" s="260" t="s">
        <v>681</v>
      </c>
      <c r="E3" s="261">
        <v>2</v>
      </c>
      <c r="F3" s="262">
        <v>4</v>
      </c>
      <c r="G3" s="263">
        <v>4</v>
      </c>
      <c r="H3" s="264" t="s">
        <v>682</v>
      </c>
      <c r="I3" s="265" t="s">
        <v>683</v>
      </c>
      <c r="J3" s="265" t="s">
        <v>684</v>
      </c>
      <c r="K3" s="266" t="s"/>
      <c r="L3" s="267" t="s"/>
      <c r="M3" s="268" t="s"/>
      <c r="N3" s="268" t="s"/>
      <c r="O3" s="269" t="s"/>
      <c r="P3" s="270" t="s"/>
      <c r="Q3" s="270" t="s"/>
      <c r="R3" s="270" t="s"/>
      <c r="S3" s="270" t="s"/>
      <c r="T3" s="270" t="s"/>
      <c r="U3" s="270" t="s"/>
      <c r="V3" s="270" t="s"/>
      <c r="W3" s="270" t="s"/>
    </row>
    <row r="4" spans="1:23">
      <c r="A4" s="125" t="s"/>
      <c r="B4" s="125" t="s"/>
      <c r="C4" s="125" t="s"/>
      <c r="D4" s="271" t="s">
        <v>685</v>
      </c>
      <c r="E4" s="261">
        <v>1</v>
      </c>
      <c r="F4" s="80" t="s"/>
      <c r="G4" s="272" t="s"/>
      <c r="H4" s="264" t="s">
        <v>370</v>
      </c>
      <c r="I4" s="125" t="s"/>
      <c r="J4" s="125" t="s"/>
      <c r="K4" s="273" t="s"/>
      <c r="L4" s="274" t="s"/>
      <c r="M4" s="275" t="s"/>
      <c r="N4" s="275" t="s"/>
      <c r="O4" s="276" t="s"/>
      <c r="P4" s="270" t="s"/>
      <c r="Q4" s="270" t="s"/>
      <c r="R4" s="270" t="s"/>
      <c r="S4" s="270" t="s"/>
      <c r="T4" s="270" t="s"/>
      <c r="U4" s="270" t="s"/>
      <c r="V4" s="270" t="s"/>
      <c r="W4" s="270" t="s"/>
    </row>
    <row r="5" spans="1:23">
      <c r="A5" s="125" t="s"/>
      <c r="B5" s="125" t="s"/>
      <c r="C5" s="125" t="s"/>
      <c r="D5" s="277" t="s">
        <v>686</v>
      </c>
      <c r="E5" s="261">
        <v>2</v>
      </c>
      <c r="F5" s="80" t="s"/>
      <c r="G5" s="272" t="s"/>
      <c r="H5" s="264" t="s">
        <v>687</v>
      </c>
      <c r="I5" s="125" t="s"/>
      <c r="J5" s="125" t="s"/>
      <c r="K5" s="273" t="s"/>
      <c r="L5" s="267" t="s"/>
      <c r="M5" s="268" t="s"/>
      <c r="N5" s="268" t="s"/>
      <c r="O5" s="269" t="s"/>
      <c r="P5" s="270" t="s"/>
      <c r="Q5" s="270" t="s"/>
      <c r="R5" s="270" t="s"/>
      <c r="S5" s="270" t="s"/>
      <c r="T5" s="270" t="s"/>
      <c r="U5" s="270" t="s"/>
      <c r="V5" s="270" t="s"/>
      <c r="W5" s="270" t="s"/>
    </row>
    <row r="6" spans="1:23" ht="27.75" customHeight="true">
      <c r="A6" s="125" t="s"/>
      <c r="B6" s="125" t="s"/>
      <c r="C6" s="125" t="s"/>
      <c r="D6" s="277" t="s">
        <v>688</v>
      </c>
      <c r="E6" s="261">
        <v>5</v>
      </c>
      <c r="F6" s="80" t="s"/>
      <c r="G6" s="272" t="s"/>
      <c r="H6" s="264" t="s">
        <v>689</v>
      </c>
      <c r="I6" s="125" t="s"/>
      <c r="J6" s="125" t="s"/>
      <c r="K6" s="278" t="s"/>
      <c r="L6" s="267" t="s"/>
      <c r="M6" s="268" t="s"/>
      <c r="N6" s="268" t="s"/>
      <c r="O6" s="269" t="s"/>
      <c r="P6" s="270" t="s"/>
      <c r="Q6" s="270" t="s"/>
      <c r="R6" s="270" t="s"/>
      <c r="S6" s="270" t="s"/>
      <c r="T6" s="270" t="s"/>
      <c r="U6" s="270" t="s"/>
      <c r="V6" s="270" t="s"/>
      <c r="W6" s="270" t="s"/>
    </row>
    <row r="7" spans="1:23">
      <c r="A7" s="125" t="s"/>
      <c r="B7" s="125" t="s"/>
      <c r="C7" s="125" t="s"/>
      <c r="D7" s="277" t="s">
        <v>690</v>
      </c>
      <c r="E7" s="261">
        <v>2</v>
      </c>
      <c r="F7" s="80" t="s"/>
      <c r="G7" s="272" t="s"/>
      <c r="H7" s="264" t="s">
        <v>691</v>
      </c>
      <c r="I7" s="125" t="s"/>
      <c r="J7" s="125" t="s"/>
      <c r="K7" s="278" t="s"/>
      <c r="L7" s="274" t="s"/>
      <c r="M7" s="275" t="s"/>
      <c r="N7" s="275" t="s"/>
      <c r="O7" s="276" t="s"/>
      <c r="P7" s="270" t="s"/>
      <c r="Q7" s="270" t="s"/>
      <c r="R7" s="270" t="s"/>
      <c r="S7" s="270" t="s"/>
      <c r="T7" s="270" t="s"/>
      <c r="U7" s="270" t="s"/>
      <c r="V7" s="270" t="s"/>
      <c r="W7" s="270" t="s"/>
    </row>
    <row r="8" spans="1:23">
      <c r="A8" s="125" t="s"/>
      <c r="B8" s="125" t="s"/>
      <c r="C8" s="125" t="s"/>
      <c r="D8" s="277" t="s">
        <v>692</v>
      </c>
      <c r="E8" s="279">
        <v>1</v>
      </c>
      <c r="F8" s="80" t="s"/>
      <c r="G8" s="272" t="s"/>
      <c r="H8" s="264" t="s">
        <v>367</v>
      </c>
      <c r="I8" s="125" t="s"/>
      <c r="J8" s="125" t="s"/>
      <c r="K8" s="278" t="s"/>
      <c r="L8" s="280" t="s"/>
      <c r="M8" s="281" t="s"/>
      <c r="N8" s="281" t="s"/>
      <c r="O8" s="282" t="s"/>
      <c r="P8" s="270" t="s"/>
      <c r="Q8" s="270" t="s"/>
      <c r="R8" s="270" t="s"/>
      <c r="S8" s="270" t="s"/>
      <c r="T8" s="270" t="s"/>
      <c r="U8" s="270" t="s"/>
      <c r="V8" s="270" t="s"/>
      <c r="W8" s="270" t="s"/>
    </row>
    <row r="9" spans="1:23">
      <c r="A9" s="283" t="s"/>
      <c r="B9" s="284" t="s"/>
      <c r="C9" s="283" t="s"/>
      <c r="D9" s="271" t="s">
        <v>693</v>
      </c>
      <c r="E9" s="285">
        <v>1</v>
      </c>
      <c r="F9" s="80" t="s"/>
      <c r="G9" s="286" t="s"/>
      <c r="H9" s="264" t="s">
        <v>200</v>
      </c>
      <c r="I9" s="283" t="s"/>
      <c r="J9" s="283" t="s"/>
      <c r="K9" s="278" t="s"/>
      <c r="L9" s="287" t="s"/>
      <c r="M9" s="288" t="s"/>
      <c r="N9" s="288" t="s"/>
      <c r="O9" s="289" t="s"/>
      <c r="P9" s="270" t="s"/>
      <c r="Q9" s="270" t="s"/>
      <c r="R9" s="270" t="s"/>
      <c r="S9" s="270" t="s"/>
      <c r="T9" s="270" t="s"/>
      <c r="U9" s="270" t="s"/>
      <c r="V9" s="270" t="s"/>
      <c r="W9" s="270" t="s"/>
    </row>
    <row r="10" spans="1:23" ht="27.75" customHeight="true">
      <c r="A10" s="258" t="s">
        <v>694</v>
      </c>
      <c r="B10" s="290" t="s">
        <v>257</v>
      </c>
      <c r="C10" s="258">
        <v>11</v>
      </c>
      <c r="D10" s="291" t="s">
        <v>695</v>
      </c>
      <c r="E10" s="252">
        <v>2</v>
      </c>
      <c r="F10" s="292">
        <v>2</v>
      </c>
      <c r="G10" s="263">
        <v>3</v>
      </c>
      <c r="H10" s="293" t="s">
        <v>696</v>
      </c>
      <c r="I10" s="265" t="s">
        <v>697</v>
      </c>
      <c r="J10" s="265" t="s">
        <v>698</v>
      </c>
      <c r="K10" s="278" t="s"/>
      <c r="L10" s="294" t="s"/>
      <c r="M10" s="80" t="s"/>
      <c r="N10" s="80" t="s"/>
      <c r="O10" s="80" t="s"/>
      <c r="P10" s="270" t="s"/>
      <c r="Q10" s="270" t="s"/>
      <c r="R10" s="270" t="s"/>
      <c r="S10" s="270" t="s"/>
      <c r="T10" s="270" t="s"/>
      <c r="U10" s="270" t="s"/>
      <c r="V10" s="270" t="s"/>
      <c r="W10" s="270" t="s"/>
    </row>
    <row r="11" spans="1:23" ht="25.5" customHeight="true">
      <c r="A11" s="125" t="s"/>
      <c r="B11" s="295" t="s"/>
      <c r="C11" s="125" t="s"/>
      <c r="D11" s="296" t="s">
        <v>699</v>
      </c>
      <c r="E11" s="262">
        <v>2</v>
      </c>
      <c r="F11" s="43" t="s"/>
      <c r="G11" s="272" t="s"/>
      <c r="H11" s="264" t="s">
        <v>700</v>
      </c>
      <c r="I11" s="125" t="s"/>
      <c r="J11" s="125" t="s"/>
      <c r="K11" s="278" t="s"/>
      <c r="L11" s="294" t="s"/>
      <c r="M11" s="80" t="s"/>
      <c r="N11" s="80" t="s"/>
      <c r="O11" s="80" t="s"/>
      <c r="P11" s="270" t="s"/>
      <c r="Q11" s="270" t="s"/>
      <c r="R11" s="270" t="s"/>
      <c r="S11" s="270" t="s"/>
      <c r="T11" s="270" t="s"/>
      <c r="U11" s="270" t="s"/>
      <c r="V11" s="270" t="s"/>
      <c r="W11" s="270" t="s"/>
    </row>
    <row r="12" spans="1:23">
      <c r="A12" s="125" t="s"/>
      <c r="B12" s="297" t="s">
        <v>348</v>
      </c>
      <c r="C12" s="125" t="s"/>
      <c r="D12" s="291" t="s">
        <v>361</v>
      </c>
      <c r="E12" s="262">
        <v>1</v>
      </c>
      <c r="F12" s="43" t="s"/>
      <c r="G12" s="272" t="s"/>
      <c r="H12" s="264" t="s">
        <v>209</v>
      </c>
      <c r="I12" s="125" t="s"/>
      <c r="J12" s="125" t="s"/>
      <c r="K12" s="298" t="s"/>
      <c r="L12" s="299" t="s"/>
      <c r="M12" s="137" t="s"/>
      <c r="N12" s="137" t="s"/>
      <c r="O12" s="137" t="s"/>
      <c r="P12" s="270" t="s"/>
      <c r="Q12" s="270" t="s"/>
      <c r="R12" s="270" t="s"/>
      <c r="S12" s="270" t="s"/>
      <c r="T12" s="270" t="s"/>
      <c r="U12" s="270" t="s"/>
      <c r="V12" s="270" t="s"/>
      <c r="W12" s="270" t="s"/>
    </row>
    <row r="13" spans="1:23">
      <c r="A13" s="126" t="s"/>
      <c r="B13" s="300" t="s">
        <v>701</v>
      </c>
      <c r="C13" s="126" t="s"/>
      <c r="D13" s="300" t="s">
        <v>702</v>
      </c>
      <c r="E13" s="300">
        <v>1</v>
      </c>
      <c r="F13" s="283" t="s"/>
      <c r="G13" s="301" t="s"/>
      <c r="H13" s="264" t="s">
        <v>189</v>
      </c>
      <c r="I13" s="126" t="s"/>
      <c r="J13" s="126" t="s"/>
      <c r="K13" s="298" t="s"/>
      <c r="L13" s="299" t="s"/>
      <c r="M13" s="137" t="s"/>
      <c r="N13" s="137" t="s"/>
      <c r="O13" s="137" t="s"/>
      <c r="P13" s="270" t="s"/>
      <c r="Q13" s="270" t="s"/>
      <c r="R13" s="270" t="s"/>
      <c r="S13" s="270" t="s"/>
      <c r="T13" s="270" t="s"/>
      <c r="U13" s="270" t="s"/>
      <c r="V13" s="270" t="s"/>
      <c r="W13" s="270" t="s"/>
    </row>
    <row r="14" spans="1:23">
      <c r="A14" s="302" t="s">
        <v>86</v>
      </c>
      <c r="B14" s="302" t="s">
        <v>86</v>
      </c>
      <c r="C14" s="302">
        <v>2</v>
      </c>
      <c r="D14" s="303" t="s">
        <v>703</v>
      </c>
      <c r="E14" s="304" t="s"/>
      <c r="F14" s="305" t="s"/>
      <c r="G14" s="305">
        <v>2</v>
      </c>
      <c r="H14" s="306" t="s"/>
      <c r="I14" s="307" t="s">
        <v>704</v>
      </c>
      <c r="J14" s="308" t="s"/>
      <c r="K14" s="309" t="s"/>
      <c r="L14" s="299" t="s"/>
      <c r="M14" s="299" t="s"/>
      <c r="N14" s="299" t="s"/>
      <c r="O14" s="299" t="s"/>
      <c r="P14" s="270" t="s"/>
      <c r="Q14" s="270" t="s"/>
      <c r="R14" s="270" t="s"/>
      <c r="S14" s="270" t="s"/>
      <c r="T14" s="270" t="s"/>
      <c r="U14" s="270" t="s"/>
      <c r="V14" s="270" t="s"/>
      <c r="W14" s="270" t="s"/>
    </row>
    <row r="15" spans="1:23">
      <c r="A15" s="258" t="s">
        <v>172</v>
      </c>
      <c r="B15" s="258" t="s">
        <v>172</v>
      </c>
      <c r="C15" s="258">
        <v>9</v>
      </c>
      <c r="D15" s="252" t="s">
        <v>172</v>
      </c>
      <c r="E15" s="252">
        <v>3</v>
      </c>
      <c r="F15" s="310">
        <v>2</v>
      </c>
      <c r="G15" s="311">
        <v>2</v>
      </c>
      <c r="H15" s="306" t="s">
        <v>705</v>
      </c>
      <c r="I15" s="312" t="s">
        <v>706</v>
      </c>
      <c r="J15" s="308" t="s">
        <v>408</v>
      </c>
      <c r="K15" s="309" t="s"/>
      <c r="L15" s="299" t="s"/>
      <c r="M15" s="137" t="s"/>
      <c r="N15" s="137" t="s"/>
      <c r="O15" s="137" t="s"/>
      <c r="P15" s="270" t="s"/>
      <c r="Q15" s="270" t="s"/>
      <c r="R15" s="270" t="s"/>
      <c r="S15" s="270" t="s"/>
      <c r="T15" s="270" t="s"/>
      <c r="U15" s="270" t="s"/>
      <c r="V15" s="270" t="s"/>
      <c r="W15" s="270" t="s"/>
    </row>
    <row r="16" spans="1:23">
      <c r="A16" s="125" t="s"/>
      <c r="B16" s="125" t="s"/>
      <c r="C16" s="125" t="s"/>
      <c r="D16" s="252" t="s">
        <v>57</v>
      </c>
      <c r="E16" s="252">
        <v>2</v>
      </c>
      <c r="F16" s="313" t="s"/>
      <c r="G16" s="126" t="s"/>
      <c r="H16" s="306" t="s">
        <v>707</v>
      </c>
      <c r="I16" s="126" t="s"/>
      <c r="J16" s="314" t="s">
        <v>413</v>
      </c>
      <c r="K16" s="298" t="s"/>
      <c r="L16" s="299" t="s"/>
      <c r="M16" s="137" t="s"/>
      <c r="N16" s="137" t="s"/>
      <c r="O16" s="137" t="s"/>
      <c r="P16" s="270" t="s"/>
      <c r="Q16" s="270" t="s"/>
      <c r="R16" s="270" t="s"/>
      <c r="S16" s="270" t="s"/>
      <c r="T16" s="270" t="s"/>
      <c r="U16" s="270" t="s"/>
      <c r="V16" s="270" t="s"/>
      <c r="W16" s="270" t="s"/>
    </row>
    <row r="17" spans="1:23" ht="27.75" customHeight="true">
      <c r="A17" s="258" t="s">
        <v>354</v>
      </c>
      <c r="B17" s="258" t="s">
        <v>354</v>
      </c>
      <c r="C17" s="258">
        <v>3</v>
      </c>
      <c r="D17" s="252" t="s">
        <v>708</v>
      </c>
      <c r="E17" s="258" t="s"/>
      <c r="F17" s="253">
        <v>2</v>
      </c>
      <c r="G17" s="315" t="s"/>
      <c r="H17" s="316" t="s"/>
      <c r="I17" s="293" t="s">
        <v>709</v>
      </c>
      <c r="J17" s="317" t="s"/>
      <c r="K17" s="298" t="s"/>
      <c r="L17" s="299" t="s"/>
      <c r="M17" s="137" t="s"/>
      <c r="N17" s="137" t="s"/>
      <c r="O17" s="137" t="s"/>
      <c r="P17" s="270" t="s"/>
      <c r="Q17" s="270" t="s"/>
      <c r="R17" s="270" t="s"/>
      <c r="S17" s="270" t="s"/>
      <c r="T17" s="270" t="s"/>
      <c r="U17" s="270" t="s"/>
      <c r="V17" s="270" t="s"/>
      <c r="W17" s="270" t="s"/>
    </row>
    <row r="18" spans="1:23">
      <c r="A18" s="126" t="s"/>
      <c r="B18" s="126" t="s"/>
      <c r="C18" s="126" t="s"/>
      <c r="D18" s="252" t="s">
        <v>310</v>
      </c>
      <c r="E18" s="126" t="s"/>
      <c r="F18" s="253">
        <v>1</v>
      </c>
      <c r="G18" s="126" t="s"/>
      <c r="H18" s="318" t="s"/>
      <c r="I18" s="293" t="s">
        <v>143</v>
      </c>
      <c r="J18" s="126" t="s"/>
      <c r="K18" s="298" t="s"/>
      <c r="L18" s="299" t="s"/>
      <c r="M18" s="137" t="s"/>
      <c r="N18" s="137" t="s"/>
      <c r="O18" s="137" t="s"/>
      <c r="P18" s="270" t="s"/>
      <c r="Q18" s="270" t="s"/>
      <c r="R18" s="270" t="s"/>
      <c r="S18" s="270" t="s"/>
      <c r="T18" s="270" t="s"/>
      <c r="U18" s="270" t="s"/>
      <c r="V18" s="270" t="s"/>
      <c r="W18" s="270" t="s"/>
    </row>
    <row r="19" spans="1:23">
      <c r="A19" s="290" t="s">
        <v>710</v>
      </c>
      <c r="B19" s="290" t="s">
        <v>710</v>
      </c>
      <c r="C19" s="290">
        <v>1</v>
      </c>
      <c r="D19" s="290" t="s">
        <v>710</v>
      </c>
      <c r="E19" s="290">
        <v>1</v>
      </c>
      <c r="F19" s="253" t="s"/>
      <c r="G19" s="319" t="s"/>
      <c r="H19" s="306" t="s">
        <v>153</v>
      </c>
      <c r="I19" s="264" t="s"/>
      <c r="J19" s="314" t="s"/>
      <c r="K19" s="298" t="s"/>
      <c r="L19" s="294" t="s"/>
      <c r="M19" s="80" t="s"/>
      <c r="N19" s="80" t="s"/>
      <c r="O19" s="80" t="s"/>
      <c r="P19" s="270" t="s"/>
      <c r="Q19" s="270" t="s"/>
      <c r="R19" s="270" t="s"/>
      <c r="S19" s="270" t="s"/>
      <c r="T19" s="270" t="s"/>
      <c r="U19" s="270" t="s"/>
      <c r="V19" s="270" t="s"/>
      <c r="W19" s="270" t="s"/>
    </row>
    <row r="20" spans="1:23">
      <c r="A20" s="320" t="s">
        <v>327</v>
      </c>
      <c r="B20" s="320" t="s">
        <v>327</v>
      </c>
      <c r="C20" s="290">
        <v>1</v>
      </c>
      <c r="D20" s="320" t="s">
        <v>711</v>
      </c>
      <c r="E20" s="321">
        <v>1</v>
      </c>
      <c r="F20" s="322" t="s"/>
      <c r="G20" s="319" t="s"/>
      <c r="H20" s="323" t="s">
        <v>325</v>
      </c>
      <c r="I20" s="293" t="s"/>
      <c r="J20" s="264" t="s"/>
      <c r="K20" s="278" t="s"/>
      <c r="L20" s="294" t="s"/>
      <c r="M20" s="80" t="s"/>
      <c r="N20" s="80" t="s"/>
      <c r="O20" s="80" t="s"/>
      <c r="P20" s="270" t="s"/>
      <c r="Q20" s="270" t="s"/>
      <c r="R20" s="270" t="s"/>
      <c r="S20" s="270" t="s"/>
      <c r="T20" s="270" t="s"/>
      <c r="U20" s="270" t="s"/>
      <c r="V20" s="270" t="s"/>
      <c r="W20" s="270" t="s"/>
    </row>
    <row r="21" spans="1:23">
      <c r="A21" s="311" t="s">
        <v>52</v>
      </c>
      <c r="B21" s="311" t="s">
        <v>52</v>
      </c>
      <c r="C21" s="324">
        <v>2</v>
      </c>
      <c r="D21" s="325" t="s">
        <v>333</v>
      </c>
      <c r="E21" s="320">
        <v>1</v>
      </c>
      <c r="F21" s="326" t="s"/>
      <c r="G21" s="319" t="s"/>
      <c r="H21" s="306" t="s">
        <v>331</v>
      </c>
      <c r="I21" s="293" t="s"/>
      <c r="J21" s="293" t="s"/>
      <c r="K21" s="254" t="s"/>
      <c r="L21" s="294" t="s"/>
      <c r="M21" s="80" t="s"/>
      <c r="N21" s="80" t="s"/>
      <c r="O21" s="80" t="s"/>
      <c r="P21" s="270" t="s"/>
      <c r="Q21" s="327" t="s"/>
      <c r="R21" s="327" t="s"/>
      <c r="S21" s="327" t="s"/>
      <c r="T21" s="327" t="s"/>
      <c r="U21" s="248" t="s"/>
      <c r="V21" s="327" t="s"/>
      <c r="W21" s="248" t="s"/>
    </row>
    <row r="22" spans="1:23">
      <c r="A22" s="126" t="s"/>
      <c r="B22" s="126" t="s"/>
      <c r="C22" s="126" t="s"/>
      <c r="D22" s="320" t="s">
        <v>321</v>
      </c>
      <c r="E22" s="320">
        <v>1</v>
      </c>
      <c r="F22" s="326" t="s"/>
      <c r="G22" s="319" t="s"/>
      <c r="H22" s="306" t="s">
        <v>275</v>
      </c>
      <c r="I22" s="293" t="s"/>
      <c r="J22" s="328" t="s"/>
      <c r="K22" s="278" t="s"/>
      <c r="L22" s="294" t="s"/>
      <c r="M22" s="80" t="s"/>
      <c r="N22" s="80" t="s"/>
      <c r="O22" s="80" t="s"/>
      <c r="P22" s="270" t="s"/>
      <c r="Q22" s="248" t="s"/>
      <c r="R22" s="248" t="s"/>
      <c r="S22" s="248" t="s"/>
      <c r="T22" s="248" t="s"/>
      <c r="U22" s="248" t="s"/>
      <c r="V22" s="327" t="s"/>
      <c r="W22" s="248" t="s"/>
    </row>
    <row r="23" spans="1:23">
      <c r="A23" s="329" t="s">
        <v>712</v>
      </c>
      <c r="B23" s="244" t="s"/>
      <c r="C23" s="244" t="s"/>
      <c r="D23" s="244" t="s"/>
      <c r="E23" s="330" t="s"/>
      <c r="F23" s="330" t="s"/>
      <c r="G23" s="330" t="s"/>
      <c r="H23" s="331" t="s"/>
      <c r="I23" s="331" t="s"/>
      <c r="J23" s="248" t="s"/>
      <c r="K23" s="327" t="s"/>
      <c r="L23" s="248" t="s"/>
      <c r="M23" s="248" t="s"/>
      <c r="N23" s="248" t="s"/>
      <c r="O23" s="327" t="s"/>
      <c r="P23" s="270" t="s"/>
      <c r="Q23" s="327" t="s"/>
      <c r="R23" s="327" t="s"/>
      <c r="S23" s="327" t="s"/>
      <c r="T23" s="327" t="s"/>
      <c r="U23" s="248" t="s"/>
      <c r="V23" s="327" t="s"/>
      <c r="W23" s="248" t="s"/>
    </row>
    <row r="24" spans="1:23">
      <c r="A24" s="332" t="s">
        <v>713</v>
      </c>
      <c r="B24" s="333" t="s">
        <v>69</v>
      </c>
      <c r="C24" s="333" t="s">
        <v>406</v>
      </c>
      <c r="D24" s="334" t="s">
        <v>677</v>
      </c>
      <c r="E24" s="330" t="s"/>
      <c r="F24" s="330" t="s"/>
      <c r="G24" s="330" t="s"/>
      <c r="H24" s="331" t="s"/>
      <c r="I24" s="331" t="s"/>
      <c r="J24" s="248" t="s"/>
      <c r="K24" s="327" t="s"/>
      <c r="L24" s="248" t="s"/>
      <c r="M24" s="248" t="s"/>
      <c r="N24" s="248" t="s"/>
      <c r="O24" s="248" t="s"/>
      <c r="P24" s="270" t="s"/>
      <c r="Q24" s="248" t="s"/>
      <c r="R24" s="248" t="s"/>
      <c r="S24" s="248" t="s"/>
      <c r="T24" s="248" t="s"/>
      <c r="U24" s="248" t="s"/>
      <c r="V24" s="327" t="s"/>
      <c r="W24" s="248" t="s"/>
    </row>
    <row r="25" spans="1:23">
      <c r="A25" s="335" t="s">
        <v>338</v>
      </c>
      <c r="B25" s="335">
        <v>13</v>
      </c>
      <c r="C25" s="335">
        <v>4</v>
      </c>
      <c r="D25" s="334">
        <v>4</v>
      </c>
      <c r="E25" s="330" t="s"/>
      <c r="F25" s="330" t="s"/>
      <c r="G25" s="330" t="s"/>
      <c r="H25" s="330" t="s"/>
      <c r="I25" s="331" t="s"/>
      <c r="J25" s="327" t="s"/>
      <c r="K25" s="327" t="s"/>
      <c r="L25" s="327" t="s"/>
      <c r="M25" s="327" t="s"/>
      <c r="N25" s="327" t="s"/>
      <c r="O25" s="327" t="s"/>
      <c r="P25" s="327" t="s"/>
      <c r="Q25" s="248" t="s"/>
      <c r="R25" s="248" t="s"/>
      <c r="S25" s="248" t="s"/>
      <c r="T25" s="248" t="s"/>
      <c r="U25" s="248" t="s"/>
      <c r="V25" s="327" t="s"/>
      <c r="W25" s="248" t="s"/>
    </row>
    <row r="26" spans="1:23">
      <c r="A26" s="335" t="s">
        <v>694</v>
      </c>
      <c r="B26" s="336">
        <v>7</v>
      </c>
      <c r="C26" s="335">
        <v>3</v>
      </c>
      <c r="D26" s="334">
        <v>2</v>
      </c>
      <c r="E26" s="330" t="s"/>
      <c r="F26" s="330" t="s"/>
      <c r="G26" s="330" t="s"/>
      <c r="H26" s="330" t="s"/>
      <c r="I26" s="331" t="s"/>
      <c r="J26" s="327" t="s"/>
      <c r="K26" s="327" t="s"/>
      <c r="L26" s="327" t="s"/>
      <c r="M26" s="327" t="s"/>
      <c r="N26" s="327" t="s"/>
      <c r="O26" s="327" t="s"/>
      <c r="P26" s="327" t="s"/>
      <c r="Q26" s="248" t="s"/>
      <c r="R26" s="248" t="s"/>
      <c r="S26" s="248" t="s"/>
      <c r="T26" s="248" t="s"/>
      <c r="U26" s="248" t="s"/>
      <c r="V26" s="327" t="s"/>
      <c r="W26" s="248" t="s"/>
    </row>
    <row r="27" spans="1:23">
      <c r="A27" s="337" t="s">
        <v>86</v>
      </c>
      <c r="B27" s="336" t="s"/>
      <c r="C27" s="335">
        <v>2</v>
      </c>
      <c r="D27" s="334" t="s"/>
      <c r="E27" s="338" t="s"/>
      <c r="F27" s="339" t="s"/>
      <c r="G27" s="330" t="s"/>
      <c r="H27" s="331" t="s"/>
      <c r="I27" s="331" t="s"/>
      <c r="J27" s="327" t="s"/>
      <c r="K27" s="327" t="s"/>
      <c r="L27" s="327" t="s"/>
      <c r="M27" s="327" t="s"/>
      <c r="N27" s="327" t="s"/>
      <c r="O27" s="327" t="s"/>
      <c r="P27" s="327" t="s"/>
      <c r="Q27" s="248" t="s"/>
      <c r="R27" s="248" t="s"/>
      <c r="S27" s="248" t="s"/>
      <c r="T27" s="248" t="s"/>
      <c r="U27" s="248" t="s"/>
      <c r="V27" s="327" t="s"/>
      <c r="W27" s="248" t="s"/>
    </row>
    <row r="28" spans="1:23">
      <c r="A28" s="335" t="s">
        <v>172</v>
      </c>
      <c r="B28" s="336">
        <v>5</v>
      </c>
      <c r="C28" s="340">
        <v>2</v>
      </c>
      <c r="D28" s="334">
        <v>2</v>
      </c>
      <c r="E28" s="270" t="s"/>
      <c r="F28" s="270" t="s"/>
      <c r="G28" s="330" t="s"/>
      <c r="H28" s="331" t="s"/>
      <c r="I28" s="331" t="s"/>
      <c r="J28" s="327" t="s"/>
      <c r="K28" s="327" t="s"/>
      <c r="L28" s="327" t="s"/>
      <c r="M28" s="327" t="s"/>
      <c r="N28" s="327" t="s"/>
      <c r="O28" s="327" t="s"/>
      <c r="P28" s="327" t="s"/>
      <c r="Q28" s="327" t="s"/>
      <c r="R28" s="327" t="s"/>
      <c r="S28" s="327" t="s"/>
      <c r="T28" s="327" t="s"/>
      <c r="U28" s="248" t="s"/>
      <c r="V28" s="327" t="s"/>
      <c r="W28" s="248" t="s"/>
    </row>
    <row r="29" spans="1:23">
      <c r="A29" s="335" t="s">
        <v>354</v>
      </c>
      <c r="B29" s="336" t="s"/>
      <c r="C29" s="341" t="s"/>
      <c r="D29" s="335">
        <v>3</v>
      </c>
      <c r="E29" s="330" t="s"/>
      <c r="F29" s="330" t="s"/>
      <c r="G29" s="330" t="s"/>
      <c r="H29" s="331" t="s"/>
      <c r="I29" s="331" t="s"/>
      <c r="J29" s="327" t="s"/>
      <c r="K29" s="327" t="s"/>
      <c r="L29" s="327" t="s"/>
      <c r="M29" s="327" t="s"/>
      <c r="N29" s="327" t="s"/>
      <c r="O29" s="327" t="s"/>
      <c r="P29" s="327" t="s"/>
      <c r="Q29" s="248" t="s"/>
      <c r="R29" s="248" t="s"/>
      <c r="S29" s="248" t="s"/>
      <c r="T29" s="248" t="s"/>
      <c r="U29" s="248" t="s"/>
      <c r="V29" s="327" t="s"/>
      <c r="W29" s="248" t="s"/>
    </row>
    <row r="30" spans="1:23">
      <c r="A30" s="335" t="s">
        <v>327</v>
      </c>
      <c r="B30" s="342">
        <v>1</v>
      </c>
      <c r="C30" s="340" t="s"/>
      <c r="D30" s="343" t="s"/>
      <c r="E30" s="270" t="s"/>
      <c r="F30" s="270" t="s"/>
      <c r="G30" s="270" t="s"/>
      <c r="H30" s="248" t="s"/>
      <c r="I30" s="248" t="s"/>
      <c r="J30" s="327" t="s"/>
      <c r="K30" s="327" t="s"/>
      <c r="L30" s="327" t="s"/>
      <c r="M30" s="327" t="s"/>
      <c r="N30" s="327" t="s"/>
      <c r="O30" s="327" t="s"/>
      <c r="P30" s="327" t="s"/>
      <c r="Q30" s="327" t="s"/>
      <c r="R30" s="327" t="s"/>
      <c r="S30" s="327" t="s"/>
      <c r="T30" s="327" t="s"/>
      <c r="U30" s="248" t="s"/>
      <c r="V30" s="327" t="s"/>
      <c r="W30" s="248" t="s"/>
    </row>
    <row r="31" spans="1:23">
      <c r="A31" s="335" t="s">
        <v>710</v>
      </c>
      <c r="B31" s="342">
        <v>1</v>
      </c>
      <c r="C31" s="340" t="s"/>
      <c r="D31" s="344" t="s"/>
      <c r="E31" s="270" t="s"/>
      <c r="F31" s="270" t="s"/>
      <c r="G31" s="270" t="s"/>
      <c r="H31" s="248" t="s"/>
      <c r="I31" s="248" t="s"/>
      <c r="J31" s="327" t="s"/>
      <c r="K31" s="327" t="s"/>
      <c r="L31" s="327" t="s"/>
      <c r="M31" s="327" t="s"/>
      <c r="N31" s="327" t="s"/>
      <c r="O31" s="327" t="s"/>
      <c r="P31" s="327" t="s"/>
      <c r="Q31" s="327" t="s"/>
      <c r="R31" s="327" t="s"/>
      <c r="S31" s="327" t="s"/>
      <c r="T31" s="327" t="s"/>
      <c r="U31" s="248" t="s"/>
      <c r="V31" s="327" t="s"/>
      <c r="W31" s="248" t="s"/>
    </row>
    <row r="32" spans="1:23">
      <c r="A32" s="335" t="s">
        <v>52</v>
      </c>
      <c r="B32" s="342">
        <v>2</v>
      </c>
      <c r="C32" s="345" t="s"/>
      <c r="D32" s="344" t="s"/>
      <c r="E32" s="270" t="s"/>
      <c r="F32" s="270" t="s"/>
      <c r="G32" s="270" t="s"/>
      <c r="H32" s="248" t="s"/>
      <c r="I32" s="248" t="s"/>
      <c r="J32" s="327" t="s"/>
      <c r="K32" s="327" t="s"/>
      <c r="L32" s="327" t="s"/>
      <c r="M32" s="327" t="s"/>
      <c r="N32" s="327" t="s"/>
      <c r="O32" s="327" t="s"/>
      <c r="P32" s="327" t="s"/>
      <c r="Q32" s="327" t="s"/>
      <c r="R32" s="327" t="s"/>
      <c r="S32" s="327" t="s"/>
      <c r="T32" s="327" t="s"/>
      <c r="U32" s="248" t="s"/>
      <c r="V32" s="327" t="s"/>
      <c r="W32" s="248" t="s"/>
    </row>
    <row r="33" spans="1:23">
      <c r="A33" s="335" t="s">
        <v>714</v>
      </c>
      <c r="B33" s="335">
        <f>=SUM(B25:B32)</f>
        <v>29</v>
      </c>
      <c r="C33" s="335">
        <f>=SUM(C25:C32)</f>
        <v>11</v>
      </c>
      <c r="D33" s="335">
        <f>=SUM(D25:D32)</f>
        <v>11</v>
      </c>
      <c r="E33" s="270" t="s"/>
      <c r="F33" s="270" t="s"/>
      <c r="G33" s="270" t="s"/>
      <c r="H33" s="248" t="s"/>
      <c r="I33" s="248" t="s"/>
      <c r="J33" s="327" t="s"/>
      <c r="K33" s="327" t="s"/>
      <c r="L33" s="327" t="s"/>
      <c r="M33" s="327" t="s"/>
      <c r="N33" s="327" t="s"/>
      <c r="O33" s="327" t="s"/>
      <c r="P33" s="327" t="s"/>
      <c r="Q33" s="327" t="s"/>
      <c r="R33" s="327" t="s"/>
      <c r="S33" s="327" t="s"/>
      <c r="T33" s="327" t="s"/>
      <c r="U33" s="248" t="s"/>
      <c r="V33" s="327" t="s"/>
      <c r="W33" s="248" t="s"/>
    </row>
    <row r="34" spans="5:26">
      <c r="E34" s="346" t="s"/>
      <c r="F34" s="347" t="s"/>
      <c r="G34" s="346" t="s"/>
      <c r="H34" s="348" t="s"/>
      <c r="I34" s="348" t="s"/>
      <c r="J34" s="327" t="s"/>
      <c r="K34" s="327" t="s"/>
      <c r="L34" s="327" t="s"/>
      <c r="M34" s="327" t="s"/>
      <c r="N34" s="327" t="s"/>
      <c r="O34" s="327" t="s"/>
      <c r="P34" s="327" t="s"/>
      <c r="Q34" s="348" t="s"/>
      <c r="R34" s="348" t="s"/>
      <c r="S34" s="348" t="s"/>
      <c r="T34" s="349" t="s"/>
      <c r="U34" s="248" t="s"/>
      <c r="V34" s="248" t="s"/>
      <c r="W34" s="248" t="s"/>
      <c r="X34" s="117" t="s"/>
      <c r="Y34" s="117" t="s"/>
      <c r="Z34" s="117" t="s"/>
    </row>
    <row r="35" spans="5:26">
      <c r="E35" s="270" t="s"/>
      <c r="F35" s="270" t="s"/>
      <c r="G35" s="270" t="s"/>
      <c r="H35" s="248" t="s"/>
      <c r="I35" s="248" t="s"/>
      <c r="J35" s="327" t="s"/>
      <c r="K35" s="327" t="s"/>
      <c r="L35" s="327" t="s"/>
      <c r="M35" s="327" t="s"/>
      <c r="N35" s="327" t="s"/>
      <c r="O35" s="327" t="s"/>
      <c r="P35" s="327" t="s"/>
      <c r="Q35" s="350" t="s"/>
      <c r="R35" s="350" t="s"/>
      <c r="S35" s="350" t="s"/>
      <c r="T35" s="350" t="s"/>
      <c r="U35" s="248" t="s"/>
      <c r="V35" s="248" t="s"/>
      <c r="W35" s="248" t="s"/>
      <c r="X35" s="117" t="s"/>
      <c r="Y35" s="117" t="s"/>
      <c r="Z35" s="117" t="s"/>
    </row>
    <row r="36" spans="5:26">
      <c r="E36" s="270" t="s"/>
      <c r="F36" s="270" t="s"/>
      <c r="G36" s="270" t="s"/>
      <c r="H36" s="248" t="s"/>
      <c r="I36" s="248" t="s"/>
      <c r="J36" s="327" t="s"/>
      <c r="K36" s="327" t="s"/>
      <c r="L36" s="327" t="s"/>
      <c r="M36" s="327" t="s"/>
      <c r="N36" s="327" t="s"/>
      <c r="O36" s="327" t="s"/>
      <c r="P36" s="327" t="s"/>
      <c r="Q36" s="351" t="s"/>
      <c r="R36" s="351" t="s"/>
      <c r="S36" s="351" t="s"/>
      <c r="T36" s="351" t="s"/>
      <c r="U36" s="248" t="s"/>
      <c r="V36" s="248" t="s"/>
      <c r="W36" s="248" t="s"/>
      <c r="X36" s="117" t="s"/>
      <c r="Y36" s="117" t="s"/>
      <c r="Z36" s="117" t="s"/>
    </row>
    <row r="37" spans="5:26">
      <c r="E37" s="330" t="s"/>
      <c r="F37" s="330" t="s"/>
      <c r="G37" s="330" t="s"/>
      <c r="H37" s="331" t="s"/>
      <c r="I37" s="352" t="s"/>
      <c r="J37" s="327" t="s"/>
      <c r="K37" s="327" t="s"/>
      <c r="L37" s="327" t="s"/>
      <c r="M37" s="327" t="s"/>
      <c r="N37" s="327" t="s"/>
      <c r="O37" s="327" t="s"/>
      <c r="P37" s="327" t="s"/>
      <c r="Q37" s="331" t="s"/>
      <c r="R37" s="331" t="s"/>
      <c r="S37" s="331" t="s"/>
      <c r="T37" s="331" t="s"/>
      <c r="U37" s="248" t="s"/>
      <c r="V37" s="248" t="s"/>
      <c r="W37" s="248" t="s"/>
      <c r="X37" s="117" t="s"/>
      <c r="Y37" s="117" t="s"/>
      <c r="Z37" s="117" t="s"/>
    </row>
    <row r="38" spans="1:26">
      <c r="A38" s="270" t="s"/>
      <c r="B38" s="270" t="s"/>
      <c r="C38" s="270" t="s"/>
      <c r="D38" s="330" t="s"/>
      <c r="E38" s="330" t="s"/>
      <c r="F38" s="330" t="s"/>
      <c r="G38" s="330" t="s"/>
      <c r="H38" s="331" t="s"/>
      <c r="I38" s="352" t="s"/>
      <c r="J38" s="327" t="s"/>
      <c r="K38" s="327" t="s"/>
      <c r="L38" s="327" t="s"/>
      <c r="M38" s="327" t="s"/>
      <c r="N38" s="327" t="s"/>
      <c r="O38" s="327" t="s"/>
      <c r="P38" s="327" t="s"/>
      <c r="Q38" s="331" t="s"/>
      <c r="R38" s="331" t="s"/>
      <c r="S38" s="331" t="s"/>
      <c r="T38" s="331" t="s"/>
      <c r="U38" s="248" t="s"/>
      <c r="V38" s="248" t="s"/>
      <c r="W38" s="248" t="s"/>
      <c r="X38" s="117" t="s"/>
      <c r="Y38" s="117" t="s"/>
      <c r="Z38" s="117" t="s"/>
    </row>
    <row r="39" spans="1:26">
      <c r="A39" s="270" t="s"/>
      <c r="B39" s="270" t="s"/>
      <c r="C39" s="270" t="s"/>
      <c r="D39" s="330" t="s"/>
      <c r="E39" s="330" t="s"/>
      <c r="F39" s="330" t="s"/>
      <c r="G39" s="330" t="s"/>
      <c r="H39" s="331" t="s"/>
      <c r="I39" s="352" t="s"/>
      <c r="J39" s="327" t="s"/>
      <c r="K39" s="327" t="s"/>
      <c r="L39" s="327" t="s"/>
      <c r="M39" s="327" t="s"/>
      <c r="N39" s="327" t="s"/>
      <c r="O39" s="327" t="s"/>
      <c r="P39" s="327" t="s"/>
      <c r="Q39" s="331" t="s"/>
      <c r="R39" s="331" t="s"/>
      <c r="S39" s="331" t="s"/>
      <c r="T39" s="331" t="s"/>
      <c r="U39" s="248" t="s"/>
      <c r="V39" s="248" t="s"/>
      <c r="W39" s="248" t="s"/>
      <c r="X39" s="117" t="s"/>
      <c r="Y39" s="117" t="s"/>
      <c r="Z39" s="117" t="s"/>
    </row>
    <row r="40" spans="1:26">
      <c r="A40" s="270" t="s"/>
      <c r="B40" s="270" t="s"/>
      <c r="C40" s="270" t="s"/>
      <c r="D40" s="330" t="s"/>
      <c r="E40" s="330" t="s"/>
      <c r="F40" s="330" t="s"/>
      <c r="G40" s="330" t="s"/>
      <c r="H40" s="331" t="s"/>
      <c r="I40" s="352" t="s"/>
      <c r="J40" s="327" t="s"/>
      <c r="K40" s="327" t="s"/>
      <c r="L40" s="327" t="s"/>
      <c r="M40" s="327" t="s"/>
      <c r="N40" s="327" t="s"/>
      <c r="O40" s="327" t="s"/>
      <c r="P40" s="327" t="s"/>
      <c r="Q40" s="331" t="s"/>
      <c r="R40" s="331" t="s"/>
      <c r="S40" s="331" t="s"/>
      <c r="T40" s="331" t="s"/>
      <c r="U40" s="248" t="s"/>
      <c r="V40" s="248" t="s"/>
      <c r="W40" s="248" t="s"/>
      <c r="X40" s="117" t="s"/>
      <c r="Y40" s="117" t="s"/>
      <c r="Z40" s="117" t="s"/>
    </row>
    <row r="41" spans="1:26">
      <c r="A41" s="270" t="s"/>
      <c r="B41" s="270" t="s"/>
      <c r="C41" s="270" t="s"/>
      <c r="D41" s="330" t="s"/>
      <c r="E41" s="330" t="s"/>
      <c r="F41" s="330" t="s"/>
      <c r="G41" s="330" t="s"/>
      <c r="H41" s="331" t="s"/>
      <c r="I41" s="352" t="s"/>
      <c r="J41" s="327" t="s"/>
      <c r="K41" s="327" t="s"/>
      <c r="L41" s="327" t="s"/>
      <c r="M41" s="327" t="s"/>
      <c r="N41" s="327" t="s"/>
      <c r="O41" s="327" t="s"/>
      <c r="P41" s="327" t="s"/>
      <c r="Q41" s="331" t="s"/>
      <c r="R41" s="331" t="s"/>
      <c r="S41" s="331" t="s"/>
      <c r="T41" s="331" t="s"/>
      <c r="U41" s="248" t="s"/>
      <c r="V41" s="248" t="s"/>
      <c r="W41" s="248" t="s"/>
      <c r="X41" s="117" t="s"/>
      <c r="Y41" s="117" t="s"/>
      <c r="Z41" s="117" t="s"/>
    </row>
    <row r="42" spans="1:26">
      <c r="A42" s="270" t="s"/>
      <c r="B42" s="270" t="s"/>
      <c r="C42" s="270" t="s"/>
      <c r="D42" s="330" t="s"/>
      <c r="E42" s="330" t="s"/>
      <c r="F42" s="330" t="s"/>
      <c r="G42" s="330" t="s"/>
      <c r="H42" s="331" t="s"/>
      <c r="I42" s="352" t="s"/>
      <c r="J42" s="327" t="s"/>
      <c r="K42" s="327" t="s"/>
      <c r="L42" s="327" t="s"/>
      <c r="M42" s="327" t="s"/>
      <c r="N42" s="327" t="s"/>
      <c r="O42" s="327" t="s"/>
      <c r="P42" s="327" t="s"/>
      <c r="Q42" s="331" t="s"/>
      <c r="R42" s="331" t="s"/>
      <c r="S42" s="331" t="s"/>
      <c r="T42" s="331" t="s"/>
      <c r="U42" s="248" t="s"/>
      <c r="V42" s="248" t="s"/>
      <c r="W42" s="248" t="s"/>
      <c r="X42" s="117" t="s"/>
      <c r="Y42" s="117" t="s"/>
      <c r="Z42" s="117" t="s"/>
    </row>
    <row r="43" spans="1:26">
      <c r="A43" s="270" t="s"/>
      <c r="B43" s="270" t="s"/>
      <c r="C43" s="270" t="s"/>
      <c r="D43" s="330" t="s"/>
      <c r="E43" s="330" t="s"/>
      <c r="F43" s="330" t="s"/>
      <c r="G43" s="330" t="s"/>
      <c r="H43" s="331" t="s"/>
      <c r="I43" s="352" t="s"/>
      <c r="J43" s="327" t="s"/>
      <c r="K43" s="327" t="s"/>
      <c r="L43" s="327" t="s"/>
      <c r="M43" s="327" t="s"/>
      <c r="N43" s="327" t="s"/>
      <c r="O43" s="327" t="s"/>
      <c r="P43" s="327" t="s"/>
      <c r="Q43" s="331" t="s"/>
      <c r="R43" s="331" t="s"/>
      <c r="S43" s="331" t="s"/>
      <c r="T43" s="331" t="s"/>
      <c r="U43" s="248" t="s"/>
      <c r="V43" s="248" t="s"/>
      <c r="W43" s="248" t="s"/>
      <c r="X43" s="117" t="s"/>
      <c r="Y43" s="117" t="s"/>
      <c r="Z43" s="117" t="s"/>
    </row>
    <row r="44" spans="1:26">
      <c r="A44" s="270" t="s"/>
      <c r="B44" s="270" t="s"/>
      <c r="C44" s="270" t="s"/>
      <c r="D44" s="330" t="s"/>
      <c r="E44" s="330" t="s"/>
      <c r="F44" s="330" t="s"/>
      <c r="G44" s="330" t="s"/>
      <c r="H44" s="331" t="s"/>
      <c r="I44" s="352" t="s"/>
      <c r="J44" s="327" t="s"/>
      <c r="K44" s="327" t="s"/>
      <c r="L44" s="327" t="s"/>
      <c r="M44" s="327" t="s"/>
      <c r="N44" s="327" t="s"/>
      <c r="O44" s="327" t="s"/>
      <c r="P44" s="327" t="s"/>
      <c r="Q44" s="331" t="s"/>
      <c r="R44" s="331" t="s"/>
      <c r="S44" s="331" t="s"/>
      <c r="T44" s="331" t="s"/>
      <c r="U44" s="248" t="s"/>
      <c r="V44" s="248" t="s"/>
      <c r="W44" s="248" t="s"/>
      <c r="X44" s="117" t="s"/>
      <c r="Y44" s="117" t="s"/>
      <c r="Z44" s="117" t="s"/>
    </row>
    <row r="45" spans="1:26">
      <c r="A45" s="270" t="s"/>
      <c r="B45" s="270" t="s"/>
      <c r="C45" s="270" t="s"/>
      <c r="D45" s="330" t="s"/>
      <c r="E45" s="330" t="s"/>
      <c r="F45" s="330" t="s"/>
      <c r="G45" s="330" t="s"/>
      <c r="H45" s="331" t="s"/>
      <c r="I45" s="352" t="s"/>
      <c r="J45" s="327" t="s"/>
      <c r="K45" s="327" t="s"/>
      <c r="L45" s="327" t="s"/>
      <c r="M45" s="327" t="s"/>
      <c r="N45" s="327" t="s"/>
      <c r="O45" s="327" t="s"/>
      <c r="P45" s="327" t="s"/>
      <c r="Q45" s="331" t="s"/>
      <c r="R45" s="331" t="s"/>
      <c r="S45" s="331" t="s"/>
      <c r="T45" s="331" t="s"/>
      <c r="U45" s="248" t="s"/>
      <c r="V45" s="248" t="s"/>
      <c r="W45" s="248" t="s"/>
      <c r="X45" s="117" t="s"/>
      <c r="Y45" s="117" t="s"/>
      <c r="Z45" s="117" t="s"/>
    </row>
    <row r="46" spans="1:26">
      <c r="A46" s="270" t="s"/>
      <c r="B46" s="270" t="s"/>
      <c r="C46" s="270" t="s"/>
      <c r="D46" s="330" t="s"/>
      <c r="E46" s="330" t="s"/>
      <c r="F46" s="330" t="s"/>
      <c r="G46" s="330" t="s"/>
      <c r="H46" s="331" t="s"/>
      <c r="I46" s="352" t="s"/>
      <c r="J46" s="327" t="s"/>
      <c r="K46" s="327" t="s"/>
      <c r="L46" s="327" t="s"/>
      <c r="M46" s="327" t="s"/>
      <c r="N46" s="327" t="s"/>
      <c r="O46" s="327" t="s"/>
      <c r="P46" s="327" t="s"/>
      <c r="Q46" s="331" t="s"/>
      <c r="R46" s="331" t="s"/>
      <c r="S46" s="331" t="s"/>
      <c r="T46" s="331" t="s"/>
      <c r="U46" s="248" t="s"/>
      <c r="V46" s="248" t="s"/>
      <c r="W46" s="248" t="s"/>
      <c r="X46" s="117" t="s"/>
      <c r="Y46" s="117" t="s"/>
      <c r="Z46" s="117" t="s"/>
    </row>
    <row r="47" spans="1:26">
      <c r="A47" s="270" t="s"/>
      <c r="B47" s="270" t="s"/>
      <c r="C47" s="270" t="s"/>
      <c r="D47" s="330" t="s"/>
      <c r="E47" s="330" t="s"/>
      <c r="F47" s="330" t="s"/>
      <c r="G47" s="330" t="s"/>
      <c r="H47" s="331" t="s"/>
      <c r="I47" s="352" t="s"/>
      <c r="J47" s="327" t="s"/>
      <c r="K47" s="327" t="s"/>
      <c r="L47" s="327" t="s"/>
      <c r="M47" s="327" t="s"/>
      <c r="N47" s="327" t="s"/>
      <c r="O47" s="327" t="s"/>
      <c r="P47" s="327" t="s"/>
      <c r="Q47" s="331" t="s"/>
      <c r="R47" s="331" t="s"/>
      <c r="S47" s="331" t="s"/>
      <c r="T47" s="331" t="s"/>
      <c r="U47" s="248" t="s"/>
      <c r="V47" s="248" t="s"/>
      <c r="W47" s="248" t="s"/>
      <c r="X47" s="117" t="s"/>
      <c r="Y47" s="117" t="s"/>
      <c r="Z47" s="117" t="s"/>
    </row>
    <row r="48" spans="1:26">
      <c r="A48" s="270" t="s"/>
      <c r="B48" s="270" t="s"/>
      <c r="C48" s="270" t="s"/>
      <c r="D48" s="330" t="s"/>
      <c r="E48" s="330" t="s"/>
      <c r="F48" s="330" t="s"/>
      <c r="G48" s="330" t="s"/>
      <c r="H48" s="331" t="s"/>
      <c r="I48" s="352" t="s"/>
      <c r="J48" s="327" t="s"/>
      <c r="K48" s="327" t="s"/>
      <c r="L48" s="327" t="s"/>
      <c r="M48" s="327" t="s"/>
      <c r="N48" s="327" t="s"/>
      <c r="O48" s="327" t="s"/>
      <c r="P48" s="327" t="s"/>
      <c r="Q48" s="331" t="s"/>
      <c r="R48" s="331" t="s"/>
      <c r="S48" s="331" t="s"/>
      <c r="T48" s="331" t="s"/>
      <c r="U48" s="248" t="s"/>
      <c r="V48" s="248" t="s"/>
      <c r="W48" s="248" t="s"/>
      <c r="X48" s="117" t="s"/>
      <c r="Y48" s="117" t="s"/>
      <c r="Z48" s="117" t="s"/>
    </row>
    <row r="49" spans="1:26">
      <c r="A49" s="270" t="s"/>
      <c r="B49" s="270" t="s"/>
      <c r="C49" s="270" t="s"/>
      <c r="D49" s="330" t="s"/>
      <c r="E49" s="330" t="s"/>
      <c r="F49" s="330" t="s"/>
      <c r="G49" s="330" t="s"/>
      <c r="H49" s="331" t="s"/>
      <c r="I49" s="352" t="s"/>
      <c r="J49" s="327" t="s"/>
      <c r="K49" s="327" t="s"/>
      <c r="L49" s="327" t="s"/>
      <c r="M49" s="327" t="s"/>
      <c r="N49" s="327" t="s"/>
      <c r="O49" s="327" t="s"/>
      <c r="P49" s="327" t="s"/>
      <c r="Q49" s="331" t="s"/>
      <c r="R49" s="331" t="s"/>
      <c r="S49" s="331" t="s"/>
      <c r="T49" s="331" t="s"/>
      <c r="U49" s="248" t="s"/>
      <c r="V49" s="248" t="s"/>
      <c r="W49" s="248" t="s"/>
      <c r="X49" s="117" t="s"/>
      <c r="Y49" s="117" t="s"/>
      <c r="Z49" s="117" t="s"/>
    </row>
    <row r="50" spans="1:26">
      <c r="A50" s="270" t="s"/>
      <c r="B50" s="270" t="s"/>
      <c r="C50" s="270" t="s"/>
      <c r="D50" s="330" t="s"/>
      <c r="E50" s="330" t="s"/>
      <c r="F50" s="330" t="s"/>
      <c r="G50" s="330" t="s"/>
      <c r="H50" s="331" t="s"/>
      <c r="I50" s="352" t="s"/>
      <c r="J50" s="327" t="s"/>
      <c r="K50" s="327" t="s"/>
      <c r="L50" s="327" t="s"/>
      <c r="M50" s="327" t="s"/>
      <c r="N50" s="327" t="s"/>
      <c r="O50" s="327" t="s"/>
      <c r="P50" s="327" t="s"/>
      <c r="Q50" s="331" t="s"/>
      <c r="R50" s="331" t="s"/>
      <c r="S50" s="331" t="s"/>
      <c r="T50" s="331" t="s"/>
      <c r="U50" s="248" t="s"/>
      <c r="V50" s="248" t="s"/>
      <c r="W50" s="248" t="s"/>
      <c r="X50" s="117" t="s"/>
      <c r="Y50" s="117" t="s"/>
      <c r="Z50" s="117" t="s"/>
    </row>
    <row r="51" spans="1:26">
      <c r="A51" s="270" t="s"/>
      <c r="B51" s="270" t="s"/>
      <c r="C51" s="270" t="s"/>
      <c r="D51" s="330" t="s"/>
      <c r="E51" s="330" t="s"/>
      <c r="F51" s="330" t="s"/>
      <c r="G51" s="330" t="s"/>
      <c r="H51" s="331" t="s"/>
      <c r="I51" s="352" t="s"/>
      <c r="J51" s="327" t="s"/>
      <c r="K51" s="327" t="s"/>
      <c r="L51" s="327" t="s"/>
      <c r="M51" s="327" t="s"/>
      <c r="N51" s="327" t="s"/>
      <c r="O51" s="327" t="s"/>
      <c r="P51" s="327" t="s"/>
      <c r="Q51" s="331" t="s"/>
      <c r="R51" s="331" t="s"/>
      <c r="S51" s="331" t="s"/>
      <c r="T51" s="331" t="s"/>
      <c r="U51" s="248" t="s"/>
      <c r="V51" s="248" t="s"/>
      <c r="W51" s="248" t="s"/>
      <c r="X51" s="117" t="s"/>
      <c r="Y51" s="117" t="s"/>
      <c r="Z51" s="117" t="s"/>
    </row>
    <row r="52" spans="1:26">
      <c r="A52" s="270" t="s"/>
      <c r="B52" s="270" t="s"/>
      <c r="C52" s="270" t="s"/>
      <c r="D52" s="330" t="s"/>
      <c r="E52" s="330" t="s"/>
      <c r="F52" s="330" t="s"/>
      <c r="G52" s="330" t="s"/>
      <c r="H52" s="331" t="s"/>
      <c r="I52" s="352" t="s"/>
      <c r="J52" s="327" t="s"/>
      <c r="K52" s="327" t="s"/>
      <c r="L52" s="327" t="s"/>
      <c r="M52" s="327" t="s"/>
      <c r="N52" s="327" t="s"/>
      <c r="O52" s="327" t="s"/>
      <c r="P52" s="327" t="s"/>
      <c r="Q52" s="331" t="s"/>
      <c r="R52" s="331" t="s"/>
      <c r="S52" s="331" t="s"/>
      <c r="T52" s="331" t="s"/>
      <c r="U52" s="248" t="s"/>
      <c r="V52" s="248" t="s"/>
      <c r="W52" s="248" t="s"/>
      <c r="X52" s="117" t="s"/>
      <c r="Y52" s="117" t="s"/>
      <c r="Z52" s="117" t="s"/>
    </row>
    <row r="53" spans="1:26">
      <c r="A53" s="270" t="s"/>
      <c r="B53" s="270" t="s"/>
      <c r="C53" s="270" t="s"/>
      <c r="D53" s="330" t="s"/>
      <c r="E53" s="330" t="s"/>
      <c r="F53" s="330" t="s"/>
      <c r="G53" s="330" t="s"/>
      <c r="H53" s="331" t="s"/>
      <c r="I53" s="352" t="s"/>
      <c r="J53" s="327" t="s"/>
      <c r="K53" s="327" t="s"/>
      <c r="L53" s="327" t="s"/>
      <c r="M53" s="327" t="s"/>
      <c r="N53" s="327" t="s"/>
      <c r="O53" s="327" t="s"/>
      <c r="P53" s="327" t="s"/>
      <c r="Q53" s="331" t="s"/>
      <c r="R53" s="331" t="s"/>
      <c r="S53" s="331" t="s"/>
      <c r="T53" s="331" t="s"/>
      <c r="U53" s="248" t="s"/>
      <c r="V53" s="248" t="s"/>
      <c r="W53" s="248" t="s"/>
      <c r="X53" s="117" t="s"/>
      <c r="Y53" s="117" t="s"/>
      <c r="Z53" s="117" t="s"/>
    </row>
    <row r="54" spans="1:26">
      <c r="A54" s="270" t="s"/>
      <c r="B54" s="270" t="s"/>
      <c r="C54" s="270" t="s"/>
      <c r="D54" s="330" t="s"/>
      <c r="E54" s="330" t="s"/>
      <c r="F54" s="330" t="s"/>
      <c r="G54" s="330" t="s"/>
      <c r="H54" s="331" t="s"/>
      <c r="I54" s="352" t="s"/>
      <c r="J54" s="327" t="s"/>
      <c r="K54" s="327" t="s"/>
      <c r="L54" s="327" t="s"/>
      <c r="M54" s="327" t="s"/>
      <c r="N54" s="327" t="s"/>
      <c r="O54" s="327" t="s"/>
      <c r="P54" s="327" t="s"/>
      <c r="Q54" s="331" t="s"/>
      <c r="R54" s="331" t="s"/>
      <c r="S54" s="331" t="s"/>
      <c r="T54" s="331" t="s"/>
      <c r="U54" s="248" t="s"/>
      <c r="V54" s="248" t="s"/>
      <c r="W54" s="248" t="s"/>
      <c r="X54" s="117" t="s"/>
      <c r="Y54" s="117" t="s"/>
      <c r="Z54" s="117" t="s"/>
    </row>
    <row r="55" spans="1:26">
      <c r="A55" s="270" t="s"/>
      <c r="B55" s="270" t="s"/>
      <c r="C55" s="270" t="s"/>
      <c r="D55" s="330" t="s"/>
      <c r="E55" s="330" t="s"/>
      <c r="F55" s="330" t="s"/>
      <c r="G55" s="330" t="s"/>
      <c r="H55" s="331" t="s"/>
      <c r="I55" s="352" t="s"/>
      <c r="J55" s="327" t="s"/>
      <c r="K55" s="327" t="s"/>
      <c r="L55" s="327" t="s"/>
      <c r="M55" s="327" t="s"/>
      <c r="N55" s="327" t="s"/>
      <c r="O55" s="327" t="s"/>
      <c r="P55" s="327" t="s"/>
      <c r="Q55" s="331" t="s"/>
      <c r="R55" s="331" t="s"/>
      <c r="S55" s="331" t="s"/>
      <c r="T55" s="331" t="s"/>
      <c r="U55" s="248" t="s"/>
      <c r="V55" s="248" t="s"/>
      <c r="W55" s="248" t="s"/>
      <c r="X55" s="117" t="s"/>
      <c r="Y55" s="117" t="s"/>
      <c r="Z55" s="117" t="s"/>
    </row>
    <row r="56" spans="1:26">
      <c r="A56" s="270" t="s"/>
      <c r="B56" s="270" t="s"/>
      <c r="C56" s="270" t="s"/>
      <c r="D56" s="330" t="s"/>
      <c r="E56" s="330" t="s"/>
      <c r="F56" s="330" t="s"/>
      <c r="G56" s="330" t="s"/>
      <c r="H56" s="331" t="s"/>
      <c r="I56" s="352" t="s"/>
      <c r="J56" s="327" t="s"/>
      <c r="K56" s="327" t="s"/>
      <c r="L56" s="327" t="s"/>
      <c r="M56" s="327" t="s"/>
      <c r="N56" s="327" t="s"/>
      <c r="O56" s="327" t="s"/>
      <c r="P56" s="327" t="s"/>
      <c r="Q56" s="331" t="s"/>
      <c r="R56" s="331" t="s"/>
      <c r="S56" s="331" t="s"/>
      <c r="T56" s="331" t="s"/>
      <c r="U56" s="248" t="s"/>
      <c r="V56" s="248" t="s"/>
      <c r="W56" s="248" t="s"/>
      <c r="X56" s="117" t="s"/>
      <c r="Y56" s="117" t="s"/>
      <c r="Z56" s="117" t="s"/>
    </row>
    <row r="57" spans="1:26">
      <c r="A57" s="270" t="s"/>
      <c r="B57" s="270" t="s"/>
      <c r="C57" s="270" t="s"/>
      <c r="D57" s="330" t="s"/>
      <c r="E57" s="330" t="s"/>
      <c r="F57" s="330" t="s"/>
      <c r="G57" s="330" t="s"/>
      <c r="H57" s="331" t="s"/>
      <c r="I57" s="352" t="s"/>
      <c r="J57" s="327" t="s"/>
      <c r="K57" s="327" t="s"/>
      <c r="L57" s="327" t="s"/>
      <c r="M57" s="327" t="s"/>
      <c r="N57" s="327" t="s"/>
      <c r="O57" s="327" t="s"/>
      <c r="P57" s="327" t="s"/>
      <c r="Q57" s="331" t="s"/>
      <c r="R57" s="331" t="s"/>
      <c r="S57" s="331" t="s"/>
      <c r="T57" s="331" t="s"/>
      <c r="U57" s="248" t="s"/>
      <c r="V57" s="248" t="s"/>
      <c r="W57" s="248" t="s"/>
      <c r="X57" s="117" t="s"/>
      <c r="Y57" s="117" t="s"/>
      <c r="Z57" s="117" t="s"/>
    </row>
    <row r="58" spans="1:26">
      <c r="A58" s="270" t="s"/>
      <c r="B58" s="270" t="s"/>
      <c r="C58" s="270" t="s"/>
      <c r="D58" s="330" t="s"/>
      <c r="E58" s="330" t="s"/>
      <c r="F58" s="330" t="s"/>
      <c r="G58" s="330" t="s"/>
      <c r="H58" s="331" t="s"/>
      <c r="I58" s="352" t="s"/>
      <c r="J58" s="327" t="s"/>
      <c r="K58" s="327" t="s"/>
      <c r="L58" s="327" t="s"/>
      <c r="M58" s="327" t="s"/>
      <c r="N58" s="327" t="s"/>
      <c r="O58" s="327" t="s"/>
      <c r="P58" s="327" t="s"/>
      <c r="Q58" s="331" t="s"/>
      <c r="R58" s="331" t="s"/>
      <c r="S58" s="331" t="s"/>
      <c r="T58" s="331" t="s"/>
      <c r="U58" s="248" t="s"/>
      <c r="V58" s="248" t="s"/>
      <c r="W58" s="248" t="s"/>
      <c r="X58" s="117" t="s"/>
      <c r="Y58" s="117" t="s"/>
      <c r="Z58" s="117" t="s"/>
    </row>
    <row r="59" spans="1:26">
      <c r="A59" s="270" t="s"/>
      <c r="B59" s="270" t="s"/>
      <c r="C59" s="270" t="s"/>
      <c r="D59" s="330" t="s"/>
      <c r="E59" s="330" t="s"/>
      <c r="F59" s="330" t="s"/>
      <c r="G59" s="330" t="s"/>
      <c r="H59" s="331" t="s"/>
      <c r="I59" s="352" t="s"/>
      <c r="J59" s="327" t="s"/>
      <c r="K59" s="327" t="s"/>
      <c r="L59" s="327" t="s"/>
      <c r="M59" s="327" t="s"/>
      <c r="N59" s="327" t="s"/>
      <c r="O59" s="327" t="s"/>
      <c r="P59" s="327" t="s"/>
      <c r="Q59" s="331" t="s"/>
      <c r="R59" s="331" t="s"/>
      <c r="S59" s="331" t="s"/>
      <c r="T59" s="331" t="s"/>
      <c r="U59" s="248" t="s"/>
      <c r="V59" s="248" t="s"/>
      <c r="W59" s="248" t="s"/>
      <c r="X59" s="117" t="s"/>
      <c r="Y59" s="117" t="s"/>
      <c r="Z59" s="117" t="s"/>
    </row>
    <row r="60" spans="1:26">
      <c r="A60" s="270" t="s"/>
      <c r="B60" s="270" t="s"/>
      <c r="C60" s="270" t="s"/>
      <c r="D60" s="330" t="s"/>
      <c r="E60" s="330" t="s"/>
      <c r="F60" s="330" t="s"/>
      <c r="G60" s="330" t="s"/>
      <c r="H60" s="331" t="s"/>
      <c r="I60" s="352" t="s"/>
      <c r="J60" s="327" t="s"/>
      <c r="K60" s="327" t="s"/>
      <c r="L60" s="327" t="s"/>
      <c r="M60" s="327" t="s"/>
      <c r="N60" s="327" t="s"/>
      <c r="O60" s="327" t="s"/>
      <c r="P60" s="327" t="s"/>
      <c r="Q60" s="331" t="s"/>
      <c r="R60" s="331" t="s"/>
      <c r="S60" s="331" t="s"/>
      <c r="T60" s="331" t="s"/>
      <c r="U60" s="248" t="s"/>
      <c r="V60" s="248" t="s"/>
      <c r="W60" s="248" t="s"/>
      <c r="X60" s="117" t="s"/>
      <c r="Y60" s="117" t="s"/>
      <c r="Z60" s="117" t="s"/>
    </row>
    <row r="61" spans="1:26">
      <c r="A61" s="270" t="s"/>
      <c r="B61" s="270" t="s"/>
      <c r="C61" s="270" t="s"/>
      <c r="D61" s="330" t="s"/>
      <c r="E61" s="330" t="s"/>
      <c r="F61" s="330" t="s"/>
      <c r="G61" s="330" t="s"/>
      <c r="H61" s="331" t="s"/>
      <c r="I61" s="352" t="s"/>
      <c r="J61" s="327" t="s"/>
      <c r="K61" s="327" t="s"/>
      <c r="L61" s="327" t="s"/>
      <c r="M61" s="327" t="s"/>
      <c r="N61" s="327" t="s"/>
      <c r="O61" s="327" t="s"/>
      <c r="P61" s="327" t="s"/>
      <c r="Q61" s="331" t="s"/>
      <c r="R61" s="331" t="s"/>
      <c r="S61" s="331" t="s"/>
      <c r="T61" s="331" t="s"/>
      <c r="U61" s="248" t="s"/>
      <c r="V61" s="248" t="s"/>
      <c r="W61" s="248" t="s"/>
      <c r="X61" s="117" t="s"/>
      <c r="Y61" s="117" t="s"/>
      <c r="Z61" s="117" t="s"/>
    </row>
    <row r="62" spans="1:26">
      <c r="A62" s="270" t="s"/>
      <c r="B62" s="270" t="s"/>
      <c r="C62" s="270" t="s"/>
      <c r="D62" s="330" t="s"/>
      <c r="E62" s="330" t="s"/>
      <c r="F62" s="330" t="s"/>
      <c r="G62" s="330" t="s"/>
      <c r="H62" s="331" t="s"/>
      <c r="I62" s="352" t="s"/>
      <c r="J62" s="327" t="s"/>
      <c r="K62" s="327" t="s"/>
      <c r="L62" s="327" t="s"/>
      <c r="M62" s="327" t="s"/>
      <c r="N62" s="327" t="s"/>
      <c r="O62" s="327" t="s"/>
      <c r="P62" s="327" t="s"/>
      <c r="Q62" s="331" t="s"/>
      <c r="R62" s="331" t="s"/>
      <c r="S62" s="331" t="s"/>
      <c r="T62" s="331" t="s"/>
      <c r="U62" s="248" t="s"/>
      <c r="V62" s="248" t="s"/>
      <c r="W62" s="248" t="s"/>
      <c r="X62" s="117" t="s"/>
      <c r="Y62" s="117" t="s"/>
      <c r="Z62" s="117" t="s"/>
    </row>
    <row r="63" spans="19:22">
      <c r="S63" s="141" t="s"/>
      <c r="T63" s="141" t="s"/>
      <c r="U63" s="140" t="s"/>
      <c r="V63" s="141" t="s"/>
    </row>
    <row r="64" spans="19:22">
      <c r="S64" s="141" t="s"/>
      <c r="T64" s="117" t="s"/>
      <c r="U64" s="117" t="s"/>
      <c r="V64" s="141" t="s"/>
    </row>
    <row r="65" spans="3:20">
      <c r="C65" s="105" t="s"/>
      <c r="D65" s="105" t="s"/>
      <c r="E65" s="105" t="s"/>
      <c r="F65" s="105" t="s"/>
      <c r="G65" s="105" t="s"/>
      <c r="H65" s="105" t="s"/>
      <c r="I65" s="105" t="s"/>
      <c r="J65" s="105" t="s"/>
      <c r="K65" s="105" t="s"/>
      <c r="L65" s="105" t="s"/>
      <c r="M65" s="105" t="s"/>
      <c r="N65" s="105" t="s"/>
      <c r="O65" s="105" t="s"/>
      <c r="P65" s="105" t="s"/>
      <c r="Q65" s="105" t="s"/>
      <c r="R65" s="105" t="s"/>
      <c r="S65" s="105" t="s"/>
      <c r="T65" s="105" t="s"/>
    </row>
    <row r="66" spans="3:20">
      <c r="C66" s="105" t="s"/>
      <c r="D66" s="105" t="s"/>
      <c r="E66" s="105" t="s"/>
      <c r="F66" s="105" t="s"/>
      <c r="G66" s="105" t="s"/>
      <c r="H66" s="105" t="s"/>
      <c r="I66" s="105" t="s"/>
      <c r="J66" s="105" t="s"/>
      <c r="K66" s="105" t="s"/>
      <c r="L66" s="105" t="s"/>
      <c r="M66" s="105" t="s"/>
      <c r="N66" s="105" t="s"/>
      <c r="O66" s="105" t="s"/>
      <c r="P66" s="105" t="s"/>
      <c r="Q66" s="105" t="s"/>
      <c r="R66" s="105" t="s"/>
      <c r="S66" s="105" t="s"/>
      <c r="T66" s="105" t="s"/>
    </row>
    <row r="67" spans="3:20">
      <c r="C67" s="105" t="s"/>
      <c r="D67" s="105" t="s"/>
      <c r="E67" s="105" t="s"/>
      <c r="F67" s="105" t="s"/>
      <c r="G67" s="105" t="s"/>
      <c r="H67" s="105" t="s"/>
      <c r="I67" s="105" t="s"/>
      <c r="J67" s="105" t="s"/>
      <c r="K67" s="105" t="s"/>
      <c r="L67" s="105" t="s"/>
      <c r="M67" s="105" t="s"/>
      <c r="N67" s="105" t="s"/>
      <c r="O67" s="105" t="s"/>
      <c r="P67" s="105" t="s"/>
      <c r="Q67" s="105" t="s"/>
      <c r="R67" s="105" t="s"/>
      <c r="S67" s="105" t="s"/>
      <c r="T67" s="105" t="s"/>
    </row>
    <row r="68" spans="3:20">
      <c r="C68" s="105" t="s"/>
      <c r="D68" s="105" t="s"/>
      <c r="E68" s="105" t="s"/>
      <c r="F68" s="105" t="s"/>
      <c r="G68" s="105" t="s"/>
      <c r="H68" s="105" t="s"/>
      <c r="I68" s="105" t="s"/>
      <c r="J68" s="105" t="s"/>
      <c r="K68" s="105" t="s"/>
      <c r="L68" s="105" t="s"/>
      <c r="M68" s="105" t="s"/>
      <c r="N68" s="105" t="s"/>
      <c r="O68" s="105" t="s"/>
      <c r="P68" s="105" t="s"/>
      <c r="Q68" s="105" t="s"/>
      <c r="R68" s="105" t="s"/>
      <c r="S68" s="105" t="s"/>
      <c r="T68" s="105" t="s"/>
    </row>
    <row r="69" spans="3:20">
      <c r="C69" s="105" t="s"/>
      <c r="D69" s="105" t="s"/>
      <c r="E69" s="105" t="s"/>
      <c r="F69" s="105" t="s"/>
      <c r="G69" s="105" t="s"/>
      <c r="H69" s="105" t="s"/>
      <c r="I69" s="105" t="s"/>
      <c r="J69" s="105" t="s"/>
      <c r="K69" s="105" t="s"/>
      <c r="L69" s="105" t="s"/>
      <c r="M69" s="105" t="s"/>
      <c r="N69" s="105" t="s"/>
      <c r="O69" s="105" t="s"/>
      <c r="P69" s="105" t="s"/>
      <c r="Q69" s="105" t="s"/>
      <c r="R69" s="105" t="s"/>
      <c r="S69" s="105" t="s"/>
      <c r="T69" s="105" t="s"/>
    </row>
    <row r="70" spans="3:20">
      <c r="C70" s="105" t="s"/>
      <c r="D70" s="105" t="s"/>
      <c r="E70" s="105" t="s"/>
      <c r="F70" s="105" t="s"/>
      <c r="G70" s="105" t="s"/>
      <c r="H70" s="105" t="s"/>
      <c r="I70" s="105" t="s"/>
      <c r="J70" s="105" t="s"/>
      <c r="K70" s="105" t="s"/>
      <c r="L70" s="105" t="s"/>
      <c r="M70" s="105" t="s"/>
      <c r="N70" s="105" t="s"/>
      <c r="O70" s="105" t="s"/>
      <c r="P70" s="105" t="s"/>
      <c r="Q70" s="105" t="s"/>
      <c r="R70" s="105" t="s"/>
      <c r="S70" s="105" t="s"/>
      <c r="T70" s="105" t="s"/>
    </row>
    <row r="71" spans="3:20">
      <c r="C71" s="105" t="s"/>
      <c r="D71" s="105" t="s"/>
      <c r="E71" s="105" t="s"/>
      <c r="F71" s="105" t="s"/>
      <c r="G71" s="105" t="s"/>
      <c r="H71" s="105" t="s"/>
      <c r="I71" s="105" t="s"/>
      <c r="J71" s="105" t="s"/>
      <c r="K71" s="105" t="s"/>
      <c r="L71" s="105" t="s"/>
      <c r="M71" s="105" t="s"/>
      <c r="N71" s="105" t="s"/>
      <c r="O71" s="105" t="s"/>
      <c r="P71" s="105" t="s"/>
      <c r="Q71" s="105" t="s"/>
      <c r="R71" s="105" t="s"/>
      <c r="S71" s="105" t="s"/>
      <c r="T71" s="105" t="s"/>
    </row>
    <row r="72" spans="3:20">
      <c r="C72" s="105" t="s"/>
      <c r="D72" s="105" t="s"/>
      <c r="E72" s="105" t="s"/>
      <c r="F72" s="105" t="s"/>
      <c r="G72" s="105" t="s"/>
      <c r="H72" s="105" t="s"/>
      <c r="I72" s="105" t="s"/>
      <c r="J72" s="105" t="s"/>
      <c r="K72" s="105" t="s"/>
      <c r="L72" s="105" t="s"/>
      <c r="M72" s="105" t="s"/>
      <c r="N72" s="105" t="s"/>
      <c r="O72" s="105" t="s"/>
      <c r="P72" s="105" t="s"/>
      <c r="Q72" s="105" t="s"/>
      <c r="R72" s="105" t="s"/>
      <c r="S72" s="105" t="s"/>
      <c r="T72" s="105" t="s"/>
    </row>
    <row r="73" spans="3:20">
      <c r="C73" s="105" t="s"/>
      <c r="D73" s="105" t="s"/>
      <c r="E73" s="105" t="s"/>
      <c r="F73" s="105" t="s"/>
      <c r="G73" s="105" t="s"/>
      <c r="H73" s="105" t="s"/>
      <c r="I73" s="105" t="s"/>
      <c r="J73" s="105" t="s"/>
      <c r="K73" s="105" t="s"/>
      <c r="L73" s="105" t="s"/>
      <c r="M73" s="105" t="s"/>
      <c r="N73" s="105" t="s"/>
      <c r="O73" s="105" t="s"/>
      <c r="P73" s="105" t="s"/>
      <c r="Q73" s="105" t="s"/>
      <c r="R73" s="105" t="s"/>
      <c r="S73" s="105" t="s"/>
      <c r="T73" s="105" t="s"/>
    </row>
    <row r="74" spans="3:20">
      <c r="C74" s="105" t="s"/>
      <c r="D74" s="105" t="s"/>
      <c r="E74" s="105" t="s"/>
      <c r="F74" s="105" t="s"/>
      <c r="G74" s="105" t="s"/>
      <c r="H74" s="105" t="s"/>
      <c r="I74" s="105" t="s"/>
      <c r="J74" s="105" t="s"/>
      <c r="K74" s="105" t="s"/>
      <c r="L74" s="105" t="s"/>
      <c r="M74" s="105" t="s"/>
      <c r="N74" s="105" t="s"/>
      <c r="O74" s="105" t="s"/>
      <c r="P74" s="105" t="s"/>
      <c r="Q74" s="105" t="s"/>
      <c r="R74" s="105" t="s"/>
      <c r="S74" s="105" t="s"/>
      <c r="T74" s="105" t="s"/>
    </row>
    <row r="75" spans="3:20">
      <c r="C75" s="105" t="s"/>
      <c r="D75" s="105" t="s"/>
      <c r="E75" s="105" t="s"/>
      <c r="F75" s="105" t="s"/>
      <c r="G75" s="105" t="s"/>
      <c r="H75" s="105" t="s"/>
      <c r="I75" s="105" t="s"/>
      <c r="J75" s="105" t="s"/>
      <c r="K75" s="105" t="s"/>
      <c r="L75" s="105" t="s"/>
      <c r="M75" s="105" t="s"/>
      <c r="N75" s="105" t="s"/>
      <c r="O75" s="105" t="s"/>
      <c r="P75" s="105" t="s"/>
      <c r="Q75" s="105" t="s"/>
      <c r="R75" s="105" t="s"/>
      <c r="S75" s="105" t="s"/>
      <c r="T75" s="105" t="s"/>
    </row>
    <row r="76" spans="3:20">
      <c r="C76" s="105" t="s"/>
      <c r="D76" s="105" t="s"/>
      <c r="E76" s="105" t="s"/>
      <c r="F76" s="105" t="s"/>
      <c r="G76" s="105" t="s"/>
      <c r="H76" s="105" t="s"/>
      <c r="I76" s="105" t="s"/>
      <c r="J76" s="105" t="s"/>
      <c r="K76" s="105" t="s"/>
      <c r="L76" s="105" t="s"/>
      <c r="M76" s="105" t="s"/>
      <c r="N76" s="105" t="s"/>
      <c r="O76" s="105" t="s"/>
      <c r="P76" s="105" t="s"/>
      <c r="Q76" s="105" t="s"/>
      <c r="R76" s="105" t="s"/>
      <c r="S76" s="105" t="s"/>
      <c r="T76" s="105" t="s"/>
    </row>
    <row r="77" spans="3:20">
      <c r="C77" s="105" t="s"/>
      <c r="D77" s="105" t="s"/>
      <c r="E77" s="105" t="s"/>
      <c r="F77" s="105" t="s"/>
      <c r="G77" s="105" t="s"/>
      <c r="H77" s="105" t="s"/>
      <c r="I77" s="105" t="s"/>
      <c r="J77" s="105" t="s"/>
      <c r="K77" s="105" t="s"/>
      <c r="L77" s="105" t="s"/>
      <c r="M77" s="105" t="s"/>
      <c r="N77" s="105" t="s"/>
      <c r="O77" s="105" t="s"/>
      <c r="P77" s="105" t="s"/>
      <c r="Q77" s="105" t="s"/>
      <c r="R77" s="105" t="s"/>
      <c r="S77" s="105" t="s"/>
      <c r="T77" s="105" t="s"/>
    </row>
    <row r="78" spans="3:20">
      <c r="C78" s="105" t="s"/>
      <c r="D78" s="105" t="s"/>
      <c r="E78" s="105" t="s"/>
      <c r="F78" s="105" t="s"/>
      <c r="G78" s="105" t="s"/>
      <c r="H78" s="105" t="s"/>
      <c r="I78" s="105" t="s"/>
      <c r="J78" s="105" t="s"/>
      <c r="K78" s="105" t="s"/>
      <c r="L78" s="105" t="s"/>
      <c r="M78" s="105" t="s"/>
      <c r="N78" s="105" t="s"/>
      <c r="O78" s="105" t="s"/>
      <c r="P78" s="105" t="s"/>
      <c r="Q78" s="105" t="s"/>
      <c r="R78" s="105" t="s"/>
      <c r="S78" s="105" t="s"/>
      <c r="T78" s="105" t="s"/>
    </row>
    <row r="79" spans="3:20">
      <c r="C79" s="105" t="s"/>
      <c r="D79" s="105" t="s"/>
      <c r="E79" s="105" t="s"/>
      <c r="F79" s="105" t="s"/>
      <c r="G79" s="105" t="s"/>
      <c r="H79" s="105" t="s"/>
      <c r="I79" s="105" t="s"/>
      <c r="J79" s="105" t="s"/>
      <c r="K79" s="105" t="s"/>
      <c r="L79" s="105" t="s"/>
      <c r="M79" s="105" t="s"/>
      <c r="N79" s="105" t="s"/>
      <c r="O79" s="105" t="s"/>
      <c r="P79" s="105" t="s"/>
      <c r="Q79" s="105" t="s"/>
      <c r="R79" s="105" t="s"/>
      <c r="S79" s="105" t="s"/>
      <c r="T79" s="105" t="s"/>
    </row>
    <row r="80" spans="3:20">
      <c r="C80" s="105" t="s"/>
      <c r="D80" s="105" t="s"/>
      <c r="E80" s="105" t="s"/>
      <c r="F80" s="105" t="s"/>
      <c r="G80" s="105" t="s"/>
      <c r="H80" s="105" t="s"/>
      <c r="I80" s="105" t="s"/>
      <c r="J80" s="105" t="s"/>
      <c r="K80" s="105" t="s"/>
      <c r="L80" s="105" t="s"/>
      <c r="M80" s="105" t="s"/>
      <c r="N80" s="105" t="s"/>
      <c r="O80" s="105" t="s"/>
      <c r="P80" s="105" t="s"/>
      <c r="Q80" s="105" t="s"/>
      <c r="R80" s="105" t="s"/>
      <c r="S80" s="105" t="s"/>
      <c r="T80" s="105" t="s"/>
    </row>
    <row r="81" spans="3:20">
      <c r="C81" s="105" t="s"/>
      <c r="D81" s="105" t="s"/>
      <c r="E81" s="105" t="s"/>
      <c r="F81" s="105" t="s"/>
      <c r="G81" s="105" t="s"/>
      <c r="H81" s="105" t="s"/>
      <c r="I81" s="105" t="s"/>
      <c r="J81" s="105" t="s"/>
      <c r="K81" s="105" t="s"/>
      <c r="L81" s="105" t="s"/>
      <c r="M81" s="105" t="s"/>
      <c r="N81" s="105" t="s"/>
      <c r="O81" s="105" t="s"/>
      <c r="P81" s="105" t="s"/>
      <c r="Q81" s="105" t="s"/>
      <c r="R81" s="105" t="s"/>
      <c r="S81" s="105" t="s"/>
      <c r="T81" s="105" t="s"/>
    </row>
    <row r="82" spans="3:20">
      <c r="C82" s="105" t="s"/>
      <c r="D82" s="105" t="s"/>
      <c r="E82" s="105" t="s"/>
      <c r="F82" s="105" t="s"/>
      <c r="G82" s="105" t="s"/>
      <c r="H82" s="105" t="s"/>
      <c r="I82" s="105" t="s"/>
      <c r="J82" s="105" t="s"/>
      <c r="K82" s="105" t="s"/>
      <c r="L82" s="105" t="s"/>
      <c r="M82" s="105" t="s"/>
      <c r="N82" s="105" t="s"/>
      <c r="O82" s="105" t="s"/>
      <c r="P82" s="105" t="s"/>
      <c r="Q82" s="105" t="s"/>
      <c r="R82" s="105" t="s"/>
      <c r="S82" s="105" t="s"/>
      <c r="T82" s="105" t="s"/>
    </row>
    <row r="83" spans="3:20">
      <c r="C83" s="105" t="s"/>
      <c r="D83" s="105" t="s"/>
      <c r="E83" s="105" t="s"/>
      <c r="F83" s="105" t="s"/>
      <c r="G83" s="105" t="s"/>
      <c r="H83" s="105" t="s"/>
      <c r="I83" s="105" t="s"/>
      <c r="J83" s="105" t="s"/>
      <c r="K83" s="105" t="s"/>
      <c r="L83" s="105" t="s"/>
      <c r="M83" s="105" t="s"/>
      <c r="N83" s="105" t="s"/>
      <c r="O83" s="105" t="s"/>
      <c r="P83" s="105" t="s"/>
      <c r="Q83" s="105" t="s"/>
      <c r="R83" s="105" t="s"/>
      <c r="S83" s="105" t="s"/>
      <c r="T83" s="105" t="s"/>
    </row>
    <row r="84" spans="3:20">
      <c r="C84" s="105" t="s"/>
      <c r="D84" s="105" t="s"/>
      <c r="E84" s="105" t="s"/>
      <c r="F84" s="105" t="s"/>
      <c r="G84" s="105" t="s"/>
      <c r="H84" s="105" t="s"/>
      <c r="I84" s="105" t="s"/>
      <c r="J84" s="105" t="s"/>
      <c r="K84" s="105" t="s"/>
      <c r="L84" s="105" t="s"/>
      <c r="M84" s="105" t="s"/>
      <c r="N84" s="105" t="s"/>
      <c r="O84" s="105" t="s"/>
      <c r="P84" s="105" t="s"/>
      <c r="Q84" s="105" t="s"/>
      <c r="R84" s="105" t="s"/>
      <c r="S84" s="105" t="s"/>
      <c r="T84" s="105" t="s"/>
    </row>
    <row r="85" spans="3:20">
      <c r="C85" s="105" t="s"/>
      <c r="D85" s="105" t="s"/>
      <c r="E85" s="105" t="s"/>
      <c r="F85" s="105" t="s"/>
      <c r="G85" s="105" t="s"/>
      <c r="H85" s="105" t="s"/>
      <c r="I85" s="105" t="s"/>
      <c r="J85" s="105" t="s"/>
      <c r="K85" s="105" t="s"/>
      <c r="L85" s="105" t="s"/>
      <c r="M85" s="105" t="s"/>
      <c r="N85" s="105" t="s"/>
      <c r="O85" s="105" t="s"/>
      <c r="P85" s="105" t="s"/>
      <c r="Q85" s="105" t="s"/>
      <c r="R85" s="105" t="s"/>
      <c r="S85" s="105" t="s"/>
      <c r="T85" s="105" t="s"/>
    </row>
    <row r="86" spans="3:20">
      <c r="C86" s="105" t="s"/>
      <c r="D86" s="105" t="s"/>
      <c r="E86" s="105" t="s"/>
      <c r="F86" s="105" t="s"/>
      <c r="G86" s="105" t="s"/>
      <c r="H86" s="105" t="s"/>
      <c r="I86" s="105" t="s"/>
      <c r="J86" s="105" t="s"/>
      <c r="K86" s="105" t="s"/>
      <c r="L86" s="105" t="s"/>
      <c r="M86" s="105" t="s"/>
      <c r="N86" s="105" t="s"/>
      <c r="O86" s="105" t="s"/>
      <c r="P86" s="105" t="s"/>
      <c r="Q86" s="105" t="s"/>
      <c r="R86" s="105" t="s"/>
      <c r="S86" s="105" t="s"/>
      <c r="T86" s="105" t="s"/>
    </row>
    <row r="87" spans="3:20">
      <c r="C87" s="105" t="s"/>
      <c r="D87" s="105" t="s"/>
      <c r="E87" s="105" t="s"/>
      <c r="F87" s="105" t="s"/>
      <c r="G87" s="105" t="s"/>
      <c r="H87" s="105" t="s"/>
      <c r="I87" s="105" t="s"/>
      <c r="J87" s="105" t="s"/>
      <c r="K87" s="105" t="s"/>
      <c r="L87" s="105" t="s"/>
      <c r="M87" s="105" t="s"/>
      <c r="N87" s="105" t="s"/>
      <c r="O87" s="105" t="s"/>
      <c r="P87" s="105" t="s"/>
      <c r="Q87" s="105" t="s"/>
      <c r="R87" s="105" t="s"/>
      <c r="S87" s="105" t="s"/>
      <c r="T87" s="105" t="s"/>
    </row>
    <row r="88" spans="3:20">
      <c r="C88" s="105" t="s"/>
      <c r="D88" s="105" t="s"/>
      <c r="E88" s="105" t="s"/>
      <c r="F88" s="105" t="s"/>
      <c r="G88" s="105" t="s"/>
      <c r="H88" s="105" t="s"/>
      <c r="I88" s="105" t="s"/>
      <c r="J88" s="105" t="s"/>
      <c r="K88" s="105" t="s"/>
      <c r="L88" s="105" t="s"/>
      <c r="M88" s="105" t="s"/>
      <c r="N88" s="105" t="s"/>
      <c r="O88" s="105" t="s"/>
      <c r="P88" s="105" t="s"/>
      <c r="Q88" s="105" t="s"/>
      <c r="R88" s="105" t="s"/>
      <c r="S88" s="105" t="s"/>
      <c r="T88" s="105" t="s"/>
    </row>
  </sheetData>
  <mergeCells count="47">
    <mergeCell ref="H1:K1"/>
    <mergeCell ref="L1:O1"/>
    <mergeCell ref="L10:O10"/>
    <mergeCell ref="L11:O11"/>
    <mergeCell ref="L12:O12"/>
    <mergeCell ref="L13:O13"/>
    <mergeCell ref="L15:O15"/>
    <mergeCell ref="L16:O16"/>
    <mergeCell ref="L17:O17"/>
    <mergeCell ref="L18:O18"/>
    <mergeCell ref="L19:O19"/>
    <mergeCell ref="L20:O20"/>
    <mergeCell ref="L21:O21"/>
    <mergeCell ref="L22:O22"/>
    <mergeCell ref="A1:G1"/>
    <mergeCell ref="L2:O8"/>
    <mergeCell ref="A15:A16"/>
    <mergeCell ref="B15:B16"/>
    <mergeCell ref="C15:C16"/>
    <mergeCell ref="I15:I16"/>
    <mergeCell ref="A17:A18"/>
    <mergeCell ref="C17:C18"/>
    <mergeCell ref="B17:B18"/>
    <mergeCell ref="E17:E18"/>
    <mergeCell ref="G17:G18"/>
    <mergeCell ref="H17:H18"/>
    <mergeCell ref="J17:J18"/>
    <mergeCell ref="A21:A22"/>
    <mergeCell ref="B21:B22"/>
    <mergeCell ref="C21:C22"/>
    <mergeCell ref="F15:F16"/>
    <mergeCell ref="G15:G16"/>
    <mergeCell ref="A23:D23"/>
    <mergeCell ref="A3:A9"/>
    <mergeCell ref="B3:B9"/>
    <mergeCell ref="C3:C9"/>
    <mergeCell ref="F3:F9"/>
    <mergeCell ref="G3:G9"/>
    <mergeCell ref="B10:B11"/>
    <mergeCell ref="A10:A13"/>
    <mergeCell ref="F10:F13"/>
    <mergeCell ref="G10:G13"/>
    <mergeCell ref="I10:I13"/>
    <mergeCell ref="J10:J13"/>
    <mergeCell ref="C10:C13"/>
    <mergeCell ref="I3:I9"/>
    <mergeCell ref="J3:J9"/>
  </mergeCells>
</worksheet>
</file>

<file path=xl/worksheets/sheet4.xml><?xml version="1.0" encoding="utf-8"?>
<worksheet xmlns="http://schemas.openxmlformats.org/spreadsheetml/2006/main">
  <sheetPr codeName="26年roadmap"/>
  <dimension ref="E5"/>
  <sheetViews>
    <sheetView showGridLines="true" workbookViewId="0"/>
  </sheetViews>
  <sheetFormatPr baseColWidth="13" defaultRowHeight="18" customHeight="true"/>
  <cols>
    <col min="2" max="2" width="33.2422" customWidth="true"/>
    <col min="3" max="3" width="33.7305" customWidth="true"/>
    <col min="4" max="4" width="29.8008" customWidth="true"/>
    <col min="5" max="5" width="33.4805" customWidth="true"/>
  </cols>
  <sheetData>
    <row r="1" spans="1:5">
      <c r="A1" s="204" t="s"/>
      <c r="B1" s="205" t="s">
        <v>620</v>
      </c>
      <c r="C1" s="205" t="s">
        <v>621</v>
      </c>
      <c r="D1" s="205" t="s">
        <v>622</v>
      </c>
      <c r="E1" s="205" t="s">
        <v>623</v>
      </c>
    </row>
    <row r="2" spans="1:5" s="80" customFormat="true">
      <c r="A2" s="206" t="s">
        <v>624</v>
      </c>
      <c r="C2" s="207" t="s">
        <v>773</v>
      </c>
      <c r="E2" s="207" t="s"/>
    </row>
    <row r="3" spans="1:5" s="80" customFormat="true" ht="77.25" customHeight="true">
      <c r="A3" s="206" t="s">
        <v>341</v>
      </c>
      <c r="B3" s="208" t="s"/>
      <c r="C3" s="207" t="s">
        <v>625</v>
      </c>
      <c r="D3" s="209" t="s">
        <v>774</v>
      </c>
      <c r="E3" s="209" t="s">
        <v>774</v>
      </c>
    </row>
    <row r="4" spans="1:5" s="80" customFormat="true" ht="81" customHeight="true">
      <c r="A4" s="206" t="s">
        <v>434</v>
      </c>
      <c r="B4" s="207" t="s"/>
      <c r="C4" s="210" t="s">
        <v>373</v>
      </c>
      <c r="D4" s="210" t="s">
        <v>351</v>
      </c>
      <c r="E4" s="210" t="s">
        <v>352</v>
      </c>
    </row>
    <row r="5" spans="1:26" s="80" customFormat="true"/>
  </sheetData>
</worksheet>
</file>

<file path=xl/worksheets/sheet5.xml><?xml version="1.0" encoding="utf-8"?>
<worksheet xmlns="http://schemas.openxmlformats.org/spreadsheetml/2006/main">
  <sheetPr codeName="责任田(2026)"/>
  <dimension ref="G8"/>
  <sheetViews>
    <sheetView showGridLines="true" workbookViewId="0"/>
  </sheetViews>
  <sheetFormatPr baseColWidth="13" defaultRowHeight="18" customHeight="true"/>
  <cols>
    <col min="1" max="1" width="48.7109" customWidth="true"/>
    <col min="2" max="2" width="33.2422" customWidth="true"/>
    <col min="3" max="3" width="33.7305" customWidth="true"/>
    <col min="4" max="4" width="29.8008" customWidth="true"/>
    <col min="5" max="5" width="29.5625" customWidth="true"/>
    <col min="6" max="6" width="33.4805" customWidth="true"/>
    <col min="7" max="7" width="153.711" customWidth="true"/>
  </cols>
  <sheetData>
    <row r="1" spans="1:7">
      <c r="A1" s="34" t="s">
        <v>71</v>
      </c>
      <c r="B1" s="35" t="s">
        <v>72</v>
      </c>
      <c r="C1" s="35" t="s">
        <v>73</v>
      </c>
      <c r="D1" s="35" t="s">
        <v>74</v>
      </c>
      <c r="E1" s="36" t="s">
        <v>75</v>
      </c>
      <c r="F1" s="35" t="s">
        <v>76</v>
      </c>
      <c r="G1" s="37" t="s">
        <v>77</v>
      </c>
    </row>
    <row r="2" spans="1:7" s="80" customFormat="true" ht="46.5" customHeight="true">
      <c r="A2" s="38" t="s">
        <v>78</v>
      </c>
      <c r="B2" s="39" t="s">
        <v>79</v>
      </c>
      <c r="C2" s="39" t="s">
        <v>80</v>
      </c>
      <c r="D2" s="40" t="s">
        <v>81</v>
      </c>
      <c r="E2" s="41" t="s">
        <v>82</v>
      </c>
      <c r="F2" s="41" t="s"/>
      <c r="G2" s="42" t="s"/>
    </row>
    <row r="3" spans="1:7" s="80" customFormat="true" ht="46.5" customHeight="true">
      <c r="A3" s="43" t="s"/>
      <c r="B3" s="39" t="s">
        <v>83</v>
      </c>
      <c r="C3" s="39" t="s"/>
      <c r="D3" s="40" t="s"/>
      <c r="E3" s="41" t="s"/>
      <c r="F3" s="41" t="s"/>
      <c r="G3" s="42" t="s"/>
    </row>
    <row r="4" spans="1:7" s="80" customFormat="true" ht="46.5" customHeight="true">
      <c r="A4" s="43" t="s"/>
      <c r="B4" s="39" t="s">
        <v>84</v>
      </c>
      <c r="C4" s="39" t="s"/>
      <c r="D4" s="40" t="s"/>
      <c r="E4" s="41" t="s"/>
      <c r="F4" s="41" t="s"/>
      <c r="G4" s="42" t="s"/>
    </row>
    <row r="5" spans="1:7" s="80" customFormat="true" ht="46.5" customHeight="true">
      <c r="A5" s="38" t="s">
        <v>85</v>
      </c>
      <c r="B5" s="39" t="s">
        <v>86</v>
      </c>
      <c r="C5" s="39" t="s">
        <v>87</v>
      </c>
      <c r="D5" s="40" t="s">
        <v>88</v>
      </c>
      <c r="E5" s="41" t="s">
        <v>89</v>
      </c>
      <c r="F5" s="41" t="s">
        <v>90</v>
      </c>
      <c r="G5" s="42" t="s"/>
    </row>
    <row r="6" spans="1:7" s="80" customFormat="true">
      <c r="A6" s="38" t="s">
        <v>91</v>
      </c>
      <c r="B6" s="39" t="s">
        <v>92</v>
      </c>
      <c r="C6" s="44" t="s">
        <v>93</v>
      </c>
      <c r="D6" s="40" t="s"/>
      <c r="E6" s="41" t="s"/>
      <c r="F6" s="45" t="s"/>
      <c r="G6" s="42" t="s"/>
    </row>
    <row r="7" spans="1:7" s="80" customFormat="true" ht="80.25" customHeight="true">
      <c r="A7" s="46" t="s">
        <v>94</v>
      </c>
      <c r="B7" s="47" t="s">
        <v>95</v>
      </c>
      <c r="C7" s="48" t="s"/>
      <c r="D7" s="39" t="s"/>
      <c r="E7" s="45" t="s"/>
      <c r="F7" s="49" t="s"/>
      <c r="G7" s="42" t="s"/>
    </row>
    <row r="8" spans="1:7" s="80" customFormat="true" ht="80.25" customHeight="true">
      <c r="A8" s="37" t="s">
        <v>96</v>
      </c>
      <c r="B8" s="50" t="s">
        <v>97</v>
      </c>
      <c r="C8" s="51" t="s"/>
      <c r="D8" s="40" t="s"/>
      <c r="E8" s="52" t="s"/>
      <c r="F8" s="45" t="s"/>
      <c r="G8" s="42" t="s"/>
    </row>
  </sheetData>
  <mergeCells count="1">
    <mergeCell ref="A2:A4"/>
  </mergeCells>
</worksheet>
</file>

<file path=xl/worksheets/sheet6.xml><?xml version="1.0" encoding="utf-8"?>
<worksheet xmlns="http://schemas.openxmlformats.org/spreadsheetml/2006/main">
  <sheetPr codeName="跨部门协作需求"/>
  <dimension ref="AA180"/>
  <sheetViews>
    <sheetView showGridLines="true" workbookViewId="0"/>
  </sheetViews>
  <sheetFormatPr baseColWidth="13" defaultRowHeight="18" customHeight="true"/>
  <cols>
    <col min="1" max="1" width="32.7109" customWidth="true"/>
    <col min="2" max="2" width="33.2422" customWidth="true"/>
    <col min="3" max="3" width="33.7305" customWidth="true"/>
    <col min="4" max="4" width="29.8008" customWidth="true"/>
    <col min="5" max="5" width="33.4805" customWidth="true"/>
    <col min="6" max="6" width="32.7109" customWidth="true"/>
    <col min="7" max="7" width="24.7109" customWidth="true"/>
    <col min="8" max="8" width="16.7109" customWidth="true"/>
    <col min="9" max="9" width="94.7109" customWidth="true"/>
    <col min="10" max="11" width="32.7109" customWidth="true"/>
    <col min="12" max="12" width="24.7109" customWidth="true"/>
    <col min="13" max="27" width="32.7109" customWidth="true"/>
  </cols>
  <sheetData>
    <row r="1" spans="1:27">
      <c r="A1" s="73" t="s">
        <v>222</v>
      </c>
      <c r="B1" s="74" t="s">
        <v>223</v>
      </c>
      <c r="C1" s="74" t="s">
        <v>224</v>
      </c>
      <c r="D1" s="75" t="s">
        <v>225</v>
      </c>
      <c r="E1" s="74" t="s">
        <v>226</v>
      </c>
      <c r="F1" s="74" t="s">
        <v>227</v>
      </c>
      <c r="G1" s="74" t="s">
        <v>228</v>
      </c>
      <c r="H1" s="74" t="s">
        <v>229</v>
      </c>
      <c r="I1" s="76" t="s">
        <v>230</v>
      </c>
      <c r="J1" s="76" t="s">
        <v>231</v>
      </c>
      <c r="K1" s="76" t="s">
        <v>232</v>
      </c>
      <c r="L1" s="76" t="s">
        <v>233</v>
      </c>
      <c r="M1" s="77" t="s"/>
      <c r="N1" s="77" t="s"/>
      <c r="O1" s="77" t="s"/>
      <c r="P1" s="77" t="s"/>
      <c r="Q1" s="77" t="s"/>
      <c r="R1" s="77" t="s"/>
      <c r="S1" s="77" t="s"/>
      <c r="T1" s="77" t="s"/>
      <c r="U1" s="77" t="s"/>
      <c r="V1" s="77" t="s"/>
      <c r="W1" s="77" t="s"/>
      <c r="X1" s="77" t="s"/>
      <c r="Y1" s="77" t="s"/>
      <c r="Z1" s="77" t="s"/>
      <c r="AA1" s="77" t="s"/>
    </row>
    <row r="2" spans="1:8">
      <c r="A2" s="78" t="s">
        <v>99</v>
      </c>
      <c r="B2" s="78" t="s">
        <v>234</v>
      </c>
      <c r="C2" s="79" t="s">
        <v>235</v>
      </c>
      <c r="D2" s="80" t="s">
        <v>236</v>
      </c>
      <c r="E2" s="80" t="s">
        <v>236</v>
      </c>
      <c r="F2" s="42" t="s">
        <v>237</v>
      </c>
      <c r="G2" s="80" t="s"/>
      <c r="H2" s="80" t="s"/>
    </row>
    <row r="3" spans="1:27" s="80" customFormat="true">
      <c r="A3" s="81" t="s">
        <v>238</v>
      </c>
      <c r="B3" s="81" t="s">
        <v>99</v>
      </c>
      <c r="C3" s="82" t="s">
        <v>239</v>
      </c>
      <c r="D3" s="83" t="s"/>
      <c r="E3" s="84" t="s"/>
      <c r="F3" s="42" t="s">
        <v>237</v>
      </c>
      <c r="G3" s="50" t="s"/>
      <c r="H3" s="85" t="s"/>
      <c r="I3" s="86" t="s"/>
      <c r="J3" s="50" t="s"/>
      <c r="K3" s="50" t="s"/>
      <c r="L3" s="87" t="s"/>
      <c r="M3" s="88" t="s"/>
      <c r="N3" s="88" t="s"/>
      <c r="O3" s="88" t="s"/>
      <c r="P3" s="88" t="s"/>
      <c r="Q3" s="88" t="s"/>
      <c r="R3" s="88" t="s"/>
      <c r="S3" s="88" t="s"/>
      <c r="T3" s="88" t="s"/>
      <c r="U3" s="88" t="s"/>
      <c r="V3" s="88" t="s"/>
      <c r="W3" s="88" t="s"/>
      <c r="X3" s="88" t="s"/>
      <c r="Y3" s="88" t="s"/>
      <c r="Z3" s="88" t="s"/>
      <c r="AA3" s="88" t="s"/>
    </row>
    <row r="4" spans="1:27" s="80" customFormat="true">
      <c r="A4" s="81" t="s">
        <v>240</v>
      </c>
      <c r="B4" s="81" t="s">
        <v>99</v>
      </c>
      <c r="C4" s="82" t="s">
        <v>241</v>
      </c>
      <c r="D4" s="83" t="s"/>
      <c r="E4" s="84" t="s"/>
      <c r="F4" s="42" t="s">
        <v>237</v>
      </c>
      <c r="G4" s="50" t="s"/>
      <c r="H4" s="85" t="s"/>
      <c r="I4" s="86" t="s"/>
      <c r="J4" s="50" t="s"/>
      <c r="K4" s="50" t="s"/>
      <c r="L4" s="87" t="s"/>
      <c r="M4" s="88" t="s"/>
      <c r="N4" s="88" t="s"/>
      <c r="O4" s="88" t="s"/>
      <c r="P4" s="88" t="s"/>
      <c r="Q4" s="88" t="s"/>
      <c r="R4" s="88" t="s"/>
      <c r="S4" s="88" t="s"/>
      <c r="T4" s="88" t="s"/>
      <c r="U4" s="88" t="s"/>
      <c r="V4" s="88" t="s"/>
      <c r="W4" s="88" t="s"/>
      <c r="X4" s="88" t="s"/>
      <c r="Y4" s="88" t="s"/>
      <c r="Z4" s="88" t="s"/>
      <c r="AA4" s="88" t="s"/>
    </row>
    <row r="5" spans="1:27">
      <c r="A5" s="77" t="s"/>
      <c r="B5" s="77" t="s"/>
      <c r="C5" s="77" t="s"/>
      <c r="D5" s="77" t="s"/>
      <c r="E5" s="77" t="s"/>
      <c r="F5" s="77" t="s"/>
      <c r="G5" s="89" t="s"/>
      <c r="H5" s="89" t="s"/>
      <c r="I5" s="77" t="s"/>
      <c r="J5" s="77" t="s"/>
      <c r="K5" s="77" t="s"/>
      <c r="L5" s="89" t="s"/>
      <c r="M5" s="77" t="s"/>
      <c r="N5" s="77" t="s"/>
      <c r="O5" s="77" t="s"/>
      <c r="P5" s="77" t="s"/>
      <c r="Q5" s="77" t="s"/>
      <c r="R5" s="77" t="s"/>
      <c r="S5" s="77" t="s"/>
      <c r="T5" s="77" t="s"/>
      <c r="U5" s="77" t="s"/>
      <c r="V5" s="77" t="s"/>
      <c r="W5" s="77" t="s"/>
      <c r="X5" s="77" t="s"/>
      <c r="Y5" s="77" t="s"/>
      <c r="Z5" s="77" t="s"/>
      <c r="AA5" s="77" t="s"/>
    </row>
    <row r="6" spans="1:27">
      <c r="A6" s="77" t="s"/>
      <c r="B6" s="77" t="s"/>
      <c r="C6" s="77" t="s"/>
      <c r="D6" s="77" t="s"/>
      <c r="E6" s="77" t="s"/>
      <c r="F6" s="77" t="s"/>
      <c r="G6" s="89" t="s"/>
      <c r="H6" s="89" t="s"/>
      <c r="I6" s="77" t="s"/>
      <c r="J6" s="77" t="s"/>
      <c r="K6" s="77" t="s"/>
      <c r="L6" s="89" t="s"/>
      <c r="M6" s="77" t="s"/>
      <c r="N6" s="77" t="s"/>
      <c r="O6" s="77" t="s"/>
      <c r="P6" s="77" t="s"/>
      <c r="Q6" s="77" t="s"/>
      <c r="R6" s="77" t="s"/>
      <c r="S6" s="77" t="s"/>
      <c r="T6" s="77" t="s"/>
      <c r="U6" s="77" t="s"/>
      <c r="V6" s="77" t="s"/>
      <c r="W6" s="77" t="s"/>
      <c r="X6" s="77" t="s"/>
      <c r="Y6" s="77" t="s"/>
      <c r="Z6" s="77" t="s"/>
      <c r="AA6" s="77" t="s"/>
    </row>
    <row r="7" spans="1:27">
      <c r="A7" s="77" t="s"/>
      <c r="B7" s="77" t="s"/>
      <c r="C7" s="77" t="s"/>
      <c r="D7" s="77" t="s"/>
      <c r="E7" s="77" t="s"/>
      <c r="F7" s="77" t="s"/>
      <c r="G7" s="89" t="s"/>
      <c r="H7" s="89" t="s"/>
      <c r="I7" s="77" t="s"/>
      <c r="J7" s="77" t="s"/>
      <c r="K7" s="77" t="s"/>
      <c r="L7" s="89" t="s"/>
      <c r="M7" s="77" t="s"/>
      <c r="N7" s="77" t="s"/>
      <c r="O7" s="77" t="s"/>
      <c r="P7" s="77" t="s"/>
      <c r="Q7" s="77" t="s"/>
      <c r="R7" s="77" t="s"/>
      <c r="S7" s="77" t="s"/>
      <c r="T7" s="77" t="s"/>
      <c r="U7" s="77" t="s"/>
      <c r="V7" s="77" t="s"/>
      <c r="W7" s="77" t="s"/>
      <c r="X7" s="77" t="s"/>
      <c r="Y7" s="77" t="s"/>
      <c r="Z7" s="77" t="s"/>
      <c r="AA7" s="77" t="s"/>
    </row>
    <row r="8" spans="1:27">
      <c r="A8" s="77" t="s"/>
      <c r="B8" s="77" t="s"/>
      <c r="C8" s="77" t="s"/>
      <c r="D8" s="77" t="s"/>
      <c r="E8" s="77" t="s"/>
      <c r="F8" s="77" t="s"/>
      <c r="G8" s="89" t="s"/>
      <c r="H8" s="89" t="s"/>
      <c r="I8" s="77" t="s"/>
      <c r="J8" s="77" t="s"/>
      <c r="K8" s="77" t="s"/>
      <c r="L8" s="89" t="s"/>
      <c r="M8" s="77" t="s"/>
      <c r="N8" s="77" t="s"/>
      <c r="O8" s="77" t="s"/>
      <c r="P8" s="77" t="s"/>
      <c r="Q8" s="77" t="s"/>
      <c r="R8" s="77" t="s"/>
      <c r="S8" s="77" t="s"/>
      <c r="T8" s="77" t="s"/>
      <c r="U8" s="77" t="s"/>
      <c r="V8" s="77" t="s"/>
      <c r="W8" s="77" t="s"/>
      <c r="X8" s="77" t="s"/>
      <c r="Y8" s="77" t="s"/>
      <c r="Z8" s="77" t="s"/>
      <c r="AA8" s="77" t="s"/>
    </row>
    <row r="9" spans="1:27">
      <c r="A9" s="77" t="s"/>
      <c r="B9" s="77" t="s"/>
      <c r="C9" s="77" t="s"/>
      <c r="D9" s="77" t="s"/>
      <c r="E9" s="77" t="s"/>
      <c r="F9" s="77" t="s"/>
      <c r="G9" s="89" t="s"/>
      <c r="H9" s="89" t="s"/>
      <c r="I9" s="77" t="s"/>
      <c r="J9" s="77" t="s"/>
      <c r="K9" s="77" t="s"/>
      <c r="L9" s="89" t="s"/>
      <c r="M9" s="77" t="s"/>
      <c r="N9" s="77" t="s"/>
      <c r="O9" s="77" t="s"/>
      <c r="P9" s="77" t="s"/>
      <c r="Q9" s="77" t="s"/>
      <c r="R9" s="77" t="s"/>
      <c r="S9" s="77" t="s"/>
      <c r="T9" s="77" t="s"/>
      <c r="U9" s="77" t="s"/>
      <c r="V9" s="77" t="s"/>
      <c r="W9" s="77" t="s"/>
      <c r="X9" s="77" t="s"/>
      <c r="Y9" s="77" t="s"/>
      <c r="Z9" s="77" t="s"/>
      <c r="AA9" s="77" t="s"/>
    </row>
    <row r="10" spans="1:27">
      <c r="A10" s="77" t="s"/>
      <c r="B10" s="77" t="s"/>
      <c r="C10" s="77" t="s"/>
      <c r="D10" s="77" t="s"/>
      <c r="E10" s="77" t="s"/>
      <c r="F10" s="77" t="s"/>
      <c r="G10" s="89" t="s"/>
      <c r="H10" s="89" t="s"/>
      <c r="I10" s="77" t="s"/>
      <c r="J10" s="77" t="s"/>
      <c r="K10" s="77" t="s"/>
      <c r="L10" s="89" t="s"/>
      <c r="M10" s="77" t="s"/>
      <c r="N10" s="77" t="s"/>
      <c r="O10" s="77" t="s"/>
      <c r="P10" s="77" t="s"/>
      <c r="Q10" s="77" t="s"/>
      <c r="R10" s="77" t="s"/>
      <c r="S10" s="77" t="s"/>
      <c r="T10" s="77" t="s"/>
      <c r="U10" s="77" t="s"/>
      <c r="V10" s="77" t="s"/>
      <c r="W10" s="77" t="s"/>
      <c r="X10" s="77" t="s"/>
      <c r="Y10" s="77" t="s"/>
      <c r="Z10" s="77" t="s"/>
      <c r="AA10" s="77" t="s"/>
    </row>
    <row r="11" spans="1:27">
      <c r="A11" s="77" t="s"/>
      <c r="B11" s="77" t="s"/>
      <c r="C11" s="77" t="s"/>
      <c r="D11" s="77" t="s"/>
      <c r="E11" s="77" t="s"/>
      <c r="F11" s="77" t="s"/>
      <c r="G11" s="89" t="s"/>
      <c r="H11" s="89" t="s"/>
      <c r="I11" s="77" t="s"/>
      <c r="J11" s="77" t="s"/>
      <c r="K11" s="77" t="s"/>
      <c r="L11" s="89" t="s"/>
      <c r="M11" s="77" t="s"/>
      <c r="N11" s="77" t="s"/>
      <c r="O11" s="77" t="s"/>
      <c r="P11" s="77" t="s"/>
      <c r="Q11" s="77" t="s"/>
      <c r="R11" s="77" t="s"/>
      <c r="S11" s="77" t="s"/>
      <c r="T11" s="77" t="s"/>
      <c r="U11" s="77" t="s"/>
      <c r="V11" s="77" t="s"/>
      <c r="W11" s="77" t="s"/>
      <c r="X11" s="77" t="s"/>
      <c r="Y11" s="77" t="s"/>
      <c r="Z11" s="77" t="s"/>
      <c r="AA11" s="77" t="s"/>
    </row>
    <row r="12" spans="1:27">
      <c r="A12" s="77" t="s"/>
      <c r="B12" s="77" t="s"/>
      <c r="C12" s="77" t="s"/>
      <c r="D12" s="77" t="s"/>
      <c r="E12" s="77" t="s"/>
      <c r="F12" s="77" t="s"/>
      <c r="G12" s="89" t="s"/>
      <c r="H12" s="89" t="s"/>
      <c r="I12" s="77" t="s"/>
      <c r="J12" s="77" t="s"/>
      <c r="K12" s="77" t="s"/>
      <c r="L12" s="89" t="s"/>
      <c r="M12" s="77" t="s"/>
      <c r="N12" s="77" t="s"/>
      <c r="O12" s="77" t="s"/>
      <c r="P12" s="77" t="s"/>
      <c r="Q12" s="77" t="s"/>
      <c r="R12" s="77" t="s"/>
      <c r="S12" s="77" t="s"/>
      <c r="T12" s="77" t="s"/>
      <c r="U12" s="77" t="s"/>
      <c r="V12" s="77" t="s"/>
      <c r="W12" s="77" t="s"/>
      <c r="X12" s="77" t="s"/>
      <c r="Y12" s="77" t="s"/>
      <c r="Z12" s="77" t="s"/>
      <c r="AA12" s="77" t="s"/>
    </row>
    <row r="13" spans="1:27">
      <c r="A13" s="77" t="s"/>
      <c r="B13" s="77" t="s"/>
      <c r="C13" s="77" t="s"/>
      <c r="D13" s="77" t="s"/>
      <c r="E13" s="77" t="s"/>
      <c r="F13" s="77" t="s"/>
      <c r="G13" s="89" t="s"/>
      <c r="H13" s="89" t="s"/>
      <c r="I13" s="77" t="s"/>
      <c r="J13" s="77" t="s"/>
      <c r="K13" s="77" t="s"/>
      <c r="L13" s="89" t="s"/>
      <c r="M13" s="77" t="s"/>
      <c r="N13" s="77" t="s"/>
      <c r="O13" s="77" t="s"/>
      <c r="P13" s="77" t="s"/>
      <c r="Q13" s="77" t="s"/>
      <c r="R13" s="77" t="s"/>
      <c r="S13" s="77" t="s"/>
      <c r="T13" s="77" t="s"/>
      <c r="U13" s="77" t="s"/>
      <c r="V13" s="77" t="s"/>
      <c r="W13" s="77" t="s"/>
      <c r="X13" s="77" t="s"/>
      <c r="Y13" s="77" t="s"/>
      <c r="Z13" s="77" t="s"/>
      <c r="AA13" s="77" t="s"/>
    </row>
    <row r="14" spans="1:27">
      <c r="A14" s="77" t="s"/>
      <c r="B14" s="77" t="s"/>
      <c r="C14" s="77" t="s"/>
      <c r="D14" s="77" t="s"/>
      <c r="E14" s="77" t="s"/>
      <c r="F14" s="77" t="s"/>
      <c r="G14" s="89" t="s"/>
      <c r="H14" s="89" t="s"/>
      <c r="I14" s="77" t="s"/>
      <c r="J14" s="77" t="s"/>
      <c r="K14" s="77" t="s"/>
      <c r="L14" s="89" t="s"/>
      <c r="M14" s="77" t="s"/>
      <c r="N14" s="77" t="s"/>
      <c r="O14" s="77" t="s"/>
      <c r="P14" s="77" t="s"/>
      <c r="Q14" s="77" t="s"/>
      <c r="R14" s="77" t="s"/>
      <c r="S14" s="77" t="s"/>
      <c r="T14" s="77" t="s"/>
      <c r="U14" s="77" t="s"/>
      <c r="V14" s="77" t="s"/>
      <c r="W14" s="77" t="s"/>
      <c r="X14" s="77" t="s"/>
      <c r="Y14" s="77" t="s"/>
      <c r="Z14" s="77" t="s"/>
      <c r="AA14" s="77" t="s"/>
    </row>
    <row r="15" spans="1:27">
      <c r="A15" s="77" t="s"/>
      <c r="B15" s="77" t="s"/>
      <c r="C15" s="77" t="s"/>
      <c r="D15" s="77" t="s"/>
      <c r="E15" s="77" t="s"/>
      <c r="F15" s="77" t="s"/>
      <c r="G15" s="89" t="s"/>
      <c r="H15" s="89" t="s"/>
      <c r="I15" s="77" t="s"/>
      <c r="J15" s="77" t="s"/>
      <c r="K15" s="77" t="s"/>
      <c r="L15" s="89" t="s"/>
      <c r="M15" s="77" t="s"/>
      <c r="N15" s="77" t="s"/>
      <c r="O15" s="77" t="s"/>
      <c r="P15" s="77" t="s"/>
      <c r="Q15" s="77" t="s"/>
      <c r="R15" s="77" t="s"/>
      <c r="S15" s="77" t="s"/>
      <c r="T15" s="77" t="s"/>
      <c r="U15" s="77" t="s"/>
      <c r="V15" s="77" t="s"/>
      <c r="W15" s="77" t="s"/>
      <c r="X15" s="77" t="s"/>
      <c r="Y15" s="77" t="s"/>
      <c r="Z15" s="77" t="s"/>
      <c r="AA15" s="77" t="s"/>
    </row>
    <row r="16" spans="1:27">
      <c r="A16" s="77" t="s"/>
      <c r="B16" s="77" t="s"/>
      <c r="C16" s="77" t="s"/>
      <c r="D16" s="77" t="s"/>
      <c r="E16" s="77" t="s"/>
      <c r="F16" s="77" t="s"/>
      <c r="G16" s="89" t="s"/>
      <c r="H16" s="89" t="s"/>
      <c r="I16" s="77" t="s"/>
      <c r="J16" s="77" t="s"/>
      <c r="K16" s="77" t="s"/>
      <c r="L16" s="89" t="s"/>
      <c r="M16" s="77" t="s"/>
      <c r="N16" s="77" t="s"/>
      <c r="O16" s="77" t="s"/>
      <c r="P16" s="77" t="s"/>
      <c r="Q16" s="77" t="s"/>
      <c r="R16" s="77" t="s"/>
      <c r="S16" s="77" t="s"/>
      <c r="T16" s="77" t="s"/>
      <c r="U16" s="77" t="s"/>
      <c r="V16" s="77" t="s"/>
      <c r="W16" s="77" t="s"/>
      <c r="X16" s="77" t="s"/>
      <c r="Y16" s="77" t="s"/>
      <c r="Z16" s="77" t="s"/>
      <c r="AA16" s="77" t="s"/>
    </row>
    <row r="17" spans="1:27">
      <c r="A17" s="77" t="s"/>
      <c r="B17" s="77" t="s"/>
      <c r="C17" s="77" t="s"/>
      <c r="D17" s="77" t="s"/>
      <c r="E17" s="77" t="s"/>
      <c r="F17" s="77" t="s"/>
      <c r="G17" s="89" t="s"/>
      <c r="H17" s="89" t="s"/>
      <c r="I17" s="77" t="s"/>
      <c r="J17" s="77" t="s"/>
      <c r="K17" s="77" t="s"/>
      <c r="L17" s="89" t="s"/>
      <c r="M17" s="77" t="s"/>
      <c r="N17" s="77" t="s"/>
      <c r="O17" s="77" t="s"/>
      <c r="P17" s="77" t="s"/>
      <c r="Q17" s="77" t="s"/>
      <c r="R17" s="77" t="s"/>
      <c r="S17" s="77" t="s"/>
      <c r="T17" s="77" t="s"/>
      <c r="U17" s="77" t="s"/>
      <c r="V17" s="77" t="s"/>
      <c r="W17" s="77" t="s"/>
      <c r="X17" s="77" t="s"/>
      <c r="Y17" s="77" t="s"/>
      <c r="Z17" s="77" t="s"/>
      <c r="AA17" s="77" t="s"/>
    </row>
    <row r="18" spans="1:27">
      <c r="A18" s="77" t="s"/>
      <c r="B18" s="77" t="s"/>
      <c r="C18" s="77" t="s"/>
      <c r="D18" s="77" t="s"/>
      <c r="E18" s="77" t="s"/>
      <c r="F18" s="77" t="s"/>
      <c r="G18" s="89" t="s"/>
      <c r="H18" s="89" t="s"/>
      <c r="I18" s="77" t="s"/>
      <c r="J18" s="77" t="s"/>
      <c r="K18" s="77" t="s"/>
      <c r="L18" s="89" t="s"/>
      <c r="M18" s="77" t="s"/>
      <c r="N18" s="77" t="s"/>
      <c r="O18" s="77" t="s"/>
      <c r="P18" s="77" t="s"/>
      <c r="Q18" s="77" t="s"/>
      <c r="R18" s="77" t="s"/>
      <c r="S18" s="77" t="s"/>
      <c r="T18" s="77" t="s"/>
      <c r="U18" s="77" t="s"/>
      <c r="V18" s="77" t="s"/>
      <c r="W18" s="77" t="s"/>
      <c r="X18" s="77" t="s"/>
      <c r="Y18" s="77" t="s"/>
      <c r="Z18" s="77" t="s"/>
      <c r="AA18" s="77" t="s"/>
    </row>
    <row r="19" spans="1:27">
      <c r="A19" s="77" t="s"/>
      <c r="B19" s="77" t="s"/>
      <c r="C19" s="77" t="s"/>
      <c r="D19" s="77" t="s"/>
      <c r="E19" s="77" t="s"/>
      <c r="F19" s="77" t="s"/>
      <c r="G19" s="89" t="s"/>
      <c r="H19" s="89" t="s"/>
      <c r="I19" s="77" t="s"/>
      <c r="J19" s="77" t="s"/>
      <c r="K19" s="77" t="s"/>
      <c r="L19" s="89" t="s"/>
      <c r="M19" s="77" t="s"/>
      <c r="N19" s="77" t="s"/>
      <c r="O19" s="77" t="s"/>
      <c r="P19" s="77" t="s"/>
      <c r="Q19" s="77" t="s"/>
      <c r="R19" s="77" t="s"/>
      <c r="S19" s="77" t="s"/>
      <c r="T19" s="77" t="s"/>
      <c r="U19" s="77" t="s"/>
      <c r="V19" s="77" t="s"/>
      <c r="W19" s="77" t="s"/>
      <c r="X19" s="77" t="s"/>
      <c r="Y19" s="77" t="s"/>
      <c r="Z19" s="77" t="s"/>
      <c r="AA19" s="77" t="s"/>
    </row>
    <row r="20" spans="1:27">
      <c r="A20" s="77" t="s"/>
      <c r="B20" s="77" t="s"/>
      <c r="C20" s="77" t="s"/>
      <c r="D20" s="77" t="s"/>
      <c r="E20" s="77" t="s"/>
      <c r="F20" s="77" t="s"/>
      <c r="G20" s="89" t="s"/>
      <c r="H20" s="89" t="s"/>
      <c r="I20" s="77" t="s"/>
      <c r="J20" s="77" t="s"/>
      <c r="K20" s="77" t="s"/>
      <c r="L20" s="89" t="s"/>
      <c r="M20" s="77" t="s"/>
      <c r="N20" s="77" t="s"/>
      <c r="O20" s="77" t="s"/>
      <c r="P20" s="77" t="s"/>
      <c r="Q20" s="77" t="s"/>
      <c r="R20" s="77" t="s"/>
      <c r="S20" s="77" t="s"/>
      <c r="T20" s="77" t="s"/>
      <c r="U20" s="77" t="s"/>
      <c r="V20" s="77" t="s"/>
      <c r="W20" s="77" t="s"/>
      <c r="X20" s="77" t="s"/>
      <c r="Y20" s="77" t="s"/>
      <c r="Z20" s="77" t="s"/>
      <c r="AA20" s="77" t="s"/>
    </row>
    <row r="21" spans="1:27">
      <c r="A21" s="77" t="s"/>
      <c r="B21" s="77" t="s"/>
      <c r="C21" s="77" t="s"/>
      <c r="D21" s="77" t="s"/>
      <c r="E21" s="77" t="s"/>
      <c r="F21" s="77" t="s"/>
      <c r="G21" s="89" t="s"/>
      <c r="H21" s="89" t="s"/>
      <c r="I21" s="77" t="s"/>
      <c r="J21" s="77" t="s"/>
      <c r="K21" s="77" t="s"/>
      <c r="L21" s="89" t="s"/>
      <c r="M21" s="77" t="s"/>
      <c r="N21" s="77" t="s"/>
      <c r="O21" s="77" t="s"/>
      <c r="P21" s="77" t="s"/>
      <c r="Q21" s="77" t="s"/>
      <c r="R21" s="77" t="s"/>
      <c r="S21" s="77" t="s"/>
      <c r="T21" s="77" t="s"/>
      <c r="U21" s="77" t="s"/>
      <c r="V21" s="77" t="s"/>
      <c r="W21" s="77" t="s"/>
      <c r="X21" s="77" t="s"/>
      <c r="Y21" s="77" t="s"/>
      <c r="Z21" s="77" t="s"/>
      <c r="AA21" s="77" t="s"/>
    </row>
    <row r="22" spans="1:27">
      <c r="A22" s="77" t="s"/>
      <c r="B22" s="77" t="s"/>
      <c r="C22" s="77" t="s"/>
      <c r="D22" s="77" t="s"/>
      <c r="E22" s="77" t="s"/>
      <c r="F22" s="77" t="s"/>
      <c r="G22" s="89" t="s"/>
      <c r="H22" s="89" t="s"/>
      <c r="I22" s="77" t="s"/>
      <c r="J22" s="77" t="s"/>
      <c r="K22" s="77" t="s"/>
      <c r="L22" s="89" t="s"/>
      <c r="M22" s="77" t="s"/>
      <c r="N22" s="77" t="s"/>
      <c r="O22" s="77" t="s"/>
      <c r="P22" s="77" t="s"/>
      <c r="Q22" s="77" t="s"/>
      <c r="R22" s="77" t="s"/>
      <c r="S22" s="77" t="s"/>
      <c r="T22" s="77" t="s"/>
      <c r="U22" s="77" t="s"/>
      <c r="V22" s="77" t="s"/>
      <c r="W22" s="77" t="s"/>
      <c r="X22" s="77" t="s"/>
      <c r="Y22" s="77" t="s"/>
      <c r="Z22" s="77" t="s"/>
      <c r="AA22" s="77" t="s"/>
    </row>
    <row r="23" spans="1:27">
      <c r="A23" s="77" t="s"/>
      <c r="B23" s="77" t="s"/>
      <c r="C23" s="77" t="s"/>
      <c r="D23" s="77" t="s"/>
      <c r="E23" s="77" t="s"/>
      <c r="F23" s="77" t="s"/>
      <c r="G23" s="89" t="s"/>
      <c r="H23" s="89" t="s"/>
      <c r="I23" s="77" t="s"/>
      <c r="J23" s="77" t="s"/>
      <c r="K23" s="77" t="s"/>
      <c r="L23" s="89" t="s"/>
      <c r="M23" s="77" t="s"/>
      <c r="N23" s="77" t="s"/>
      <c r="O23" s="77" t="s"/>
      <c r="P23" s="77" t="s"/>
      <c r="Q23" s="77" t="s"/>
      <c r="R23" s="77" t="s"/>
      <c r="S23" s="77" t="s"/>
      <c r="T23" s="77" t="s"/>
      <c r="U23" s="77" t="s"/>
      <c r="V23" s="77" t="s"/>
      <c r="W23" s="77" t="s"/>
      <c r="X23" s="77" t="s"/>
      <c r="Y23" s="77" t="s"/>
      <c r="Z23" s="77" t="s"/>
      <c r="AA23" s="77" t="s"/>
    </row>
    <row r="24" spans="1:27">
      <c r="A24" s="77" t="s"/>
      <c r="B24" s="77" t="s"/>
      <c r="C24" s="77" t="s"/>
      <c r="D24" s="77" t="s"/>
      <c r="E24" s="77" t="s"/>
      <c r="F24" s="77" t="s"/>
      <c r="G24" s="89" t="s"/>
      <c r="H24" s="89" t="s"/>
      <c r="I24" s="77" t="s"/>
      <c r="J24" s="77" t="s"/>
      <c r="K24" s="77" t="s"/>
      <c r="L24" s="89" t="s"/>
      <c r="M24" s="77" t="s"/>
      <c r="N24" s="77" t="s"/>
      <c r="O24" s="77" t="s"/>
      <c r="P24" s="77" t="s"/>
      <c r="Q24" s="77" t="s"/>
      <c r="R24" s="77" t="s"/>
      <c r="S24" s="77" t="s"/>
      <c r="T24" s="77" t="s"/>
      <c r="U24" s="77" t="s"/>
      <c r="V24" s="77" t="s"/>
      <c r="W24" s="77" t="s"/>
      <c r="X24" s="77" t="s"/>
      <c r="Y24" s="77" t="s"/>
      <c r="Z24" s="77" t="s"/>
      <c r="AA24" s="77" t="s"/>
    </row>
    <row r="25" spans="1:27">
      <c r="A25" s="77" t="s"/>
      <c r="B25" s="77" t="s"/>
      <c r="C25" s="77" t="s"/>
      <c r="D25" s="77" t="s"/>
      <c r="E25" s="77" t="s"/>
      <c r="F25" s="77" t="s"/>
      <c r="G25" s="89" t="s"/>
      <c r="H25" s="89" t="s"/>
      <c r="I25" s="77" t="s"/>
      <c r="J25" s="77" t="s"/>
      <c r="K25" s="77" t="s"/>
      <c r="L25" s="89" t="s"/>
      <c r="M25" s="77" t="s"/>
      <c r="N25" s="77" t="s"/>
      <c r="O25" s="77" t="s"/>
      <c r="P25" s="77" t="s"/>
      <c r="Q25" s="77" t="s"/>
      <c r="R25" s="77" t="s"/>
      <c r="S25" s="77" t="s"/>
      <c r="T25" s="77" t="s"/>
      <c r="U25" s="77" t="s"/>
      <c r="V25" s="77" t="s"/>
      <c r="W25" s="77" t="s"/>
      <c r="X25" s="77" t="s"/>
      <c r="Y25" s="77" t="s"/>
      <c r="Z25" s="77" t="s"/>
      <c r="AA25" s="77" t="s"/>
    </row>
    <row r="26" spans="1:27">
      <c r="A26" s="77" t="s"/>
      <c r="B26" s="77" t="s"/>
      <c r="C26" s="77" t="s"/>
      <c r="D26" s="77" t="s"/>
      <c r="E26" s="77" t="s"/>
      <c r="F26" s="77" t="s"/>
      <c r="G26" s="89" t="s"/>
      <c r="H26" s="89" t="s"/>
      <c r="I26" s="77" t="s"/>
      <c r="J26" s="77" t="s"/>
      <c r="K26" s="77" t="s"/>
      <c r="L26" s="89" t="s"/>
      <c r="M26" s="77" t="s"/>
      <c r="N26" s="77" t="s"/>
      <c r="O26" s="77" t="s"/>
      <c r="P26" s="77" t="s"/>
      <c r="Q26" s="77" t="s"/>
      <c r="R26" s="77" t="s"/>
      <c r="S26" s="77" t="s"/>
      <c r="T26" s="77" t="s"/>
      <c r="U26" s="77" t="s"/>
      <c r="V26" s="77" t="s"/>
      <c r="W26" s="77" t="s"/>
      <c r="X26" s="77" t="s"/>
      <c r="Y26" s="77" t="s"/>
      <c r="Z26" s="77" t="s"/>
      <c r="AA26" s="77" t="s"/>
    </row>
    <row r="27" spans="1:27">
      <c r="A27" s="77" t="s"/>
      <c r="B27" s="77" t="s"/>
      <c r="C27" s="77" t="s"/>
      <c r="D27" s="77" t="s"/>
      <c r="E27" s="77" t="s"/>
      <c r="F27" s="77" t="s"/>
      <c r="G27" s="89" t="s"/>
      <c r="H27" s="89" t="s"/>
      <c r="I27" s="77" t="s"/>
      <c r="J27" s="77" t="s"/>
      <c r="K27" s="77" t="s"/>
      <c r="L27" s="89" t="s"/>
      <c r="M27" s="77" t="s"/>
      <c r="N27" s="77" t="s"/>
      <c r="O27" s="77" t="s"/>
      <c r="P27" s="77" t="s"/>
      <c r="Q27" s="77" t="s"/>
      <c r="R27" s="77" t="s"/>
      <c r="S27" s="77" t="s"/>
      <c r="T27" s="77" t="s"/>
      <c r="U27" s="77" t="s"/>
      <c r="V27" s="77" t="s"/>
      <c r="W27" s="77" t="s"/>
      <c r="X27" s="77" t="s"/>
      <c r="Y27" s="77" t="s"/>
      <c r="Z27" s="77" t="s"/>
      <c r="AA27" s="77" t="s"/>
    </row>
    <row r="28" spans="1:27">
      <c r="A28" s="77" t="s"/>
      <c r="B28" s="77" t="s"/>
      <c r="C28" s="77" t="s"/>
      <c r="D28" s="77" t="s"/>
      <c r="E28" s="77" t="s"/>
      <c r="F28" s="77" t="s"/>
      <c r="G28" s="89" t="s"/>
      <c r="H28" s="89" t="s"/>
      <c r="I28" s="77" t="s"/>
      <c r="J28" s="77" t="s"/>
      <c r="K28" s="77" t="s"/>
      <c r="L28" s="89" t="s"/>
      <c r="M28" s="77" t="s"/>
      <c r="N28" s="77" t="s"/>
      <c r="O28" s="77" t="s"/>
      <c r="P28" s="77" t="s"/>
      <c r="Q28" s="77" t="s"/>
      <c r="R28" s="77" t="s"/>
      <c r="S28" s="77" t="s"/>
      <c r="T28" s="77" t="s"/>
      <c r="U28" s="77" t="s"/>
      <c r="V28" s="77" t="s"/>
      <c r="W28" s="77" t="s"/>
      <c r="X28" s="77" t="s"/>
      <c r="Y28" s="77" t="s"/>
      <c r="Z28" s="77" t="s"/>
      <c r="AA28" s="77" t="s"/>
    </row>
    <row r="29" spans="1:27">
      <c r="A29" s="77" t="s"/>
      <c r="B29" s="77" t="s"/>
      <c r="C29" s="77" t="s"/>
      <c r="D29" s="77" t="s"/>
      <c r="E29" s="77" t="s"/>
      <c r="F29" s="77" t="s"/>
      <c r="G29" s="89" t="s"/>
      <c r="H29" s="89" t="s"/>
      <c r="I29" s="77" t="s"/>
      <c r="J29" s="77" t="s"/>
      <c r="K29" s="77" t="s"/>
      <c r="L29" s="89" t="s"/>
      <c r="M29" s="77" t="s"/>
      <c r="N29" s="77" t="s"/>
      <c r="O29" s="77" t="s"/>
      <c r="P29" s="77" t="s"/>
      <c r="Q29" s="77" t="s"/>
      <c r="R29" s="77" t="s"/>
      <c r="S29" s="77" t="s"/>
      <c r="T29" s="77" t="s"/>
      <c r="U29" s="77" t="s"/>
      <c r="V29" s="77" t="s"/>
      <c r="W29" s="77" t="s"/>
      <c r="X29" s="77" t="s"/>
      <c r="Y29" s="77" t="s"/>
      <c r="Z29" s="77" t="s"/>
      <c r="AA29" s="77" t="s"/>
    </row>
    <row r="30" spans="1:27">
      <c r="A30" s="77" t="s"/>
      <c r="B30" s="77" t="s"/>
      <c r="C30" s="77" t="s"/>
      <c r="D30" s="77" t="s"/>
      <c r="E30" s="77" t="s"/>
      <c r="F30" s="77" t="s"/>
      <c r="G30" s="89" t="s"/>
      <c r="H30" s="89" t="s"/>
      <c r="I30" s="77" t="s"/>
      <c r="J30" s="77" t="s"/>
      <c r="K30" s="77" t="s"/>
      <c r="L30" s="89" t="s"/>
      <c r="M30" s="77" t="s"/>
      <c r="N30" s="77" t="s"/>
      <c r="O30" s="77" t="s"/>
      <c r="P30" s="77" t="s"/>
      <c r="Q30" s="77" t="s"/>
      <c r="R30" s="77" t="s"/>
      <c r="S30" s="77" t="s"/>
      <c r="T30" s="77" t="s"/>
      <c r="U30" s="77" t="s"/>
      <c r="V30" s="77" t="s"/>
      <c r="W30" s="77" t="s"/>
      <c r="X30" s="77" t="s"/>
      <c r="Y30" s="77" t="s"/>
      <c r="Z30" s="77" t="s"/>
      <c r="AA30" s="77" t="s"/>
    </row>
    <row r="31" spans="1:27">
      <c r="A31" s="77" t="s"/>
      <c r="B31" s="77" t="s"/>
      <c r="C31" s="77" t="s"/>
      <c r="D31" s="77" t="s"/>
      <c r="E31" s="77" t="s"/>
      <c r="F31" s="77" t="s"/>
      <c r="G31" s="89" t="s"/>
      <c r="H31" s="89" t="s"/>
      <c r="I31" s="77" t="s"/>
      <c r="J31" s="77" t="s"/>
      <c r="K31" s="77" t="s"/>
      <c r="L31" s="89" t="s"/>
      <c r="M31" s="77" t="s"/>
      <c r="N31" s="77" t="s"/>
      <c r="O31" s="77" t="s"/>
      <c r="P31" s="77" t="s"/>
      <c r="Q31" s="77" t="s"/>
      <c r="R31" s="77" t="s"/>
      <c r="S31" s="77" t="s"/>
      <c r="T31" s="77" t="s"/>
      <c r="U31" s="77" t="s"/>
      <c r="V31" s="77" t="s"/>
      <c r="W31" s="77" t="s"/>
      <c r="X31" s="77" t="s"/>
      <c r="Y31" s="77" t="s"/>
      <c r="Z31" s="77" t="s"/>
      <c r="AA31" s="77" t="s"/>
    </row>
    <row r="32" spans="1:27">
      <c r="A32" s="77" t="s"/>
      <c r="B32" s="77" t="s"/>
      <c r="C32" s="77" t="s"/>
      <c r="D32" s="77" t="s"/>
      <c r="E32" s="77" t="s"/>
      <c r="F32" s="77" t="s"/>
      <c r="G32" s="89" t="s"/>
      <c r="H32" s="89" t="s"/>
      <c r="I32" s="77" t="s"/>
      <c r="J32" s="77" t="s"/>
      <c r="K32" s="77" t="s"/>
      <c r="L32" s="89" t="s"/>
      <c r="M32" s="77" t="s"/>
      <c r="N32" s="77" t="s"/>
      <c r="O32" s="77" t="s"/>
      <c r="P32" s="77" t="s"/>
      <c r="Q32" s="77" t="s"/>
      <c r="R32" s="77" t="s"/>
      <c r="S32" s="77" t="s"/>
      <c r="T32" s="77" t="s"/>
      <c r="U32" s="77" t="s"/>
      <c r="V32" s="77" t="s"/>
      <c r="W32" s="77" t="s"/>
      <c r="X32" s="77" t="s"/>
      <c r="Y32" s="77" t="s"/>
      <c r="Z32" s="77" t="s"/>
      <c r="AA32" s="77" t="s"/>
    </row>
    <row r="33" spans="1:27">
      <c r="A33" s="77" t="s"/>
      <c r="B33" s="77" t="s"/>
      <c r="C33" s="77" t="s"/>
      <c r="D33" s="77" t="s"/>
      <c r="E33" s="77" t="s"/>
      <c r="F33" s="77" t="s"/>
      <c r="G33" s="89" t="s"/>
      <c r="H33" s="89" t="s"/>
      <c r="I33" s="77" t="s"/>
      <c r="J33" s="77" t="s"/>
      <c r="K33" s="77" t="s"/>
      <c r="L33" s="89" t="s"/>
      <c r="M33" s="77" t="s"/>
      <c r="N33" s="77" t="s"/>
      <c r="O33" s="77" t="s"/>
      <c r="P33" s="77" t="s"/>
      <c r="Q33" s="77" t="s"/>
      <c r="R33" s="77" t="s"/>
      <c r="S33" s="77" t="s"/>
      <c r="T33" s="77" t="s"/>
      <c r="U33" s="77" t="s"/>
      <c r="V33" s="77" t="s"/>
      <c r="W33" s="77" t="s"/>
      <c r="X33" s="77" t="s"/>
      <c r="Y33" s="77" t="s"/>
      <c r="Z33" s="77" t="s"/>
      <c r="AA33" s="77" t="s"/>
    </row>
    <row r="34" spans="1:27">
      <c r="A34" s="77" t="s"/>
      <c r="B34" s="77" t="s"/>
      <c r="C34" s="77" t="s"/>
      <c r="D34" s="77" t="s"/>
      <c r="E34" s="77" t="s"/>
      <c r="F34" s="77" t="s"/>
      <c r="G34" s="89" t="s"/>
      <c r="H34" s="89" t="s"/>
      <c r="I34" s="77" t="s"/>
      <c r="J34" s="77" t="s"/>
      <c r="K34" s="77" t="s"/>
      <c r="L34" s="89" t="s"/>
      <c r="M34" s="77" t="s"/>
      <c r="N34" s="77" t="s"/>
      <c r="O34" s="77" t="s"/>
      <c r="P34" s="77" t="s"/>
      <c r="Q34" s="77" t="s"/>
      <c r="R34" s="77" t="s"/>
      <c r="S34" s="77" t="s"/>
      <c r="T34" s="77" t="s"/>
      <c r="U34" s="77" t="s"/>
      <c r="V34" s="77" t="s"/>
      <c r="W34" s="77" t="s"/>
      <c r="X34" s="77" t="s"/>
      <c r="Y34" s="77" t="s"/>
      <c r="Z34" s="77" t="s"/>
      <c r="AA34" s="77" t="s"/>
    </row>
    <row r="35" spans="1:27">
      <c r="A35" s="77" t="s"/>
      <c r="B35" s="77" t="s"/>
      <c r="C35" s="77" t="s"/>
      <c r="D35" s="77" t="s"/>
      <c r="E35" s="77" t="s"/>
      <c r="F35" s="77" t="s"/>
      <c r="G35" s="89" t="s"/>
      <c r="H35" s="89" t="s"/>
      <c r="I35" s="77" t="s"/>
      <c r="J35" s="77" t="s"/>
      <c r="K35" s="77" t="s"/>
      <c r="L35" s="89" t="s"/>
      <c r="M35" s="77" t="s"/>
      <c r="N35" s="77" t="s"/>
      <c r="O35" s="77" t="s"/>
      <c r="P35" s="77" t="s"/>
      <c r="Q35" s="77" t="s"/>
      <c r="R35" s="77" t="s"/>
      <c r="S35" s="77" t="s"/>
      <c r="T35" s="77" t="s"/>
      <c r="U35" s="77" t="s"/>
      <c r="V35" s="77" t="s"/>
      <c r="W35" s="77" t="s"/>
      <c r="X35" s="77" t="s"/>
      <c r="Y35" s="77" t="s"/>
      <c r="Z35" s="77" t="s"/>
      <c r="AA35" s="77" t="s"/>
    </row>
    <row r="36" spans="1:27">
      <c r="A36" s="77" t="s"/>
      <c r="B36" s="77" t="s"/>
      <c r="C36" s="77" t="s"/>
      <c r="D36" s="77" t="s"/>
      <c r="E36" s="77" t="s"/>
      <c r="F36" s="77" t="s"/>
      <c r="G36" s="89" t="s"/>
      <c r="H36" s="89" t="s"/>
      <c r="I36" s="77" t="s"/>
      <c r="J36" s="77" t="s"/>
      <c r="K36" s="77" t="s"/>
      <c r="L36" s="89" t="s"/>
      <c r="M36" s="77" t="s"/>
      <c r="N36" s="77" t="s"/>
      <c r="O36" s="77" t="s"/>
      <c r="P36" s="77" t="s"/>
      <c r="Q36" s="77" t="s"/>
      <c r="R36" s="77" t="s"/>
      <c r="S36" s="77" t="s"/>
      <c r="T36" s="77" t="s"/>
      <c r="U36" s="77" t="s"/>
      <c r="V36" s="77" t="s"/>
      <c r="W36" s="77" t="s"/>
      <c r="X36" s="77" t="s"/>
      <c r="Y36" s="77" t="s"/>
      <c r="Z36" s="77" t="s"/>
      <c r="AA36" s="77" t="s"/>
    </row>
    <row r="37" spans="1:27">
      <c r="A37" s="77" t="s"/>
      <c r="B37" s="77" t="s"/>
      <c r="C37" s="77" t="s"/>
      <c r="D37" s="77" t="s"/>
      <c r="E37" s="77" t="s"/>
      <c r="F37" s="77" t="s"/>
      <c r="G37" s="89" t="s"/>
      <c r="H37" s="89" t="s"/>
      <c r="I37" s="77" t="s"/>
      <c r="J37" s="77" t="s"/>
      <c r="K37" s="77" t="s"/>
      <c r="L37" s="89" t="s"/>
      <c r="M37" s="77" t="s"/>
      <c r="N37" s="77" t="s"/>
      <c r="O37" s="77" t="s"/>
      <c r="P37" s="77" t="s"/>
      <c r="Q37" s="77" t="s"/>
      <c r="R37" s="77" t="s"/>
      <c r="S37" s="77" t="s"/>
      <c r="T37" s="77" t="s"/>
      <c r="U37" s="77" t="s"/>
      <c r="V37" s="77" t="s"/>
      <c r="W37" s="77" t="s"/>
      <c r="X37" s="77" t="s"/>
      <c r="Y37" s="77" t="s"/>
      <c r="Z37" s="77" t="s"/>
      <c r="AA37" s="77" t="s"/>
    </row>
    <row r="38" spans="1:27">
      <c r="A38" s="77" t="s"/>
      <c r="B38" s="77" t="s"/>
      <c r="C38" s="77" t="s"/>
      <c r="D38" s="77" t="s"/>
      <c r="E38" s="77" t="s"/>
      <c r="F38" s="77" t="s"/>
      <c r="G38" s="89" t="s"/>
      <c r="H38" s="89" t="s"/>
      <c r="I38" s="77" t="s"/>
      <c r="J38" s="77" t="s"/>
      <c r="K38" s="77" t="s"/>
      <c r="L38" s="89" t="s"/>
      <c r="M38" s="77" t="s"/>
      <c r="N38" s="77" t="s"/>
      <c r="O38" s="77" t="s"/>
      <c r="P38" s="77" t="s"/>
      <c r="Q38" s="77" t="s"/>
      <c r="R38" s="77" t="s"/>
      <c r="S38" s="77" t="s"/>
      <c r="T38" s="77" t="s"/>
      <c r="U38" s="77" t="s"/>
      <c r="V38" s="77" t="s"/>
      <c r="W38" s="77" t="s"/>
      <c r="X38" s="77" t="s"/>
      <c r="Y38" s="77" t="s"/>
      <c r="Z38" s="77" t="s"/>
      <c r="AA38" s="77" t="s"/>
    </row>
    <row r="39" spans="1:27">
      <c r="A39" s="77" t="s"/>
      <c r="B39" s="77" t="s"/>
      <c r="C39" s="77" t="s"/>
      <c r="D39" s="77" t="s"/>
      <c r="E39" s="77" t="s"/>
      <c r="F39" s="77" t="s"/>
      <c r="G39" s="89" t="s"/>
      <c r="H39" s="89" t="s"/>
      <c r="I39" s="77" t="s"/>
      <c r="J39" s="77" t="s"/>
      <c r="K39" s="77" t="s"/>
      <c r="L39" s="89" t="s"/>
      <c r="M39" s="77" t="s"/>
      <c r="N39" s="77" t="s"/>
      <c r="O39" s="77" t="s"/>
      <c r="P39" s="77" t="s"/>
      <c r="Q39" s="77" t="s"/>
      <c r="R39" s="77" t="s"/>
      <c r="S39" s="77" t="s"/>
      <c r="T39" s="77" t="s"/>
      <c r="U39" s="77" t="s"/>
      <c r="V39" s="77" t="s"/>
      <c r="W39" s="77" t="s"/>
      <c r="X39" s="77" t="s"/>
      <c r="Y39" s="77" t="s"/>
      <c r="Z39" s="77" t="s"/>
      <c r="AA39" s="77" t="s"/>
    </row>
    <row r="40" spans="1:27">
      <c r="A40" s="77" t="s"/>
      <c r="B40" s="77" t="s"/>
      <c r="C40" s="77" t="s"/>
      <c r="D40" s="77" t="s"/>
      <c r="E40" s="77" t="s"/>
      <c r="F40" s="77" t="s"/>
      <c r="G40" s="89" t="s"/>
      <c r="H40" s="89" t="s"/>
      <c r="I40" s="77" t="s"/>
      <c r="J40" s="77" t="s"/>
      <c r="K40" s="77" t="s"/>
      <c r="L40" s="89" t="s"/>
      <c r="M40" s="77" t="s"/>
      <c r="N40" s="77" t="s"/>
      <c r="O40" s="77" t="s"/>
      <c r="P40" s="77" t="s"/>
      <c r="Q40" s="77" t="s"/>
      <c r="R40" s="77" t="s"/>
      <c r="S40" s="77" t="s"/>
      <c r="T40" s="77" t="s"/>
      <c r="U40" s="77" t="s"/>
      <c r="V40" s="77" t="s"/>
      <c r="W40" s="77" t="s"/>
      <c r="X40" s="77" t="s"/>
      <c r="Y40" s="77" t="s"/>
      <c r="Z40" s="77" t="s"/>
      <c r="AA40" s="77" t="s"/>
    </row>
    <row r="41" spans="1:27">
      <c r="A41" s="77" t="s"/>
      <c r="B41" s="77" t="s"/>
      <c r="C41" s="77" t="s"/>
      <c r="D41" s="77" t="s"/>
      <c r="E41" s="77" t="s"/>
      <c r="F41" s="77" t="s"/>
      <c r="G41" s="89" t="s"/>
      <c r="H41" s="89" t="s"/>
      <c r="I41" s="77" t="s"/>
      <c r="J41" s="77" t="s"/>
      <c r="K41" s="77" t="s"/>
      <c r="L41" s="89" t="s"/>
      <c r="M41" s="77" t="s"/>
      <c r="N41" s="77" t="s"/>
      <c r="O41" s="77" t="s"/>
      <c r="P41" s="77" t="s"/>
      <c r="Q41" s="77" t="s"/>
      <c r="R41" s="77" t="s"/>
      <c r="S41" s="77" t="s"/>
      <c r="T41" s="77" t="s"/>
      <c r="U41" s="77" t="s"/>
      <c r="V41" s="77" t="s"/>
      <c r="W41" s="77" t="s"/>
      <c r="X41" s="77" t="s"/>
      <c r="Y41" s="77" t="s"/>
      <c r="Z41" s="77" t="s"/>
      <c r="AA41" s="77" t="s"/>
    </row>
    <row r="42" spans="1:27">
      <c r="A42" s="77" t="s"/>
      <c r="B42" s="77" t="s"/>
      <c r="C42" s="77" t="s"/>
      <c r="D42" s="77" t="s"/>
      <c r="E42" s="77" t="s"/>
      <c r="F42" s="77" t="s"/>
      <c r="G42" s="89" t="s"/>
      <c r="H42" s="89" t="s"/>
      <c r="I42" s="77" t="s"/>
      <c r="J42" s="77" t="s"/>
      <c r="K42" s="77" t="s"/>
      <c r="L42" s="89" t="s"/>
      <c r="M42" s="77" t="s"/>
      <c r="N42" s="77" t="s"/>
      <c r="O42" s="77" t="s"/>
      <c r="P42" s="77" t="s"/>
      <c r="Q42" s="77" t="s"/>
      <c r="R42" s="77" t="s"/>
      <c r="S42" s="77" t="s"/>
      <c r="T42" s="77" t="s"/>
      <c r="U42" s="77" t="s"/>
      <c r="V42" s="77" t="s"/>
      <c r="W42" s="77" t="s"/>
      <c r="X42" s="77" t="s"/>
      <c r="Y42" s="77" t="s"/>
      <c r="Z42" s="77" t="s"/>
      <c r="AA42" s="77" t="s"/>
    </row>
    <row r="43" spans="1:27">
      <c r="A43" s="77" t="s"/>
      <c r="B43" s="77" t="s"/>
      <c r="C43" s="77" t="s"/>
      <c r="D43" s="77" t="s"/>
      <c r="E43" s="77" t="s"/>
      <c r="F43" s="77" t="s"/>
      <c r="G43" s="89" t="s"/>
      <c r="H43" s="89" t="s"/>
      <c r="I43" s="77" t="s"/>
      <c r="J43" s="77" t="s"/>
      <c r="K43" s="77" t="s"/>
      <c r="L43" s="89" t="s"/>
      <c r="M43" s="77" t="s"/>
      <c r="N43" s="77" t="s"/>
      <c r="O43" s="77" t="s"/>
      <c r="P43" s="77" t="s"/>
      <c r="Q43" s="77" t="s"/>
      <c r="R43" s="77" t="s"/>
      <c r="S43" s="77" t="s"/>
      <c r="T43" s="77" t="s"/>
      <c r="U43" s="77" t="s"/>
      <c r="V43" s="77" t="s"/>
      <c r="W43" s="77" t="s"/>
      <c r="X43" s="77" t="s"/>
      <c r="Y43" s="77" t="s"/>
      <c r="Z43" s="77" t="s"/>
      <c r="AA43" s="77" t="s"/>
    </row>
    <row r="44" spans="1:27">
      <c r="A44" s="77" t="s"/>
      <c r="B44" s="77" t="s"/>
      <c r="C44" s="77" t="s"/>
      <c r="D44" s="77" t="s"/>
      <c r="E44" s="77" t="s"/>
      <c r="F44" s="77" t="s"/>
      <c r="G44" s="89" t="s"/>
      <c r="H44" s="89" t="s"/>
      <c r="I44" s="77" t="s"/>
      <c r="J44" s="77" t="s"/>
      <c r="K44" s="77" t="s"/>
      <c r="L44" s="89" t="s"/>
      <c r="M44" s="77" t="s"/>
      <c r="N44" s="77" t="s"/>
      <c r="O44" s="77" t="s"/>
      <c r="P44" s="77" t="s"/>
      <c r="Q44" s="77" t="s"/>
      <c r="R44" s="77" t="s"/>
      <c r="S44" s="77" t="s"/>
      <c r="T44" s="77" t="s"/>
      <c r="U44" s="77" t="s"/>
      <c r="V44" s="77" t="s"/>
      <c r="W44" s="77" t="s"/>
      <c r="X44" s="77" t="s"/>
      <c r="Y44" s="77" t="s"/>
      <c r="Z44" s="77" t="s"/>
      <c r="AA44" s="77" t="s"/>
    </row>
    <row r="45" spans="1:27">
      <c r="A45" s="77" t="s"/>
      <c r="B45" s="77" t="s"/>
      <c r="C45" s="77" t="s"/>
      <c r="D45" s="77" t="s"/>
      <c r="E45" s="77" t="s"/>
      <c r="F45" s="77" t="s"/>
      <c r="G45" s="89" t="s"/>
      <c r="H45" s="89" t="s"/>
      <c r="I45" s="77" t="s"/>
      <c r="J45" s="77" t="s"/>
      <c r="K45" s="77" t="s"/>
      <c r="L45" s="89" t="s"/>
      <c r="M45" s="77" t="s"/>
      <c r="N45" s="77" t="s"/>
      <c r="O45" s="77" t="s"/>
      <c r="P45" s="77" t="s"/>
      <c r="Q45" s="77" t="s"/>
      <c r="R45" s="77" t="s"/>
      <c r="S45" s="77" t="s"/>
      <c r="T45" s="77" t="s"/>
      <c r="U45" s="77" t="s"/>
      <c r="V45" s="77" t="s"/>
      <c r="W45" s="77" t="s"/>
      <c r="X45" s="77" t="s"/>
      <c r="Y45" s="77" t="s"/>
      <c r="Z45" s="77" t="s"/>
      <c r="AA45" s="77" t="s"/>
    </row>
    <row r="46" spans="1:27">
      <c r="A46" s="77" t="s"/>
      <c r="B46" s="77" t="s"/>
      <c r="C46" s="77" t="s"/>
      <c r="D46" s="77" t="s"/>
      <c r="E46" s="77" t="s"/>
      <c r="F46" s="77" t="s"/>
      <c r="G46" s="89" t="s"/>
      <c r="H46" s="89" t="s"/>
      <c r="I46" s="77" t="s"/>
      <c r="J46" s="77" t="s"/>
      <c r="K46" s="77" t="s"/>
      <c r="L46" s="89" t="s"/>
      <c r="M46" s="77" t="s"/>
      <c r="N46" s="77" t="s"/>
      <c r="O46" s="77" t="s"/>
      <c r="P46" s="77" t="s"/>
      <c r="Q46" s="77" t="s"/>
      <c r="R46" s="77" t="s"/>
      <c r="S46" s="77" t="s"/>
      <c r="T46" s="77" t="s"/>
      <c r="U46" s="77" t="s"/>
      <c r="V46" s="77" t="s"/>
      <c r="W46" s="77" t="s"/>
      <c r="X46" s="77" t="s"/>
      <c r="Y46" s="77" t="s"/>
      <c r="Z46" s="77" t="s"/>
      <c r="AA46" s="77" t="s"/>
    </row>
    <row r="47" spans="1:27">
      <c r="A47" s="77" t="s"/>
      <c r="B47" s="77" t="s"/>
      <c r="C47" s="77" t="s"/>
      <c r="D47" s="77" t="s"/>
      <c r="E47" s="77" t="s"/>
      <c r="F47" s="77" t="s"/>
      <c r="G47" s="89" t="s"/>
      <c r="H47" s="89" t="s"/>
      <c r="I47" s="77" t="s"/>
      <c r="J47" s="77" t="s"/>
      <c r="K47" s="77" t="s"/>
      <c r="L47" s="89" t="s"/>
      <c r="M47" s="77" t="s"/>
      <c r="N47" s="77" t="s"/>
      <c r="O47" s="77" t="s"/>
      <c r="P47" s="77" t="s"/>
      <c r="Q47" s="77" t="s"/>
      <c r="R47" s="77" t="s"/>
      <c r="S47" s="77" t="s"/>
      <c r="T47" s="77" t="s"/>
      <c r="U47" s="77" t="s"/>
      <c r="V47" s="77" t="s"/>
      <c r="W47" s="77" t="s"/>
      <c r="X47" s="77" t="s"/>
      <c r="Y47" s="77" t="s"/>
      <c r="Z47" s="77" t="s"/>
      <c r="AA47" s="77" t="s"/>
    </row>
    <row r="48" spans="1:27">
      <c r="A48" s="77" t="s"/>
      <c r="B48" s="77" t="s"/>
      <c r="C48" s="77" t="s"/>
      <c r="D48" s="77" t="s"/>
      <c r="E48" s="77" t="s"/>
      <c r="F48" s="77" t="s"/>
      <c r="G48" s="89" t="s"/>
      <c r="H48" s="89" t="s"/>
      <c r="I48" s="77" t="s"/>
      <c r="J48" s="77" t="s"/>
      <c r="K48" s="77" t="s"/>
      <c r="L48" s="89" t="s"/>
      <c r="M48" s="77" t="s"/>
      <c r="N48" s="77" t="s"/>
      <c r="O48" s="77" t="s"/>
      <c r="P48" s="77" t="s"/>
      <c r="Q48" s="77" t="s"/>
      <c r="R48" s="77" t="s"/>
      <c r="S48" s="77" t="s"/>
      <c r="T48" s="77" t="s"/>
      <c r="U48" s="77" t="s"/>
      <c r="V48" s="77" t="s"/>
      <c r="W48" s="77" t="s"/>
      <c r="X48" s="77" t="s"/>
      <c r="Y48" s="77" t="s"/>
      <c r="Z48" s="77" t="s"/>
      <c r="AA48" s="77" t="s"/>
    </row>
    <row r="49" spans="1:27">
      <c r="A49" s="77" t="s"/>
      <c r="B49" s="77" t="s"/>
      <c r="C49" s="77" t="s"/>
      <c r="D49" s="77" t="s"/>
      <c r="E49" s="77" t="s"/>
      <c r="F49" s="77" t="s"/>
      <c r="G49" s="89" t="s"/>
      <c r="H49" s="89" t="s"/>
      <c r="I49" s="77" t="s"/>
      <c r="J49" s="77" t="s"/>
      <c r="K49" s="77" t="s"/>
      <c r="L49" s="89" t="s"/>
      <c r="M49" s="77" t="s"/>
      <c r="N49" s="77" t="s"/>
      <c r="O49" s="77" t="s"/>
      <c r="P49" s="77" t="s"/>
      <c r="Q49" s="77" t="s"/>
      <c r="R49" s="77" t="s"/>
      <c r="S49" s="77" t="s"/>
      <c r="T49" s="77" t="s"/>
      <c r="U49" s="77" t="s"/>
      <c r="V49" s="77" t="s"/>
      <c r="W49" s="77" t="s"/>
      <c r="X49" s="77" t="s"/>
      <c r="Y49" s="77" t="s"/>
      <c r="Z49" s="77" t="s"/>
      <c r="AA49" s="77" t="s"/>
    </row>
    <row r="50" spans="1:27">
      <c r="A50" s="77" t="s"/>
      <c r="B50" s="77" t="s"/>
      <c r="C50" s="77" t="s"/>
      <c r="D50" s="77" t="s"/>
      <c r="E50" s="77" t="s"/>
      <c r="F50" s="77" t="s"/>
      <c r="G50" s="89" t="s"/>
      <c r="H50" s="89" t="s"/>
      <c r="I50" s="77" t="s"/>
      <c r="J50" s="77" t="s"/>
      <c r="K50" s="77" t="s"/>
      <c r="L50" s="89" t="s"/>
      <c r="M50" s="77" t="s"/>
      <c r="N50" s="77" t="s"/>
      <c r="O50" s="77" t="s"/>
      <c r="P50" s="77" t="s"/>
      <c r="Q50" s="77" t="s"/>
      <c r="R50" s="77" t="s"/>
      <c r="S50" s="77" t="s"/>
      <c r="T50" s="77" t="s"/>
      <c r="U50" s="77" t="s"/>
      <c r="V50" s="77" t="s"/>
      <c r="W50" s="77" t="s"/>
      <c r="X50" s="77" t="s"/>
      <c r="Y50" s="77" t="s"/>
      <c r="Z50" s="77" t="s"/>
      <c r="AA50" s="77" t="s"/>
    </row>
    <row r="51" spans="1:27">
      <c r="A51" s="77" t="s"/>
      <c r="B51" s="77" t="s"/>
      <c r="C51" s="77" t="s"/>
      <c r="D51" s="77" t="s"/>
      <c r="E51" s="77" t="s"/>
      <c r="F51" s="77" t="s"/>
      <c r="G51" s="89" t="s"/>
      <c r="H51" s="89" t="s"/>
      <c r="I51" s="77" t="s"/>
      <c r="J51" s="77" t="s"/>
      <c r="K51" s="77" t="s"/>
      <c r="L51" s="89" t="s"/>
      <c r="M51" s="77" t="s"/>
      <c r="N51" s="77" t="s"/>
      <c r="O51" s="77" t="s"/>
      <c r="P51" s="77" t="s"/>
      <c r="Q51" s="77" t="s"/>
      <c r="R51" s="77" t="s"/>
      <c r="S51" s="77" t="s"/>
      <c r="T51" s="77" t="s"/>
      <c r="U51" s="77" t="s"/>
      <c r="V51" s="77" t="s"/>
      <c r="W51" s="77" t="s"/>
      <c r="X51" s="77" t="s"/>
      <c r="Y51" s="77" t="s"/>
      <c r="Z51" s="77" t="s"/>
      <c r="AA51" s="77" t="s"/>
    </row>
    <row r="52" spans="1:27">
      <c r="A52" s="77" t="s"/>
      <c r="B52" s="77" t="s"/>
      <c r="C52" s="77" t="s"/>
      <c r="D52" s="77" t="s"/>
      <c r="E52" s="77" t="s"/>
      <c r="F52" s="77" t="s"/>
      <c r="G52" s="89" t="s"/>
      <c r="H52" s="89" t="s"/>
      <c r="I52" s="77" t="s"/>
      <c r="J52" s="77" t="s"/>
      <c r="K52" s="77" t="s"/>
      <c r="L52" s="89" t="s"/>
      <c r="M52" s="77" t="s"/>
      <c r="N52" s="77" t="s"/>
      <c r="O52" s="77" t="s"/>
      <c r="P52" s="77" t="s"/>
      <c r="Q52" s="77" t="s"/>
      <c r="R52" s="77" t="s"/>
      <c r="S52" s="77" t="s"/>
      <c r="T52" s="77" t="s"/>
      <c r="U52" s="77" t="s"/>
      <c r="V52" s="77" t="s"/>
      <c r="W52" s="77" t="s"/>
      <c r="X52" s="77" t="s"/>
      <c r="Y52" s="77" t="s"/>
      <c r="Z52" s="77" t="s"/>
      <c r="AA52" s="77" t="s"/>
    </row>
    <row r="53" spans="1:27">
      <c r="A53" s="77" t="s"/>
      <c r="B53" s="77" t="s"/>
      <c r="C53" s="77" t="s"/>
      <c r="D53" s="77" t="s"/>
      <c r="E53" s="77" t="s"/>
      <c r="F53" s="77" t="s"/>
      <c r="G53" s="89" t="s"/>
      <c r="H53" s="89" t="s"/>
      <c r="I53" s="77" t="s"/>
      <c r="J53" s="77" t="s"/>
      <c r="K53" s="77" t="s"/>
      <c r="L53" s="89" t="s"/>
      <c r="M53" s="77" t="s"/>
      <c r="N53" s="77" t="s"/>
      <c r="O53" s="77" t="s"/>
      <c r="P53" s="77" t="s"/>
      <c r="Q53" s="77" t="s"/>
      <c r="R53" s="77" t="s"/>
      <c r="S53" s="77" t="s"/>
      <c r="T53" s="77" t="s"/>
      <c r="U53" s="77" t="s"/>
      <c r="V53" s="77" t="s"/>
      <c r="W53" s="77" t="s"/>
      <c r="X53" s="77" t="s"/>
      <c r="Y53" s="77" t="s"/>
      <c r="Z53" s="77" t="s"/>
      <c r="AA53" s="77" t="s"/>
    </row>
    <row r="54" spans="1:27">
      <c r="A54" s="77" t="s"/>
      <c r="B54" s="77" t="s"/>
      <c r="C54" s="77" t="s"/>
      <c r="D54" s="77" t="s"/>
      <c r="E54" s="77" t="s"/>
      <c r="F54" s="77" t="s"/>
      <c r="G54" s="89" t="s"/>
      <c r="H54" s="89" t="s"/>
      <c r="I54" s="77" t="s"/>
      <c r="J54" s="77" t="s"/>
      <c r="K54" s="77" t="s"/>
      <c r="L54" s="89" t="s"/>
      <c r="M54" s="77" t="s"/>
      <c r="N54" s="77" t="s"/>
      <c r="O54" s="77" t="s"/>
      <c r="P54" s="77" t="s"/>
      <c r="Q54" s="77" t="s"/>
      <c r="R54" s="77" t="s"/>
      <c r="S54" s="77" t="s"/>
      <c r="T54" s="77" t="s"/>
      <c r="U54" s="77" t="s"/>
      <c r="V54" s="77" t="s"/>
      <c r="W54" s="77" t="s"/>
      <c r="X54" s="77" t="s"/>
      <c r="Y54" s="77" t="s"/>
      <c r="Z54" s="77" t="s"/>
      <c r="AA54" s="77" t="s"/>
    </row>
    <row r="55" spans="1:27">
      <c r="A55" s="77" t="s"/>
      <c r="B55" s="77" t="s"/>
      <c r="C55" s="77" t="s"/>
      <c r="D55" s="77" t="s"/>
      <c r="E55" s="77" t="s"/>
      <c r="F55" s="77" t="s"/>
      <c r="G55" s="89" t="s"/>
      <c r="H55" s="89" t="s"/>
      <c r="I55" s="77" t="s"/>
      <c r="J55" s="77" t="s"/>
      <c r="K55" s="77" t="s"/>
      <c r="L55" s="89" t="s"/>
      <c r="M55" s="77" t="s"/>
      <c r="N55" s="77" t="s"/>
      <c r="O55" s="77" t="s"/>
      <c r="P55" s="77" t="s"/>
      <c r="Q55" s="77" t="s"/>
      <c r="R55" s="77" t="s"/>
      <c r="S55" s="77" t="s"/>
      <c r="T55" s="77" t="s"/>
      <c r="U55" s="77" t="s"/>
      <c r="V55" s="77" t="s"/>
      <c r="W55" s="77" t="s"/>
      <c r="X55" s="77" t="s"/>
      <c r="Y55" s="77" t="s"/>
      <c r="Z55" s="77" t="s"/>
      <c r="AA55" s="77" t="s"/>
    </row>
    <row r="56" spans="1:27">
      <c r="A56" s="77" t="s"/>
      <c r="B56" s="77" t="s"/>
      <c r="C56" s="77" t="s"/>
      <c r="D56" s="77" t="s"/>
      <c r="E56" s="77" t="s"/>
      <c r="F56" s="77" t="s"/>
      <c r="G56" s="89" t="s"/>
      <c r="H56" s="89" t="s"/>
      <c r="I56" s="77" t="s"/>
      <c r="J56" s="77" t="s"/>
      <c r="K56" s="77" t="s"/>
      <c r="L56" s="89" t="s"/>
      <c r="M56" s="77" t="s"/>
      <c r="N56" s="77" t="s"/>
      <c r="O56" s="77" t="s"/>
      <c r="P56" s="77" t="s"/>
      <c r="Q56" s="77" t="s"/>
      <c r="R56" s="77" t="s"/>
      <c r="S56" s="77" t="s"/>
      <c r="T56" s="77" t="s"/>
      <c r="U56" s="77" t="s"/>
      <c r="V56" s="77" t="s"/>
      <c r="W56" s="77" t="s"/>
      <c r="X56" s="77" t="s"/>
      <c r="Y56" s="77" t="s"/>
      <c r="Z56" s="77" t="s"/>
      <c r="AA56" s="77" t="s"/>
    </row>
    <row r="57" spans="1:27">
      <c r="A57" s="77" t="s"/>
      <c r="B57" s="77" t="s"/>
      <c r="C57" s="77" t="s"/>
      <c r="D57" s="77" t="s"/>
      <c r="E57" s="77" t="s"/>
      <c r="F57" s="77" t="s"/>
      <c r="G57" s="89" t="s"/>
      <c r="H57" s="89" t="s"/>
      <c r="I57" s="77" t="s"/>
      <c r="J57" s="77" t="s"/>
      <c r="K57" s="77" t="s"/>
      <c r="L57" s="89" t="s"/>
      <c r="M57" s="77" t="s"/>
      <c r="N57" s="77" t="s"/>
      <c r="O57" s="77" t="s"/>
      <c r="P57" s="77" t="s"/>
      <c r="Q57" s="77" t="s"/>
      <c r="R57" s="77" t="s"/>
      <c r="S57" s="77" t="s"/>
      <c r="T57" s="77" t="s"/>
      <c r="U57" s="77" t="s"/>
      <c r="V57" s="77" t="s"/>
      <c r="W57" s="77" t="s"/>
      <c r="X57" s="77" t="s"/>
      <c r="Y57" s="77" t="s"/>
      <c r="Z57" s="77" t="s"/>
      <c r="AA57" s="77" t="s"/>
    </row>
    <row r="58" spans="1:27">
      <c r="A58" s="77" t="s"/>
      <c r="B58" s="77" t="s"/>
      <c r="C58" s="77" t="s"/>
      <c r="D58" s="77" t="s"/>
      <c r="E58" s="77" t="s"/>
      <c r="F58" s="77" t="s"/>
      <c r="G58" s="89" t="s"/>
      <c r="H58" s="89" t="s"/>
      <c r="I58" s="77" t="s"/>
      <c r="J58" s="77" t="s"/>
      <c r="K58" s="77" t="s"/>
      <c r="L58" s="89" t="s"/>
      <c r="M58" s="77" t="s"/>
      <c r="N58" s="77" t="s"/>
      <c r="O58" s="77" t="s"/>
      <c r="P58" s="77" t="s"/>
      <c r="Q58" s="77" t="s"/>
      <c r="R58" s="77" t="s"/>
      <c r="S58" s="77" t="s"/>
      <c r="T58" s="77" t="s"/>
      <c r="U58" s="77" t="s"/>
      <c r="V58" s="77" t="s"/>
      <c r="W58" s="77" t="s"/>
      <c r="X58" s="77" t="s"/>
      <c r="Y58" s="77" t="s"/>
      <c r="Z58" s="77" t="s"/>
      <c r="AA58" s="77" t="s"/>
    </row>
    <row r="59" spans="1:27">
      <c r="A59" s="77" t="s"/>
      <c r="B59" s="77" t="s"/>
      <c r="C59" s="77" t="s"/>
      <c r="D59" s="77" t="s"/>
      <c r="E59" s="77" t="s"/>
      <c r="F59" s="77" t="s"/>
      <c r="G59" s="89" t="s"/>
      <c r="H59" s="89" t="s"/>
      <c r="I59" s="77" t="s"/>
      <c r="J59" s="77" t="s"/>
      <c r="K59" s="77" t="s"/>
      <c r="L59" s="89" t="s"/>
      <c r="M59" s="77" t="s"/>
      <c r="N59" s="77" t="s"/>
      <c r="O59" s="77" t="s"/>
      <c r="P59" s="77" t="s"/>
      <c r="Q59" s="77" t="s"/>
      <c r="R59" s="77" t="s"/>
      <c r="S59" s="77" t="s"/>
      <c r="T59" s="77" t="s"/>
      <c r="U59" s="77" t="s"/>
      <c r="V59" s="77" t="s"/>
      <c r="W59" s="77" t="s"/>
      <c r="X59" s="77" t="s"/>
      <c r="Y59" s="77" t="s"/>
      <c r="Z59" s="77" t="s"/>
      <c r="AA59" s="77" t="s"/>
    </row>
    <row r="60" spans="1:27">
      <c r="A60" s="77" t="s"/>
      <c r="B60" s="77" t="s"/>
      <c r="C60" s="77" t="s"/>
      <c r="D60" s="77" t="s"/>
      <c r="E60" s="77" t="s"/>
      <c r="F60" s="77" t="s"/>
      <c r="G60" s="89" t="s"/>
      <c r="H60" s="89" t="s"/>
      <c r="I60" s="77" t="s"/>
      <c r="J60" s="77" t="s"/>
      <c r="K60" s="77" t="s"/>
      <c r="L60" s="89" t="s"/>
      <c r="M60" s="77" t="s"/>
      <c r="N60" s="77" t="s"/>
      <c r="O60" s="77" t="s"/>
      <c r="P60" s="77" t="s"/>
      <c r="Q60" s="77" t="s"/>
      <c r="R60" s="77" t="s"/>
      <c r="S60" s="77" t="s"/>
      <c r="T60" s="77" t="s"/>
      <c r="U60" s="77" t="s"/>
      <c r="V60" s="77" t="s"/>
      <c r="W60" s="77" t="s"/>
      <c r="X60" s="77" t="s"/>
      <c r="Y60" s="77" t="s"/>
      <c r="Z60" s="77" t="s"/>
      <c r="AA60" s="77" t="s"/>
    </row>
    <row r="61" spans="1:27">
      <c r="A61" s="77" t="s"/>
      <c r="B61" s="77" t="s"/>
      <c r="C61" s="77" t="s"/>
      <c r="D61" s="77" t="s"/>
      <c r="E61" s="77" t="s"/>
      <c r="F61" s="77" t="s"/>
      <c r="G61" s="89" t="s"/>
      <c r="H61" s="89" t="s"/>
      <c r="I61" s="77" t="s"/>
      <c r="J61" s="77" t="s"/>
      <c r="K61" s="77" t="s"/>
      <c r="L61" s="89" t="s"/>
      <c r="M61" s="77" t="s"/>
      <c r="N61" s="77" t="s"/>
      <c r="O61" s="77" t="s"/>
      <c r="P61" s="77" t="s"/>
      <c r="Q61" s="77" t="s"/>
      <c r="R61" s="77" t="s"/>
      <c r="S61" s="77" t="s"/>
      <c r="T61" s="77" t="s"/>
      <c r="U61" s="77" t="s"/>
      <c r="V61" s="77" t="s"/>
      <c r="W61" s="77" t="s"/>
      <c r="X61" s="77" t="s"/>
      <c r="Y61" s="77" t="s"/>
      <c r="Z61" s="77" t="s"/>
      <c r="AA61" s="77" t="s"/>
    </row>
    <row r="62" spans="1:27">
      <c r="A62" s="77" t="s"/>
      <c r="B62" s="77" t="s"/>
      <c r="C62" s="77" t="s"/>
      <c r="D62" s="77" t="s"/>
      <c r="E62" s="77" t="s"/>
      <c r="F62" s="77" t="s"/>
      <c r="G62" s="89" t="s"/>
      <c r="H62" s="89" t="s"/>
      <c r="I62" s="77" t="s"/>
      <c r="J62" s="77" t="s"/>
      <c r="K62" s="77" t="s"/>
      <c r="L62" s="89" t="s"/>
      <c r="M62" s="77" t="s"/>
      <c r="N62" s="77" t="s"/>
      <c r="O62" s="77" t="s"/>
      <c r="P62" s="77" t="s"/>
      <c r="Q62" s="77" t="s"/>
      <c r="R62" s="77" t="s"/>
      <c r="S62" s="77" t="s"/>
      <c r="T62" s="77" t="s"/>
      <c r="U62" s="77" t="s"/>
      <c r="V62" s="77" t="s"/>
      <c r="W62" s="77" t="s"/>
      <c r="X62" s="77" t="s"/>
      <c r="Y62" s="77" t="s"/>
      <c r="Z62" s="77" t="s"/>
      <c r="AA62" s="77" t="s"/>
    </row>
    <row r="63" spans="1:27">
      <c r="A63" s="77" t="s"/>
      <c r="B63" s="77" t="s"/>
      <c r="C63" s="77" t="s"/>
      <c r="D63" s="77" t="s"/>
      <c r="E63" s="77" t="s"/>
      <c r="F63" s="77" t="s"/>
      <c r="G63" s="89" t="s"/>
      <c r="H63" s="89" t="s"/>
      <c r="I63" s="77" t="s"/>
      <c r="J63" s="77" t="s"/>
      <c r="K63" s="77" t="s"/>
      <c r="L63" s="89" t="s"/>
      <c r="M63" s="77" t="s"/>
      <c r="N63" s="77" t="s"/>
      <c r="O63" s="77" t="s"/>
      <c r="P63" s="77" t="s"/>
      <c r="Q63" s="77" t="s"/>
      <c r="R63" s="77" t="s"/>
      <c r="S63" s="77" t="s"/>
      <c r="T63" s="77" t="s"/>
      <c r="U63" s="77" t="s"/>
      <c r="V63" s="77" t="s"/>
      <c r="W63" s="77" t="s"/>
      <c r="X63" s="77" t="s"/>
      <c r="Y63" s="77" t="s"/>
      <c r="Z63" s="77" t="s"/>
      <c r="AA63" s="77" t="s"/>
    </row>
    <row r="64" spans="1:27">
      <c r="A64" s="77" t="s"/>
      <c r="B64" s="77" t="s"/>
      <c r="C64" s="77" t="s"/>
      <c r="D64" s="77" t="s"/>
      <c r="E64" s="77" t="s"/>
      <c r="F64" s="77" t="s"/>
      <c r="G64" s="89" t="s"/>
      <c r="H64" s="89" t="s"/>
      <c r="I64" s="77" t="s"/>
      <c r="J64" s="77" t="s"/>
      <c r="K64" s="77" t="s"/>
      <c r="L64" s="89" t="s"/>
      <c r="M64" s="77" t="s"/>
      <c r="N64" s="77" t="s"/>
      <c r="O64" s="77" t="s"/>
      <c r="P64" s="77" t="s"/>
      <c r="Q64" s="77" t="s"/>
      <c r="R64" s="77" t="s"/>
      <c r="S64" s="77" t="s"/>
      <c r="T64" s="77" t="s"/>
      <c r="U64" s="77" t="s"/>
      <c r="V64" s="77" t="s"/>
      <c r="W64" s="77" t="s"/>
      <c r="X64" s="77" t="s"/>
      <c r="Y64" s="77" t="s"/>
      <c r="Z64" s="77" t="s"/>
      <c r="AA64" s="77" t="s"/>
    </row>
    <row r="65" spans="1:27">
      <c r="A65" s="77" t="s"/>
      <c r="B65" s="77" t="s"/>
      <c r="C65" s="77" t="s"/>
      <c r="D65" s="77" t="s"/>
      <c r="E65" s="77" t="s"/>
      <c r="F65" s="77" t="s"/>
      <c r="G65" s="89" t="s"/>
      <c r="H65" s="89" t="s"/>
      <c r="I65" s="77" t="s"/>
      <c r="J65" s="77" t="s"/>
      <c r="K65" s="77" t="s"/>
      <c r="L65" s="89" t="s"/>
      <c r="M65" s="77" t="s"/>
      <c r="N65" s="77" t="s"/>
      <c r="O65" s="77" t="s"/>
      <c r="P65" s="77" t="s"/>
      <c r="Q65" s="77" t="s"/>
      <c r="R65" s="77" t="s"/>
      <c r="S65" s="77" t="s"/>
      <c r="T65" s="77" t="s"/>
      <c r="U65" s="77" t="s"/>
      <c r="V65" s="77" t="s"/>
      <c r="W65" s="77" t="s"/>
      <c r="X65" s="77" t="s"/>
      <c r="Y65" s="77" t="s"/>
      <c r="Z65" s="77" t="s"/>
      <c r="AA65" s="77" t="s"/>
    </row>
    <row r="66" spans="1:27">
      <c r="A66" s="77" t="s"/>
      <c r="B66" s="77" t="s"/>
      <c r="C66" s="77" t="s"/>
      <c r="D66" s="77" t="s"/>
      <c r="E66" s="77" t="s"/>
      <c r="F66" s="77" t="s"/>
      <c r="G66" s="89" t="s"/>
      <c r="H66" s="89" t="s"/>
      <c r="I66" s="77" t="s"/>
      <c r="J66" s="77" t="s"/>
      <c r="K66" s="77" t="s"/>
      <c r="L66" s="89" t="s"/>
      <c r="M66" s="77" t="s"/>
      <c r="N66" s="77" t="s"/>
      <c r="O66" s="77" t="s"/>
      <c r="P66" s="77" t="s"/>
      <c r="Q66" s="77" t="s"/>
      <c r="R66" s="77" t="s"/>
      <c r="S66" s="77" t="s"/>
      <c r="T66" s="77" t="s"/>
      <c r="U66" s="77" t="s"/>
      <c r="V66" s="77" t="s"/>
      <c r="W66" s="77" t="s"/>
      <c r="X66" s="77" t="s"/>
      <c r="Y66" s="77" t="s"/>
      <c r="Z66" s="77" t="s"/>
      <c r="AA66" s="77" t="s"/>
    </row>
    <row r="67" spans="1:27">
      <c r="A67" s="77" t="s"/>
      <c r="B67" s="77" t="s"/>
      <c r="C67" s="77" t="s"/>
      <c r="D67" s="77" t="s"/>
      <c r="E67" s="77" t="s"/>
      <c r="F67" s="77" t="s"/>
      <c r="G67" s="89" t="s"/>
      <c r="H67" s="89" t="s"/>
      <c r="I67" s="77" t="s"/>
      <c r="J67" s="77" t="s"/>
      <c r="K67" s="77" t="s"/>
      <c r="L67" s="89" t="s"/>
      <c r="M67" s="77" t="s"/>
      <c r="N67" s="77" t="s"/>
      <c r="O67" s="77" t="s"/>
      <c r="P67" s="77" t="s"/>
      <c r="Q67" s="77" t="s"/>
      <c r="R67" s="77" t="s"/>
      <c r="S67" s="77" t="s"/>
      <c r="T67" s="77" t="s"/>
      <c r="U67" s="77" t="s"/>
      <c r="V67" s="77" t="s"/>
      <c r="W67" s="77" t="s"/>
      <c r="X67" s="77" t="s"/>
      <c r="Y67" s="77" t="s"/>
      <c r="Z67" s="77" t="s"/>
      <c r="AA67" s="77" t="s"/>
    </row>
    <row r="68" spans="1:27">
      <c r="A68" s="77" t="s"/>
      <c r="B68" s="77" t="s"/>
      <c r="C68" s="77" t="s"/>
      <c r="D68" s="77" t="s"/>
      <c r="E68" s="77" t="s"/>
      <c r="F68" s="77" t="s"/>
      <c r="G68" s="89" t="s"/>
      <c r="H68" s="89" t="s"/>
      <c r="I68" s="77" t="s"/>
      <c r="J68" s="77" t="s"/>
      <c r="K68" s="77" t="s"/>
      <c r="L68" s="89" t="s"/>
      <c r="M68" s="77" t="s"/>
      <c r="N68" s="77" t="s"/>
      <c r="O68" s="77" t="s"/>
      <c r="P68" s="77" t="s"/>
      <c r="Q68" s="77" t="s"/>
      <c r="R68" s="77" t="s"/>
      <c r="S68" s="77" t="s"/>
      <c r="T68" s="77" t="s"/>
      <c r="U68" s="77" t="s"/>
      <c r="V68" s="77" t="s"/>
      <c r="W68" s="77" t="s"/>
      <c r="X68" s="77" t="s"/>
      <c r="Y68" s="77" t="s"/>
      <c r="Z68" s="77" t="s"/>
      <c r="AA68" s="77" t="s"/>
    </row>
    <row r="69" spans="1:27">
      <c r="A69" s="77" t="s"/>
      <c r="B69" s="77" t="s"/>
      <c r="C69" s="77" t="s"/>
      <c r="D69" s="77" t="s"/>
      <c r="E69" s="77" t="s"/>
      <c r="F69" s="77" t="s"/>
      <c r="G69" s="89" t="s"/>
      <c r="H69" s="89" t="s"/>
      <c r="I69" s="77" t="s"/>
      <c r="J69" s="77" t="s"/>
      <c r="K69" s="77" t="s"/>
      <c r="L69" s="89" t="s"/>
      <c r="M69" s="77" t="s"/>
      <c r="N69" s="77" t="s"/>
      <c r="O69" s="77" t="s"/>
      <c r="P69" s="77" t="s"/>
      <c r="Q69" s="77" t="s"/>
      <c r="R69" s="77" t="s"/>
      <c r="S69" s="77" t="s"/>
      <c r="T69" s="77" t="s"/>
      <c r="U69" s="77" t="s"/>
      <c r="V69" s="77" t="s"/>
      <c r="W69" s="77" t="s"/>
      <c r="X69" s="77" t="s"/>
      <c r="Y69" s="77" t="s"/>
      <c r="Z69" s="77" t="s"/>
      <c r="AA69" s="77" t="s"/>
    </row>
    <row r="70" spans="1:27">
      <c r="A70" s="77" t="s"/>
      <c r="B70" s="77" t="s"/>
      <c r="C70" s="77" t="s"/>
      <c r="D70" s="77" t="s"/>
      <c r="E70" s="77" t="s"/>
      <c r="F70" s="77" t="s"/>
      <c r="G70" s="89" t="s"/>
      <c r="H70" s="89" t="s"/>
      <c r="I70" s="77" t="s"/>
      <c r="J70" s="77" t="s"/>
      <c r="K70" s="77" t="s"/>
      <c r="L70" s="89" t="s"/>
      <c r="M70" s="77" t="s"/>
      <c r="N70" s="77" t="s"/>
      <c r="O70" s="77" t="s"/>
      <c r="P70" s="77" t="s"/>
      <c r="Q70" s="77" t="s"/>
      <c r="R70" s="77" t="s"/>
      <c r="S70" s="77" t="s"/>
      <c r="T70" s="77" t="s"/>
      <c r="U70" s="77" t="s"/>
      <c r="V70" s="77" t="s"/>
      <c r="W70" s="77" t="s"/>
      <c r="X70" s="77" t="s"/>
      <c r="Y70" s="77" t="s"/>
      <c r="Z70" s="77" t="s"/>
      <c r="AA70" s="77" t="s"/>
    </row>
    <row r="71" spans="1:27">
      <c r="A71" s="77" t="s"/>
      <c r="B71" s="77" t="s"/>
      <c r="C71" s="77" t="s"/>
      <c r="D71" s="77" t="s"/>
      <c r="E71" s="77" t="s"/>
      <c r="F71" s="77" t="s"/>
      <c r="G71" s="89" t="s"/>
      <c r="H71" s="89" t="s"/>
      <c r="I71" s="77" t="s"/>
      <c r="J71" s="77" t="s"/>
      <c r="K71" s="77" t="s"/>
      <c r="L71" s="89" t="s"/>
      <c r="M71" s="77" t="s"/>
      <c r="N71" s="77" t="s"/>
      <c r="O71" s="77" t="s"/>
      <c r="P71" s="77" t="s"/>
      <c r="Q71" s="77" t="s"/>
      <c r="R71" s="77" t="s"/>
      <c r="S71" s="77" t="s"/>
      <c r="T71" s="77" t="s"/>
      <c r="U71" s="77" t="s"/>
      <c r="V71" s="77" t="s"/>
      <c r="W71" s="77" t="s"/>
      <c r="X71" s="77" t="s"/>
      <c r="Y71" s="77" t="s"/>
      <c r="Z71" s="77" t="s"/>
      <c r="AA71" s="77" t="s"/>
    </row>
    <row r="72" spans="1:27">
      <c r="A72" s="77" t="s"/>
      <c r="B72" s="77" t="s"/>
      <c r="C72" s="77" t="s"/>
      <c r="D72" s="77" t="s"/>
      <c r="E72" s="77" t="s"/>
      <c r="F72" s="77" t="s"/>
      <c r="G72" s="89" t="s"/>
      <c r="H72" s="89" t="s"/>
      <c r="I72" s="77" t="s"/>
      <c r="J72" s="77" t="s"/>
      <c r="K72" s="77" t="s"/>
      <c r="L72" s="89" t="s"/>
      <c r="M72" s="77" t="s"/>
      <c r="N72" s="77" t="s"/>
      <c r="O72" s="77" t="s"/>
      <c r="P72" s="77" t="s"/>
      <c r="Q72" s="77" t="s"/>
      <c r="R72" s="77" t="s"/>
      <c r="S72" s="77" t="s"/>
      <c r="T72" s="77" t="s"/>
      <c r="U72" s="77" t="s"/>
      <c r="V72" s="77" t="s"/>
      <c r="W72" s="77" t="s"/>
      <c r="X72" s="77" t="s"/>
      <c r="Y72" s="77" t="s"/>
      <c r="Z72" s="77" t="s"/>
      <c r="AA72" s="77" t="s"/>
    </row>
    <row r="73" spans="1:27">
      <c r="A73" s="77" t="s"/>
      <c r="B73" s="77" t="s"/>
      <c r="C73" s="77" t="s"/>
      <c r="D73" s="77" t="s"/>
      <c r="E73" s="77" t="s"/>
      <c r="F73" s="77" t="s"/>
      <c r="G73" s="89" t="s"/>
      <c r="H73" s="89" t="s"/>
      <c r="I73" s="77" t="s"/>
      <c r="J73" s="77" t="s"/>
      <c r="K73" s="77" t="s"/>
      <c r="L73" s="89" t="s"/>
      <c r="M73" s="77" t="s"/>
      <c r="N73" s="77" t="s"/>
      <c r="O73" s="77" t="s"/>
      <c r="P73" s="77" t="s"/>
      <c r="Q73" s="77" t="s"/>
      <c r="R73" s="77" t="s"/>
      <c r="S73" s="77" t="s"/>
      <c r="T73" s="77" t="s"/>
      <c r="U73" s="77" t="s"/>
      <c r="V73" s="77" t="s"/>
      <c r="W73" s="77" t="s"/>
      <c r="X73" s="77" t="s"/>
      <c r="Y73" s="77" t="s"/>
      <c r="Z73" s="77" t="s"/>
      <c r="AA73" s="77" t="s"/>
    </row>
    <row r="74" spans="1:27">
      <c r="A74" s="77" t="s"/>
      <c r="B74" s="77" t="s"/>
      <c r="C74" s="77" t="s"/>
      <c r="D74" s="77" t="s"/>
      <c r="E74" s="77" t="s"/>
      <c r="F74" s="77" t="s"/>
      <c r="G74" s="89" t="s"/>
      <c r="H74" s="89" t="s"/>
      <c r="I74" s="77" t="s"/>
      <c r="J74" s="77" t="s"/>
      <c r="K74" s="77" t="s"/>
      <c r="L74" s="89" t="s"/>
      <c r="M74" s="77" t="s"/>
      <c r="N74" s="77" t="s"/>
      <c r="O74" s="77" t="s"/>
      <c r="P74" s="77" t="s"/>
      <c r="Q74" s="77" t="s"/>
      <c r="R74" s="77" t="s"/>
      <c r="S74" s="77" t="s"/>
      <c r="T74" s="77" t="s"/>
      <c r="U74" s="77" t="s"/>
      <c r="V74" s="77" t="s"/>
      <c r="W74" s="77" t="s"/>
      <c r="X74" s="77" t="s"/>
      <c r="Y74" s="77" t="s"/>
      <c r="Z74" s="77" t="s"/>
      <c r="AA74" s="77" t="s"/>
    </row>
    <row r="75" spans="1:27">
      <c r="A75" s="77" t="s"/>
      <c r="B75" s="77" t="s"/>
      <c r="C75" s="77" t="s"/>
      <c r="D75" s="77" t="s"/>
      <c r="E75" s="77" t="s"/>
      <c r="F75" s="77" t="s"/>
      <c r="G75" s="89" t="s"/>
      <c r="H75" s="89" t="s"/>
      <c r="I75" s="77" t="s"/>
      <c r="J75" s="77" t="s"/>
      <c r="K75" s="77" t="s"/>
      <c r="L75" s="89" t="s"/>
      <c r="M75" s="77" t="s"/>
      <c r="N75" s="77" t="s"/>
      <c r="O75" s="77" t="s"/>
      <c r="P75" s="77" t="s"/>
      <c r="Q75" s="77" t="s"/>
      <c r="R75" s="77" t="s"/>
      <c r="S75" s="77" t="s"/>
      <c r="T75" s="77" t="s"/>
      <c r="U75" s="77" t="s"/>
      <c r="V75" s="77" t="s"/>
      <c r="W75" s="77" t="s"/>
      <c r="X75" s="77" t="s"/>
      <c r="Y75" s="77" t="s"/>
      <c r="Z75" s="77" t="s"/>
      <c r="AA75" s="77" t="s"/>
    </row>
    <row r="76" spans="1:27">
      <c r="A76" s="77" t="s"/>
      <c r="B76" s="77" t="s"/>
      <c r="C76" s="77" t="s"/>
      <c r="D76" s="77" t="s"/>
      <c r="E76" s="77" t="s"/>
      <c r="F76" s="77" t="s"/>
      <c r="G76" s="89" t="s"/>
      <c r="H76" s="89" t="s"/>
      <c r="I76" s="77" t="s"/>
      <c r="J76" s="77" t="s"/>
      <c r="K76" s="77" t="s"/>
      <c r="L76" s="89" t="s"/>
      <c r="M76" s="77" t="s"/>
      <c r="N76" s="77" t="s"/>
      <c r="O76" s="77" t="s"/>
      <c r="P76" s="77" t="s"/>
      <c r="Q76" s="77" t="s"/>
      <c r="R76" s="77" t="s"/>
      <c r="S76" s="77" t="s"/>
      <c r="T76" s="77" t="s"/>
      <c r="U76" s="77" t="s"/>
      <c r="V76" s="77" t="s"/>
      <c r="W76" s="77" t="s"/>
      <c r="X76" s="77" t="s"/>
      <c r="Y76" s="77" t="s"/>
      <c r="Z76" s="77" t="s"/>
      <c r="AA76" s="77" t="s"/>
    </row>
    <row r="77" spans="1:27">
      <c r="A77" s="77" t="s"/>
      <c r="B77" s="77" t="s"/>
      <c r="C77" s="77" t="s"/>
      <c r="D77" s="77" t="s"/>
      <c r="E77" s="77" t="s"/>
      <c r="F77" s="77" t="s"/>
      <c r="G77" s="89" t="s"/>
      <c r="H77" s="89" t="s"/>
      <c r="I77" s="77" t="s"/>
      <c r="J77" s="77" t="s"/>
      <c r="K77" s="77" t="s"/>
      <c r="L77" s="89" t="s"/>
      <c r="M77" s="77" t="s"/>
      <c r="N77" s="77" t="s"/>
      <c r="O77" s="77" t="s"/>
      <c r="P77" s="77" t="s"/>
      <c r="Q77" s="77" t="s"/>
      <c r="R77" s="77" t="s"/>
      <c r="S77" s="77" t="s"/>
      <c r="T77" s="77" t="s"/>
      <c r="U77" s="77" t="s"/>
      <c r="V77" s="77" t="s"/>
      <c r="W77" s="77" t="s"/>
      <c r="X77" s="77" t="s"/>
      <c r="Y77" s="77" t="s"/>
      <c r="Z77" s="77" t="s"/>
      <c r="AA77" s="77" t="s"/>
    </row>
    <row r="78" spans="1:27">
      <c r="A78" s="77" t="s"/>
      <c r="B78" s="77" t="s"/>
      <c r="C78" s="77" t="s"/>
      <c r="D78" s="77" t="s"/>
      <c r="E78" s="77" t="s"/>
      <c r="F78" s="77" t="s"/>
      <c r="G78" s="89" t="s"/>
      <c r="H78" s="89" t="s"/>
      <c r="I78" s="77" t="s"/>
      <c r="J78" s="77" t="s"/>
      <c r="K78" s="77" t="s"/>
      <c r="L78" s="89" t="s"/>
      <c r="M78" s="77" t="s"/>
      <c r="N78" s="77" t="s"/>
      <c r="O78" s="77" t="s"/>
      <c r="P78" s="77" t="s"/>
      <c r="Q78" s="77" t="s"/>
      <c r="R78" s="77" t="s"/>
      <c r="S78" s="77" t="s"/>
      <c r="T78" s="77" t="s"/>
      <c r="U78" s="77" t="s"/>
      <c r="V78" s="77" t="s"/>
      <c r="W78" s="77" t="s"/>
      <c r="X78" s="77" t="s"/>
      <c r="Y78" s="77" t="s"/>
      <c r="Z78" s="77" t="s"/>
      <c r="AA78" s="77" t="s"/>
    </row>
    <row r="79" spans="1:27">
      <c r="A79" s="77" t="s"/>
      <c r="B79" s="77" t="s"/>
      <c r="C79" s="77" t="s"/>
      <c r="D79" s="77" t="s"/>
      <c r="E79" s="77" t="s"/>
      <c r="F79" s="77" t="s"/>
      <c r="G79" s="89" t="s"/>
      <c r="H79" s="89" t="s"/>
      <c r="I79" s="77" t="s"/>
      <c r="J79" s="77" t="s"/>
      <c r="K79" s="77" t="s"/>
      <c r="L79" s="89" t="s"/>
      <c r="M79" s="77" t="s"/>
      <c r="N79" s="77" t="s"/>
      <c r="O79" s="77" t="s"/>
      <c r="P79" s="77" t="s"/>
      <c r="Q79" s="77" t="s"/>
      <c r="R79" s="77" t="s"/>
      <c r="S79" s="77" t="s"/>
      <c r="T79" s="77" t="s"/>
      <c r="U79" s="77" t="s"/>
      <c r="V79" s="77" t="s"/>
      <c r="W79" s="77" t="s"/>
      <c r="X79" s="77" t="s"/>
      <c r="Y79" s="77" t="s"/>
      <c r="Z79" s="77" t="s"/>
      <c r="AA79" s="77" t="s"/>
    </row>
    <row r="80" spans="1:27">
      <c r="A80" s="77" t="s"/>
      <c r="B80" s="77" t="s"/>
      <c r="C80" s="77" t="s"/>
      <c r="D80" s="77" t="s"/>
      <c r="E80" s="77" t="s"/>
      <c r="F80" s="77" t="s"/>
      <c r="G80" s="89" t="s"/>
      <c r="H80" s="89" t="s"/>
      <c r="I80" s="77" t="s"/>
      <c r="J80" s="77" t="s"/>
      <c r="K80" s="77" t="s"/>
      <c r="L80" s="89" t="s"/>
      <c r="M80" s="77" t="s"/>
      <c r="N80" s="77" t="s"/>
      <c r="O80" s="77" t="s"/>
      <c r="P80" s="77" t="s"/>
      <c r="Q80" s="77" t="s"/>
      <c r="R80" s="77" t="s"/>
      <c r="S80" s="77" t="s"/>
      <c r="T80" s="77" t="s"/>
      <c r="U80" s="77" t="s"/>
      <c r="V80" s="77" t="s"/>
      <c r="W80" s="77" t="s"/>
      <c r="X80" s="77" t="s"/>
      <c r="Y80" s="77" t="s"/>
      <c r="Z80" s="77" t="s"/>
      <c r="AA80" s="77" t="s"/>
    </row>
    <row r="81" spans="1:27">
      <c r="A81" s="77" t="s"/>
      <c r="B81" s="77" t="s"/>
      <c r="C81" s="77" t="s"/>
      <c r="D81" s="77" t="s"/>
      <c r="E81" s="77" t="s"/>
      <c r="F81" s="77" t="s"/>
      <c r="G81" s="89" t="s"/>
      <c r="H81" s="89" t="s"/>
      <c r="I81" s="77" t="s"/>
      <c r="J81" s="77" t="s"/>
      <c r="K81" s="77" t="s"/>
      <c r="L81" s="89" t="s"/>
      <c r="M81" s="77" t="s"/>
      <c r="N81" s="77" t="s"/>
      <c r="O81" s="77" t="s"/>
      <c r="P81" s="77" t="s"/>
      <c r="Q81" s="77" t="s"/>
      <c r="R81" s="77" t="s"/>
      <c r="S81" s="77" t="s"/>
      <c r="T81" s="77" t="s"/>
      <c r="U81" s="77" t="s"/>
      <c r="V81" s="77" t="s"/>
      <c r="W81" s="77" t="s"/>
      <c r="X81" s="77" t="s"/>
      <c r="Y81" s="77" t="s"/>
      <c r="Z81" s="77" t="s"/>
      <c r="AA81" s="77" t="s"/>
    </row>
    <row r="82" spans="1:27">
      <c r="A82" s="77" t="s"/>
      <c r="B82" s="77" t="s"/>
      <c r="C82" s="77" t="s"/>
      <c r="D82" s="77" t="s"/>
      <c r="E82" s="77" t="s"/>
      <c r="F82" s="77" t="s"/>
      <c r="G82" s="89" t="s"/>
      <c r="H82" s="89" t="s"/>
      <c r="I82" s="77" t="s"/>
      <c r="J82" s="77" t="s"/>
      <c r="K82" s="77" t="s"/>
      <c r="L82" s="89" t="s"/>
      <c r="M82" s="77" t="s"/>
      <c r="N82" s="77" t="s"/>
      <c r="O82" s="77" t="s"/>
      <c r="P82" s="77" t="s"/>
      <c r="Q82" s="77" t="s"/>
      <c r="R82" s="77" t="s"/>
      <c r="S82" s="77" t="s"/>
      <c r="T82" s="77" t="s"/>
      <c r="U82" s="77" t="s"/>
      <c r="V82" s="77" t="s"/>
      <c r="W82" s="77" t="s"/>
      <c r="X82" s="77" t="s"/>
      <c r="Y82" s="77" t="s"/>
      <c r="Z82" s="77" t="s"/>
      <c r="AA82" s="77" t="s"/>
    </row>
    <row r="83" spans="1:27">
      <c r="A83" s="77" t="s"/>
      <c r="B83" s="77" t="s"/>
      <c r="C83" s="77" t="s"/>
      <c r="D83" s="77" t="s"/>
      <c r="E83" s="77" t="s"/>
      <c r="F83" s="77" t="s"/>
      <c r="G83" s="89" t="s"/>
      <c r="H83" s="89" t="s"/>
      <c r="I83" s="77" t="s"/>
      <c r="J83" s="77" t="s"/>
      <c r="K83" s="77" t="s"/>
      <c r="L83" s="89" t="s"/>
      <c r="M83" s="77" t="s"/>
      <c r="N83" s="77" t="s"/>
      <c r="O83" s="77" t="s"/>
      <c r="P83" s="77" t="s"/>
      <c r="Q83" s="77" t="s"/>
      <c r="R83" s="77" t="s"/>
      <c r="S83" s="77" t="s"/>
      <c r="T83" s="77" t="s"/>
      <c r="U83" s="77" t="s"/>
      <c r="V83" s="77" t="s"/>
      <c r="W83" s="77" t="s"/>
      <c r="X83" s="77" t="s"/>
      <c r="Y83" s="77" t="s"/>
      <c r="Z83" s="77" t="s"/>
      <c r="AA83" s="77" t="s"/>
    </row>
    <row r="84" spans="1:27">
      <c r="A84" s="77" t="s"/>
      <c r="B84" s="77" t="s"/>
      <c r="C84" s="77" t="s"/>
      <c r="D84" s="77" t="s"/>
      <c r="E84" s="77" t="s"/>
      <c r="F84" s="77" t="s"/>
      <c r="G84" s="89" t="s"/>
      <c r="H84" s="89" t="s"/>
      <c r="I84" s="77" t="s"/>
      <c r="J84" s="77" t="s"/>
      <c r="K84" s="77" t="s"/>
      <c r="L84" s="89" t="s"/>
      <c r="M84" s="77" t="s"/>
      <c r="N84" s="77" t="s"/>
      <c r="O84" s="77" t="s"/>
      <c r="P84" s="77" t="s"/>
      <c r="Q84" s="77" t="s"/>
      <c r="R84" s="77" t="s"/>
      <c r="S84" s="77" t="s"/>
      <c r="T84" s="77" t="s"/>
      <c r="U84" s="77" t="s"/>
      <c r="V84" s="77" t="s"/>
      <c r="W84" s="77" t="s"/>
      <c r="X84" s="77" t="s"/>
      <c r="Y84" s="77" t="s"/>
      <c r="Z84" s="77" t="s"/>
      <c r="AA84" s="77" t="s"/>
    </row>
    <row r="85" spans="1:27">
      <c r="A85" s="77" t="s"/>
      <c r="B85" s="77" t="s"/>
      <c r="C85" s="77" t="s"/>
      <c r="D85" s="77" t="s"/>
      <c r="E85" s="77" t="s"/>
      <c r="F85" s="77" t="s"/>
      <c r="G85" s="89" t="s"/>
      <c r="H85" s="89" t="s"/>
      <c r="I85" s="77" t="s"/>
      <c r="J85" s="77" t="s"/>
      <c r="K85" s="77" t="s"/>
      <c r="L85" s="89" t="s"/>
      <c r="M85" s="77" t="s"/>
      <c r="N85" s="77" t="s"/>
      <c r="O85" s="77" t="s"/>
      <c r="P85" s="77" t="s"/>
      <c r="Q85" s="77" t="s"/>
      <c r="R85" s="77" t="s"/>
      <c r="S85" s="77" t="s"/>
      <c r="T85" s="77" t="s"/>
      <c r="U85" s="77" t="s"/>
      <c r="V85" s="77" t="s"/>
      <c r="W85" s="77" t="s"/>
      <c r="X85" s="77" t="s"/>
      <c r="Y85" s="77" t="s"/>
      <c r="Z85" s="77" t="s"/>
      <c r="AA85" s="77" t="s"/>
    </row>
    <row r="86" spans="1:27">
      <c r="A86" s="77" t="s"/>
      <c r="B86" s="77" t="s"/>
      <c r="C86" s="77" t="s"/>
      <c r="D86" s="77" t="s"/>
      <c r="E86" s="77" t="s"/>
      <c r="F86" s="77" t="s"/>
      <c r="G86" s="89" t="s"/>
      <c r="H86" s="89" t="s"/>
      <c r="I86" s="77" t="s"/>
      <c r="J86" s="77" t="s"/>
      <c r="K86" s="77" t="s"/>
      <c r="L86" s="89" t="s"/>
      <c r="M86" s="77" t="s"/>
      <c r="N86" s="77" t="s"/>
      <c r="O86" s="77" t="s"/>
      <c r="P86" s="77" t="s"/>
      <c r="Q86" s="77" t="s"/>
      <c r="R86" s="77" t="s"/>
      <c r="S86" s="77" t="s"/>
      <c r="T86" s="77" t="s"/>
      <c r="U86" s="77" t="s"/>
      <c r="V86" s="77" t="s"/>
      <c r="W86" s="77" t="s"/>
      <c r="X86" s="77" t="s"/>
      <c r="Y86" s="77" t="s"/>
      <c r="Z86" s="77" t="s"/>
      <c r="AA86" s="77" t="s"/>
    </row>
    <row r="87" spans="1:27">
      <c r="A87" s="77" t="s"/>
      <c r="B87" s="77" t="s"/>
      <c r="C87" s="77" t="s"/>
      <c r="D87" s="77" t="s"/>
      <c r="E87" s="77" t="s"/>
      <c r="F87" s="77" t="s"/>
      <c r="G87" s="89" t="s"/>
      <c r="H87" s="89" t="s"/>
      <c r="I87" s="77" t="s"/>
      <c r="J87" s="77" t="s"/>
      <c r="K87" s="77" t="s"/>
      <c r="L87" s="89" t="s"/>
      <c r="M87" s="77" t="s"/>
      <c r="N87" s="77" t="s"/>
      <c r="O87" s="77" t="s"/>
      <c r="P87" s="77" t="s"/>
      <c r="Q87" s="77" t="s"/>
      <c r="R87" s="77" t="s"/>
      <c r="S87" s="77" t="s"/>
      <c r="T87" s="77" t="s"/>
      <c r="U87" s="77" t="s"/>
      <c r="V87" s="77" t="s"/>
      <c r="W87" s="77" t="s"/>
      <c r="X87" s="77" t="s"/>
      <c r="Y87" s="77" t="s"/>
      <c r="Z87" s="77" t="s"/>
      <c r="AA87" s="77" t="s"/>
    </row>
    <row r="88" spans="1:27">
      <c r="A88" s="77" t="s"/>
      <c r="B88" s="77" t="s"/>
      <c r="C88" s="77" t="s"/>
      <c r="D88" s="77" t="s"/>
      <c r="E88" s="77" t="s"/>
      <c r="F88" s="77" t="s"/>
      <c r="G88" s="89" t="s"/>
      <c r="H88" s="89" t="s"/>
      <c r="I88" s="77" t="s"/>
      <c r="J88" s="77" t="s"/>
      <c r="K88" s="77" t="s"/>
      <c r="L88" s="89" t="s"/>
      <c r="M88" s="77" t="s"/>
      <c r="N88" s="77" t="s"/>
      <c r="O88" s="77" t="s"/>
      <c r="P88" s="77" t="s"/>
      <c r="Q88" s="77" t="s"/>
      <c r="R88" s="77" t="s"/>
      <c r="S88" s="77" t="s"/>
      <c r="T88" s="77" t="s"/>
      <c r="U88" s="77" t="s"/>
      <c r="V88" s="77" t="s"/>
      <c r="W88" s="77" t="s"/>
      <c r="X88" s="77" t="s"/>
      <c r="Y88" s="77" t="s"/>
      <c r="Z88" s="77" t="s"/>
      <c r="AA88" s="77" t="s"/>
    </row>
    <row r="89" spans="1:27">
      <c r="A89" s="77" t="s"/>
      <c r="B89" s="77" t="s"/>
      <c r="C89" s="77" t="s"/>
      <c r="D89" s="77" t="s"/>
      <c r="E89" s="77" t="s"/>
      <c r="F89" s="77" t="s"/>
      <c r="G89" s="89" t="s"/>
      <c r="H89" s="89" t="s"/>
      <c r="I89" s="77" t="s"/>
      <c r="J89" s="77" t="s"/>
      <c r="K89" s="77" t="s"/>
      <c r="L89" s="89" t="s"/>
      <c r="M89" s="77" t="s"/>
      <c r="N89" s="77" t="s"/>
      <c r="O89" s="77" t="s"/>
      <c r="P89" s="77" t="s"/>
      <c r="Q89" s="77" t="s"/>
      <c r="R89" s="77" t="s"/>
      <c r="S89" s="77" t="s"/>
      <c r="T89" s="77" t="s"/>
      <c r="U89" s="77" t="s"/>
      <c r="V89" s="77" t="s"/>
      <c r="W89" s="77" t="s"/>
      <c r="X89" s="77" t="s"/>
      <c r="Y89" s="77" t="s"/>
      <c r="Z89" s="77" t="s"/>
      <c r="AA89" s="77" t="s"/>
    </row>
    <row r="90" spans="1:27">
      <c r="A90" s="77" t="s"/>
      <c r="B90" s="77" t="s"/>
      <c r="C90" s="77" t="s"/>
      <c r="D90" s="77" t="s"/>
      <c r="E90" s="77" t="s"/>
      <c r="F90" s="77" t="s"/>
      <c r="G90" s="89" t="s"/>
      <c r="H90" s="89" t="s"/>
      <c r="I90" s="77" t="s"/>
      <c r="J90" s="77" t="s"/>
      <c r="K90" s="77" t="s"/>
      <c r="L90" s="89" t="s"/>
      <c r="M90" s="77" t="s"/>
      <c r="N90" s="77" t="s"/>
      <c r="O90" s="77" t="s"/>
      <c r="P90" s="77" t="s"/>
      <c r="Q90" s="77" t="s"/>
      <c r="R90" s="77" t="s"/>
      <c r="S90" s="77" t="s"/>
      <c r="T90" s="77" t="s"/>
      <c r="U90" s="77" t="s"/>
      <c r="V90" s="77" t="s"/>
      <c r="W90" s="77" t="s"/>
      <c r="X90" s="77" t="s"/>
      <c r="Y90" s="77" t="s"/>
      <c r="Z90" s="77" t="s"/>
      <c r="AA90" s="77" t="s"/>
    </row>
    <row r="91" spans="1:27">
      <c r="A91" s="77" t="s"/>
      <c r="B91" s="77" t="s"/>
      <c r="C91" s="77" t="s"/>
      <c r="D91" s="77" t="s"/>
      <c r="E91" s="77" t="s"/>
      <c r="F91" s="77" t="s"/>
      <c r="G91" s="89" t="s"/>
      <c r="H91" s="89" t="s"/>
      <c r="I91" s="77" t="s"/>
      <c r="J91" s="77" t="s"/>
      <c r="K91" s="77" t="s"/>
      <c r="L91" s="89" t="s"/>
      <c r="M91" s="77" t="s"/>
      <c r="N91" s="77" t="s"/>
      <c r="O91" s="77" t="s"/>
      <c r="P91" s="77" t="s"/>
      <c r="Q91" s="77" t="s"/>
      <c r="R91" s="77" t="s"/>
      <c r="S91" s="77" t="s"/>
      <c r="T91" s="77" t="s"/>
      <c r="U91" s="77" t="s"/>
      <c r="V91" s="77" t="s"/>
      <c r="W91" s="77" t="s"/>
      <c r="X91" s="77" t="s"/>
      <c r="Y91" s="77" t="s"/>
      <c r="Z91" s="77" t="s"/>
      <c r="AA91" s="77" t="s"/>
    </row>
    <row r="92" spans="1:27">
      <c r="A92" s="77" t="s"/>
      <c r="B92" s="77" t="s"/>
      <c r="C92" s="77" t="s"/>
      <c r="D92" s="77" t="s"/>
      <c r="E92" s="77" t="s"/>
      <c r="F92" s="77" t="s"/>
      <c r="G92" s="89" t="s"/>
      <c r="H92" s="89" t="s"/>
      <c r="I92" s="77" t="s"/>
      <c r="J92" s="77" t="s"/>
      <c r="K92" s="77" t="s"/>
      <c r="L92" s="89" t="s"/>
      <c r="M92" s="77" t="s"/>
      <c r="N92" s="77" t="s"/>
      <c r="O92" s="77" t="s"/>
      <c r="P92" s="77" t="s"/>
      <c r="Q92" s="77" t="s"/>
      <c r="R92" s="77" t="s"/>
      <c r="S92" s="77" t="s"/>
      <c r="T92" s="77" t="s"/>
      <c r="U92" s="77" t="s"/>
      <c r="V92" s="77" t="s"/>
      <c r="W92" s="77" t="s"/>
      <c r="X92" s="77" t="s"/>
      <c r="Y92" s="77" t="s"/>
      <c r="Z92" s="77" t="s"/>
      <c r="AA92" s="77" t="s"/>
    </row>
    <row r="93" spans="1:27">
      <c r="A93" s="77" t="s"/>
      <c r="B93" s="77" t="s"/>
      <c r="C93" s="77" t="s"/>
      <c r="D93" s="77" t="s"/>
      <c r="E93" s="77" t="s"/>
      <c r="F93" s="77" t="s"/>
      <c r="G93" s="89" t="s"/>
      <c r="H93" s="89" t="s"/>
      <c r="I93" s="77" t="s"/>
      <c r="J93" s="77" t="s"/>
      <c r="K93" s="77" t="s"/>
      <c r="L93" s="89" t="s"/>
      <c r="M93" s="77" t="s"/>
      <c r="N93" s="77" t="s"/>
      <c r="O93" s="77" t="s"/>
      <c r="P93" s="77" t="s"/>
      <c r="Q93" s="77" t="s"/>
      <c r="R93" s="77" t="s"/>
      <c r="S93" s="77" t="s"/>
      <c r="T93" s="77" t="s"/>
      <c r="U93" s="77" t="s"/>
      <c r="V93" s="77" t="s"/>
      <c r="W93" s="77" t="s"/>
      <c r="X93" s="77" t="s"/>
      <c r="Y93" s="77" t="s"/>
      <c r="Z93" s="77" t="s"/>
      <c r="AA93" s="77" t="s"/>
    </row>
    <row r="94" spans="1:27">
      <c r="A94" s="77" t="s"/>
      <c r="B94" s="77" t="s"/>
      <c r="C94" s="77" t="s"/>
      <c r="D94" s="77" t="s"/>
      <c r="E94" s="77" t="s"/>
      <c r="F94" s="77" t="s"/>
      <c r="G94" s="89" t="s"/>
      <c r="H94" s="89" t="s"/>
      <c r="I94" s="77" t="s"/>
      <c r="J94" s="77" t="s"/>
      <c r="K94" s="77" t="s"/>
      <c r="L94" s="89" t="s"/>
      <c r="M94" s="77" t="s"/>
      <c r="N94" s="77" t="s"/>
      <c r="O94" s="77" t="s"/>
      <c r="P94" s="77" t="s"/>
      <c r="Q94" s="77" t="s"/>
      <c r="R94" s="77" t="s"/>
      <c r="S94" s="77" t="s"/>
      <c r="T94" s="77" t="s"/>
      <c r="U94" s="77" t="s"/>
      <c r="V94" s="77" t="s"/>
      <c r="W94" s="77" t="s"/>
      <c r="X94" s="77" t="s"/>
      <c r="Y94" s="77" t="s"/>
      <c r="Z94" s="77" t="s"/>
      <c r="AA94" s="77" t="s"/>
    </row>
    <row r="95" spans="1:27">
      <c r="A95" s="77" t="s"/>
      <c r="B95" s="77" t="s"/>
      <c r="C95" s="77" t="s"/>
      <c r="D95" s="77" t="s"/>
      <c r="E95" s="77" t="s"/>
      <c r="F95" s="77" t="s"/>
      <c r="G95" s="89" t="s"/>
      <c r="H95" s="89" t="s"/>
      <c r="I95" s="77" t="s"/>
      <c r="J95" s="77" t="s"/>
      <c r="K95" s="77" t="s"/>
      <c r="L95" s="89" t="s"/>
      <c r="M95" s="77" t="s"/>
      <c r="N95" s="77" t="s"/>
      <c r="O95" s="77" t="s"/>
      <c r="P95" s="77" t="s"/>
      <c r="Q95" s="77" t="s"/>
      <c r="R95" s="77" t="s"/>
      <c r="S95" s="77" t="s"/>
      <c r="T95" s="77" t="s"/>
      <c r="U95" s="77" t="s"/>
      <c r="V95" s="77" t="s"/>
      <c r="W95" s="77" t="s"/>
      <c r="X95" s="77" t="s"/>
      <c r="Y95" s="77" t="s"/>
      <c r="Z95" s="77" t="s"/>
      <c r="AA95" s="77" t="s"/>
    </row>
    <row r="96" spans="1:27">
      <c r="A96" s="77" t="s"/>
      <c r="B96" s="77" t="s"/>
      <c r="C96" s="77" t="s"/>
      <c r="D96" s="77" t="s"/>
      <c r="E96" s="77" t="s"/>
      <c r="F96" s="77" t="s"/>
      <c r="G96" s="89" t="s"/>
      <c r="H96" s="89" t="s"/>
      <c r="I96" s="77" t="s"/>
      <c r="J96" s="77" t="s"/>
      <c r="K96" s="77" t="s"/>
      <c r="L96" s="89" t="s"/>
      <c r="M96" s="77" t="s"/>
      <c r="N96" s="77" t="s"/>
      <c r="O96" s="77" t="s"/>
      <c r="P96" s="77" t="s"/>
      <c r="Q96" s="77" t="s"/>
      <c r="R96" s="77" t="s"/>
      <c r="S96" s="77" t="s"/>
      <c r="T96" s="77" t="s"/>
      <c r="U96" s="77" t="s"/>
      <c r="V96" s="77" t="s"/>
      <c r="W96" s="77" t="s"/>
      <c r="X96" s="77" t="s"/>
      <c r="Y96" s="77" t="s"/>
      <c r="Z96" s="77" t="s"/>
      <c r="AA96" s="77" t="s"/>
    </row>
    <row r="97" spans="1:27">
      <c r="A97" s="77" t="s"/>
      <c r="B97" s="77" t="s"/>
      <c r="C97" s="77" t="s"/>
      <c r="D97" s="77" t="s"/>
      <c r="E97" s="77" t="s"/>
      <c r="F97" s="77" t="s"/>
      <c r="G97" s="89" t="s"/>
      <c r="H97" s="89" t="s"/>
      <c r="I97" s="77" t="s"/>
      <c r="J97" s="77" t="s"/>
      <c r="K97" s="77" t="s"/>
      <c r="L97" s="89" t="s"/>
      <c r="M97" s="77" t="s"/>
      <c r="N97" s="77" t="s"/>
      <c r="O97" s="77" t="s"/>
      <c r="P97" s="77" t="s"/>
      <c r="Q97" s="77" t="s"/>
      <c r="R97" s="77" t="s"/>
      <c r="S97" s="77" t="s"/>
      <c r="T97" s="77" t="s"/>
      <c r="U97" s="77" t="s"/>
      <c r="V97" s="77" t="s"/>
      <c r="W97" s="77" t="s"/>
      <c r="X97" s="77" t="s"/>
      <c r="Y97" s="77" t="s"/>
      <c r="Z97" s="77" t="s"/>
      <c r="AA97" s="77" t="s"/>
    </row>
    <row r="98" spans="1:27">
      <c r="A98" s="77" t="s"/>
      <c r="B98" s="77" t="s"/>
      <c r="C98" s="77" t="s"/>
      <c r="D98" s="77" t="s"/>
      <c r="E98" s="77" t="s"/>
      <c r="F98" s="77" t="s"/>
      <c r="G98" s="89" t="s"/>
      <c r="H98" s="89" t="s"/>
      <c r="I98" s="77" t="s"/>
      <c r="J98" s="77" t="s"/>
      <c r="K98" s="77" t="s"/>
      <c r="L98" s="89" t="s"/>
      <c r="M98" s="77" t="s"/>
      <c r="N98" s="77" t="s"/>
      <c r="O98" s="77" t="s"/>
      <c r="P98" s="77" t="s"/>
      <c r="Q98" s="77" t="s"/>
      <c r="R98" s="77" t="s"/>
      <c r="S98" s="77" t="s"/>
      <c r="T98" s="77" t="s"/>
      <c r="U98" s="77" t="s"/>
      <c r="V98" s="77" t="s"/>
      <c r="W98" s="77" t="s"/>
      <c r="X98" s="77" t="s"/>
      <c r="Y98" s="77" t="s"/>
      <c r="Z98" s="77" t="s"/>
      <c r="AA98" s="77" t="s"/>
    </row>
    <row r="99" spans="1:27">
      <c r="A99" s="77" t="s"/>
      <c r="B99" s="77" t="s"/>
      <c r="C99" s="77" t="s"/>
      <c r="D99" s="77" t="s"/>
      <c r="E99" s="77" t="s"/>
      <c r="F99" s="77" t="s"/>
      <c r="G99" s="89" t="s"/>
      <c r="H99" s="89" t="s"/>
      <c r="I99" s="77" t="s"/>
      <c r="J99" s="77" t="s"/>
      <c r="K99" s="77" t="s"/>
      <c r="L99" s="89" t="s"/>
      <c r="M99" s="77" t="s"/>
      <c r="N99" s="77" t="s"/>
      <c r="O99" s="77" t="s"/>
      <c r="P99" s="77" t="s"/>
      <c r="Q99" s="77" t="s"/>
      <c r="R99" s="77" t="s"/>
      <c r="S99" s="77" t="s"/>
      <c r="T99" s="77" t="s"/>
      <c r="U99" s="77" t="s"/>
      <c r="V99" s="77" t="s"/>
      <c r="W99" s="77" t="s"/>
      <c r="X99" s="77" t="s"/>
      <c r="Y99" s="77" t="s"/>
      <c r="Z99" s="77" t="s"/>
      <c r="AA99" s="77" t="s"/>
    </row>
    <row r="100" spans="1:27">
      <c r="A100" s="77" t="s"/>
      <c r="B100" s="77" t="s"/>
      <c r="C100" s="77" t="s"/>
      <c r="D100" s="77" t="s"/>
      <c r="E100" s="77" t="s"/>
      <c r="F100" s="77" t="s"/>
      <c r="G100" s="89" t="s"/>
      <c r="H100" s="89" t="s"/>
      <c r="I100" s="77" t="s"/>
      <c r="J100" s="77" t="s"/>
      <c r="K100" s="77" t="s"/>
      <c r="L100" s="89" t="s"/>
      <c r="M100" s="77" t="s"/>
      <c r="N100" s="77" t="s"/>
      <c r="O100" s="77" t="s"/>
      <c r="P100" s="77" t="s"/>
      <c r="Q100" s="77" t="s"/>
      <c r="R100" s="77" t="s"/>
      <c r="S100" s="77" t="s"/>
      <c r="T100" s="77" t="s"/>
      <c r="U100" s="77" t="s"/>
      <c r="V100" s="77" t="s"/>
      <c r="W100" s="77" t="s"/>
      <c r="X100" s="77" t="s"/>
      <c r="Y100" s="77" t="s"/>
      <c r="Z100" s="77" t="s"/>
      <c r="AA100" s="77" t="s"/>
    </row>
    <row r="101" spans="1:27">
      <c r="A101" s="77" t="s"/>
      <c r="B101" s="77" t="s"/>
      <c r="C101" s="77" t="s"/>
      <c r="D101" s="77" t="s"/>
      <c r="E101" s="77" t="s"/>
      <c r="F101" s="77" t="s"/>
      <c r="G101" s="89" t="s"/>
      <c r="H101" s="89" t="s"/>
      <c r="I101" s="77" t="s"/>
      <c r="J101" s="77" t="s"/>
      <c r="K101" s="77" t="s"/>
      <c r="L101" s="89" t="s"/>
      <c r="M101" s="77" t="s"/>
      <c r="N101" s="77" t="s"/>
      <c r="O101" s="77" t="s"/>
      <c r="P101" s="77" t="s"/>
      <c r="Q101" s="77" t="s"/>
      <c r="R101" s="77" t="s"/>
      <c r="S101" s="77" t="s"/>
      <c r="T101" s="77" t="s"/>
      <c r="U101" s="77" t="s"/>
      <c r="V101" s="77" t="s"/>
      <c r="W101" s="77" t="s"/>
      <c r="X101" s="77" t="s"/>
      <c r="Y101" s="77" t="s"/>
      <c r="Z101" s="77" t="s"/>
      <c r="AA101" s="77" t="s"/>
    </row>
    <row r="102" spans="1:27">
      <c r="A102" s="77" t="s"/>
      <c r="B102" s="77" t="s"/>
      <c r="C102" s="77" t="s"/>
      <c r="D102" s="77" t="s"/>
      <c r="E102" s="77" t="s"/>
      <c r="F102" s="77" t="s"/>
      <c r="G102" s="89" t="s"/>
      <c r="H102" s="89" t="s"/>
      <c r="I102" s="77" t="s"/>
      <c r="J102" s="77" t="s"/>
      <c r="K102" s="77" t="s"/>
      <c r="L102" s="89" t="s"/>
      <c r="M102" s="77" t="s"/>
      <c r="N102" s="77" t="s"/>
      <c r="O102" s="77" t="s"/>
      <c r="P102" s="77" t="s"/>
      <c r="Q102" s="77" t="s"/>
      <c r="R102" s="77" t="s"/>
      <c r="S102" s="77" t="s"/>
      <c r="T102" s="77" t="s"/>
      <c r="U102" s="77" t="s"/>
      <c r="V102" s="77" t="s"/>
      <c r="W102" s="77" t="s"/>
      <c r="X102" s="77" t="s"/>
      <c r="Y102" s="77" t="s"/>
      <c r="Z102" s="77" t="s"/>
      <c r="AA102" s="77" t="s"/>
    </row>
    <row r="103" spans="1:27">
      <c r="A103" s="77" t="s"/>
      <c r="B103" s="77" t="s"/>
      <c r="C103" s="77" t="s"/>
      <c r="D103" s="77" t="s"/>
      <c r="E103" s="77" t="s"/>
      <c r="F103" s="77" t="s"/>
      <c r="G103" s="89" t="s"/>
      <c r="H103" s="89" t="s"/>
      <c r="I103" s="77" t="s"/>
      <c r="J103" s="77" t="s"/>
      <c r="K103" s="77" t="s"/>
      <c r="L103" s="89" t="s"/>
      <c r="M103" s="77" t="s"/>
      <c r="N103" s="77" t="s"/>
      <c r="O103" s="77" t="s"/>
      <c r="P103" s="77" t="s"/>
      <c r="Q103" s="77" t="s"/>
      <c r="R103" s="77" t="s"/>
      <c r="S103" s="77" t="s"/>
      <c r="T103" s="77" t="s"/>
      <c r="U103" s="77" t="s"/>
      <c r="V103" s="77" t="s"/>
      <c r="W103" s="77" t="s"/>
      <c r="X103" s="77" t="s"/>
      <c r="Y103" s="77" t="s"/>
      <c r="Z103" s="77" t="s"/>
      <c r="AA103" s="77" t="s"/>
    </row>
    <row r="104" spans="1:27">
      <c r="A104" s="77" t="s"/>
      <c r="B104" s="77" t="s"/>
      <c r="C104" s="77" t="s"/>
      <c r="D104" s="77" t="s"/>
      <c r="E104" s="77" t="s"/>
      <c r="F104" s="77" t="s"/>
      <c r="G104" s="89" t="s"/>
      <c r="H104" s="89" t="s"/>
      <c r="I104" s="77" t="s"/>
      <c r="J104" s="77" t="s"/>
      <c r="K104" s="77" t="s"/>
      <c r="L104" s="89" t="s"/>
      <c r="M104" s="77" t="s"/>
      <c r="N104" s="77" t="s"/>
      <c r="O104" s="77" t="s"/>
      <c r="P104" s="77" t="s"/>
      <c r="Q104" s="77" t="s"/>
      <c r="R104" s="77" t="s"/>
      <c r="S104" s="77" t="s"/>
      <c r="T104" s="77" t="s"/>
      <c r="U104" s="77" t="s"/>
      <c r="V104" s="77" t="s"/>
      <c r="W104" s="77" t="s"/>
      <c r="X104" s="77" t="s"/>
      <c r="Y104" s="77" t="s"/>
      <c r="Z104" s="77" t="s"/>
      <c r="AA104" s="77" t="s"/>
    </row>
    <row r="105" spans="1:27">
      <c r="A105" s="77" t="s"/>
      <c r="B105" s="77" t="s"/>
      <c r="C105" s="77" t="s"/>
      <c r="D105" s="77" t="s"/>
      <c r="E105" s="77" t="s"/>
      <c r="F105" s="77" t="s"/>
      <c r="G105" s="89" t="s"/>
      <c r="H105" s="89" t="s"/>
      <c r="I105" s="77" t="s"/>
      <c r="J105" s="77" t="s"/>
      <c r="K105" s="77" t="s"/>
      <c r="L105" s="89" t="s"/>
      <c r="M105" s="77" t="s"/>
      <c r="N105" s="77" t="s"/>
      <c r="O105" s="77" t="s"/>
      <c r="P105" s="77" t="s"/>
      <c r="Q105" s="77" t="s"/>
      <c r="R105" s="77" t="s"/>
      <c r="S105" s="77" t="s"/>
      <c r="T105" s="77" t="s"/>
      <c r="U105" s="77" t="s"/>
      <c r="V105" s="77" t="s"/>
      <c r="W105" s="77" t="s"/>
      <c r="X105" s="77" t="s"/>
      <c r="Y105" s="77" t="s"/>
      <c r="Z105" s="77" t="s"/>
      <c r="AA105" s="77" t="s"/>
    </row>
    <row r="106" spans="1:27">
      <c r="A106" s="77" t="s"/>
      <c r="B106" s="77" t="s"/>
      <c r="C106" s="77" t="s"/>
      <c r="D106" s="77" t="s"/>
      <c r="E106" s="77" t="s"/>
      <c r="F106" s="77" t="s"/>
      <c r="G106" s="89" t="s"/>
      <c r="H106" s="89" t="s"/>
      <c r="I106" s="77" t="s"/>
      <c r="J106" s="77" t="s"/>
      <c r="K106" s="77" t="s"/>
      <c r="L106" s="89" t="s"/>
      <c r="M106" s="77" t="s"/>
      <c r="N106" s="77" t="s"/>
      <c r="O106" s="77" t="s"/>
      <c r="P106" s="77" t="s"/>
      <c r="Q106" s="77" t="s"/>
      <c r="R106" s="77" t="s"/>
      <c r="S106" s="77" t="s"/>
      <c r="T106" s="77" t="s"/>
      <c r="U106" s="77" t="s"/>
      <c r="V106" s="77" t="s"/>
      <c r="W106" s="77" t="s"/>
      <c r="X106" s="77" t="s"/>
      <c r="Y106" s="77" t="s"/>
      <c r="Z106" s="77" t="s"/>
      <c r="AA106" s="77" t="s"/>
    </row>
    <row r="107" spans="1:27">
      <c r="A107" s="77" t="s"/>
      <c r="B107" s="77" t="s"/>
      <c r="C107" s="77" t="s"/>
      <c r="D107" s="77" t="s"/>
      <c r="E107" s="77" t="s"/>
      <c r="F107" s="77" t="s"/>
      <c r="G107" s="89" t="s"/>
      <c r="H107" s="89" t="s"/>
      <c r="I107" s="77" t="s"/>
      <c r="J107" s="77" t="s"/>
      <c r="K107" s="77" t="s"/>
      <c r="L107" s="89" t="s"/>
      <c r="M107" s="77" t="s"/>
      <c r="N107" s="77" t="s"/>
      <c r="O107" s="77" t="s"/>
      <c r="P107" s="77" t="s"/>
      <c r="Q107" s="77" t="s"/>
      <c r="R107" s="77" t="s"/>
      <c r="S107" s="77" t="s"/>
      <c r="T107" s="77" t="s"/>
      <c r="U107" s="77" t="s"/>
      <c r="V107" s="77" t="s"/>
      <c r="W107" s="77" t="s"/>
      <c r="X107" s="77" t="s"/>
      <c r="Y107" s="77" t="s"/>
      <c r="Z107" s="77" t="s"/>
      <c r="AA107" s="77" t="s"/>
    </row>
    <row r="108" spans="1:27">
      <c r="A108" s="77" t="s"/>
      <c r="B108" s="77" t="s"/>
      <c r="C108" s="77" t="s"/>
      <c r="D108" s="77" t="s"/>
      <c r="E108" s="77" t="s"/>
      <c r="F108" s="77" t="s"/>
      <c r="G108" s="89" t="s"/>
      <c r="H108" s="89" t="s"/>
      <c r="I108" s="77" t="s"/>
      <c r="J108" s="77" t="s"/>
      <c r="K108" s="77" t="s"/>
      <c r="L108" s="89" t="s"/>
      <c r="M108" s="77" t="s"/>
      <c r="N108" s="77" t="s"/>
      <c r="O108" s="77" t="s"/>
      <c r="P108" s="77" t="s"/>
      <c r="Q108" s="77" t="s"/>
      <c r="R108" s="77" t="s"/>
      <c r="S108" s="77" t="s"/>
      <c r="T108" s="77" t="s"/>
      <c r="U108" s="77" t="s"/>
      <c r="V108" s="77" t="s"/>
      <c r="W108" s="77" t="s"/>
      <c r="X108" s="77" t="s"/>
      <c r="Y108" s="77" t="s"/>
      <c r="Z108" s="77" t="s"/>
      <c r="AA108" s="77" t="s"/>
    </row>
    <row r="109" spans="1:27">
      <c r="A109" s="77" t="s"/>
      <c r="B109" s="77" t="s"/>
      <c r="C109" s="77" t="s"/>
      <c r="D109" s="77" t="s"/>
      <c r="E109" s="77" t="s"/>
      <c r="F109" s="77" t="s"/>
      <c r="G109" s="89" t="s"/>
      <c r="H109" s="89" t="s"/>
      <c r="I109" s="77" t="s"/>
      <c r="J109" s="77" t="s"/>
      <c r="K109" s="77" t="s"/>
      <c r="L109" s="89" t="s"/>
      <c r="M109" s="77" t="s"/>
      <c r="N109" s="77" t="s"/>
      <c r="O109" s="77" t="s"/>
      <c r="P109" s="77" t="s"/>
      <c r="Q109" s="77" t="s"/>
      <c r="R109" s="77" t="s"/>
      <c r="S109" s="77" t="s"/>
      <c r="T109" s="77" t="s"/>
      <c r="U109" s="77" t="s"/>
      <c r="V109" s="77" t="s"/>
      <c r="W109" s="77" t="s"/>
      <c r="X109" s="77" t="s"/>
      <c r="Y109" s="77" t="s"/>
      <c r="Z109" s="77" t="s"/>
      <c r="AA109" s="77" t="s"/>
    </row>
    <row r="110" spans="1:27">
      <c r="A110" s="77" t="s"/>
      <c r="B110" s="77" t="s"/>
      <c r="C110" s="77" t="s"/>
      <c r="D110" s="77" t="s"/>
      <c r="E110" s="77" t="s"/>
      <c r="F110" s="77" t="s"/>
      <c r="G110" s="89" t="s"/>
      <c r="H110" s="89" t="s"/>
      <c r="I110" s="77" t="s"/>
      <c r="J110" s="77" t="s"/>
      <c r="K110" s="77" t="s"/>
      <c r="L110" s="89" t="s"/>
      <c r="M110" s="77" t="s"/>
      <c r="N110" s="77" t="s"/>
      <c r="O110" s="77" t="s"/>
      <c r="P110" s="77" t="s"/>
      <c r="Q110" s="77" t="s"/>
      <c r="R110" s="77" t="s"/>
      <c r="S110" s="77" t="s"/>
      <c r="T110" s="77" t="s"/>
      <c r="U110" s="77" t="s"/>
      <c r="V110" s="77" t="s"/>
      <c r="W110" s="77" t="s"/>
      <c r="X110" s="77" t="s"/>
      <c r="Y110" s="77" t="s"/>
      <c r="Z110" s="77" t="s"/>
      <c r="AA110" s="77" t="s"/>
    </row>
    <row r="111" spans="1:27">
      <c r="A111" s="77" t="s"/>
      <c r="B111" s="77" t="s"/>
      <c r="C111" s="77" t="s"/>
      <c r="D111" s="77" t="s"/>
      <c r="E111" s="77" t="s"/>
      <c r="F111" s="77" t="s"/>
      <c r="G111" s="89" t="s"/>
      <c r="H111" s="89" t="s"/>
      <c r="I111" s="77" t="s"/>
      <c r="J111" s="77" t="s"/>
      <c r="K111" s="77" t="s"/>
      <c r="L111" s="89" t="s"/>
      <c r="M111" s="77" t="s"/>
      <c r="N111" s="77" t="s"/>
      <c r="O111" s="77" t="s"/>
      <c r="P111" s="77" t="s"/>
      <c r="Q111" s="77" t="s"/>
      <c r="R111" s="77" t="s"/>
      <c r="S111" s="77" t="s"/>
      <c r="T111" s="77" t="s"/>
      <c r="U111" s="77" t="s"/>
      <c r="V111" s="77" t="s"/>
      <c r="W111" s="77" t="s"/>
      <c r="X111" s="77" t="s"/>
      <c r="Y111" s="77" t="s"/>
      <c r="Z111" s="77" t="s"/>
      <c r="AA111" s="77" t="s"/>
    </row>
    <row r="112" spans="1:27">
      <c r="A112" s="77" t="s"/>
      <c r="B112" s="77" t="s"/>
      <c r="C112" s="77" t="s"/>
      <c r="D112" s="77" t="s"/>
      <c r="E112" s="77" t="s"/>
      <c r="F112" s="77" t="s"/>
      <c r="G112" s="89" t="s"/>
      <c r="H112" s="89" t="s"/>
      <c r="I112" s="77" t="s"/>
      <c r="J112" s="77" t="s"/>
      <c r="K112" s="77" t="s"/>
      <c r="L112" s="89" t="s"/>
      <c r="M112" s="77" t="s"/>
      <c r="N112" s="77" t="s"/>
      <c r="O112" s="77" t="s"/>
      <c r="P112" s="77" t="s"/>
      <c r="Q112" s="77" t="s"/>
      <c r="R112" s="77" t="s"/>
      <c r="S112" s="77" t="s"/>
      <c r="T112" s="77" t="s"/>
      <c r="U112" s="77" t="s"/>
      <c r="V112" s="77" t="s"/>
      <c r="W112" s="77" t="s"/>
      <c r="X112" s="77" t="s"/>
      <c r="Y112" s="77" t="s"/>
      <c r="Z112" s="77" t="s"/>
      <c r="AA112" s="77" t="s"/>
    </row>
    <row r="113" spans="1:27">
      <c r="A113" s="77" t="s"/>
      <c r="B113" s="77" t="s"/>
      <c r="C113" s="77" t="s"/>
      <c r="D113" s="77" t="s"/>
      <c r="E113" s="77" t="s"/>
      <c r="F113" s="77" t="s"/>
      <c r="G113" s="89" t="s"/>
      <c r="H113" s="89" t="s"/>
      <c r="I113" s="77" t="s"/>
      <c r="J113" s="77" t="s"/>
      <c r="K113" s="77" t="s"/>
      <c r="L113" s="89" t="s"/>
      <c r="M113" s="77" t="s"/>
      <c r="N113" s="77" t="s"/>
      <c r="O113" s="77" t="s"/>
      <c r="P113" s="77" t="s"/>
      <c r="Q113" s="77" t="s"/>
      <c r="R113" s="77" t="s"/>
      <c r="S113" s="77" t="s"/>
      <c r="T113" s="77" t="s"/>
      <c r="U113" s="77" t="s"/>
      <c r="V113" s="77" t="s"/>
      <c r="W113" s="77" t="s"/>
      <c r="X113" s="77" t="s"/>
      <c r="Y113" s="77" t="s"/>
      <c r="Z113" s="77" t="s"/>
      <c r="AA113" s="77" t="s"/>
    </row>
    <row r="114" spans="1:27">
      <c r="A114" s="77" t="s"/>
      <c r="B114" s="77" t="s"/>
      <c r="C114" s="77" t="s"/>
      <c r="D114" s="77" t="s"/>
      <c r="E114" s="77" t="s"/>
      <c r="F114" s="77" t="s"/>
      <c r="G114" s="89" t="s"/>
      <c r="H114" s="89" t="s"/>
      <c r="I114" s="77" t="s"/>
      <c r="J114" s="77" t="s"/>
      <c r="K114" s="77" t="s"/>
      <c r="L114" s="89" t="s"/>
      <c r="M114" s="77" t="s"/>
      <c r="N114" s="77" t="s"/>
      <c r="O114" s="77" t="s"/>
      <c r="P114" s="77" t="s"/>
      <c r="Q114" s="77" t="s"/>
      <c r="R114" s="77" t="s"/>
      <c r="S114" s="77" t="s"/>
      <c r="T114" s="77" t="s"/>
      <c r="U114" s="77" t="s"/>
      <c r="V114" s="77" t="s"/>
      <c r="W114" s="77" t="s"/>
      <c r="X114" s="77" t="s"/>
      <c r="Y114" s="77" t="s"/>
      <c r="Z114" s="77" t="s"/>
      <c r="AA114" s="77" t="s"/>
    </row>
    <row r="115" spans="1:27">
      <c r="A115" s="77" t="s"/>
      <c r="B115" s="77" t="s"/>
      <c r="C115" s="77" t="s"/>
      <c r="D115" s="77" t="s"/>
      <c r="E115" s="77" t="s"/>
      <c r="F115" s="77" t="s"/>
      <c r="G115" s="89" t="s"/>
      <c r="H115" s="89" t="s"/>
      <c r="I115" s="77" t="s"/>
      <c r="J115" s="77" t="s"/>
      <c r="K115" s="77" t="s"/>
      <c r="L115" s="89" t="s"/>
      <c r="M115" s="77" t="s"/>
      <c r="N115" s="77" t="s"/>
      <c r="O115" s="77" t="s"/>
      <c r="P115" s="77" t="s"/>
      <c r="Q115" s="77" t="s"/>
      <c r="R115" s="77" t="s"/>
      <c r="S115" s="77" t="s"/>
      <c r="T115" s="77" t="s"/>
      <c r="U115" s="77" t="s"/>
      <c r="V115" s="77" t="s"/>
      <c r="W115" s="77" t="s"/>
      <c r="X115" s="77" t="s"/>
      <c r="Y115" s="77" t="s"/>
      <c r="Z115" s="77" t="s"/>
      <c r="AA115" s="77" t="s"/>
    </row>
    <row r="116" spans="1:27">
      <c r="A116" s="77" t="s"/>
      <c r="B116" s="77" t="s"/>
      <c r="C116" s="77" t="s"/>
      <c r="D116" s="77" t="s"/>
      <c r="E116" s="77" t="s"/>
      <c r="F116" s="77" t="s"/>
      <c r="G116" s="89" t="s"/>
      <c r="H116" s="89" t="s"/>
      <c r="I116" s="77" t="s"/>
      <c r="J116" s="77" t="s"/>
      <c r="K116" s="77" t="s"/>
      <c r="L116" s="89" t="s"/>
      <c r="M116" s="77" t="s"/>
      <c r="N116" s="77" t="s"/>
      <c r="O116" s="77" t="s"/>
      <c r="P116" s="77" t="s"/>
      <c r="Q116" s="77" t="s"/>
      <c r="R116" s="77" t="s"/>
      <c r="S116" s="77" t="s"/>
      <c r="T116" s="77" t="s"/>
      <c r="U116" s="77" t="s"/>
      <c r="V116" s="77" t="s"/>
      <c r="W116" s="77" t="s"/>
      <c r="X116" s="77" t="s"/>
      <c r="Y116" s="77" t="s"/>
      <c r="Z116" s="77" t="s"/>
      <c r="AA116" s="77" t="s"/>
    </row>
    <row r="117" spans="1:27">
      <c r="A117" s="77" t="s"/>
      <c r="B117" s="77" t="s"/>
      <c r="C117" s="77" t="s"/>
      <c r="D117" s="77" t="s"/>
      <c r="E117" s="77" t="s"/>
      <c r="F117" s="77" t="s"/>
      <c r="G117" s="89" t="s"/>
      <c r="H117" s="89" t="s"/>
      <c r="I117" s="77" t="s"/>
      <c r="J117" s="77" t="s"/>
      <c r="K117" s="77" t="s"/>
      <c r="L117" s="89" t="s"/>
      <c r="M117" s="77" t="s"/>
      <c r="N117" s="77" t="s"/>
      <c r="O117" s="77" t="s"/>
      <c r="P117" s="77" t="s"/>
      <c r="Q117" s="77" t="s"/>
      <c r="R117" s="77" t="s"/>
      <c r="S117" s="77" t="s"/>
      <c r="T117" s="77" t="s"/>
      <c r="U117" s="77" t="s"/>
      <c r="V117" s="77" t="s"/>
      <c r="W117" s="77" t="s"/>
      <c r="X117" s="77" t="s"/>
      <c r="Y117" s="77" t="s"/>
      <c r="Z117" s="77" t="s"/>
      <c r="AA117" s="77" t="s"/>
    </row>
    <row r="118" spans="1:27">
      <c r="A118" s="77" t="s"/>
      <c r="B118" s="77" t="s"/>
      <c r="C118" s="77" t="s"/>
      <c r="D118" s="77" t="s"/>
      <c r="E118" s="77" t="s"/>
      <c r="F118" s="77" t="s"/>
      <c r="G118" s="89" t="s"/>
      <c r="H118" s="89" t="s"/>
      <c r="I118" s="77" t="s"/>
      <c r="J118" s="77" t="s"/>
      <c r="K118" s="77" t="s"/>
      <c r="L118" s="89" t="s"/>
      <c r="M118" s="77" t="s"/>
      <c r="N118" s="77" t="s"/>
      <c r="O118" s="77" t="s"/>
      <c r="P118" s="77" t="s"/>
      <c r="Q118" s="77" t="s"/>
      <c r="R118" s="77" t="s"/>
      <c r="S118" s="77" t="s"/>
      <c r="T118" s="77" t="s"/>
      <c r="U118" s="77" t="s"/>
      <c r="V118" s="77" t="s"/>
      <c r="W118" s="77" t="s"/>
      <c r="X118" s="77" t="s"/>
      <c r="Y118" s="77" t="s"/>
      <c r="Z118" s="77" t="s"/>
      <c r="AA118" s="77" t="s"/>
    </row>
    <row r="119" spans="1:27">
      <c r="A119" s="77" t="s"/>
      <c r="B119" s="77" t="s"/>
      <c r="C119" s="77" t="s"/>
      <c r="D119" s="77" t="s"/>
      <c r="E119" s="77" t="s"/>
      <c r="F119" s="77" t="s"/>
      <c r="G119" s="89" t="s"/>
      <c r="H119" s="89" t="s"/>
      <c r="I119" s="77" t="s"/>
      <c r="J119" s="77" t="s"/>
      <c r="K119" s="77" t="s"/>
      <c r="L119" s="89" t="s"/>
      <c r="M119" s="77" t="s"/>
      <c r="N119" s="77" t="s"/>
      <c r="O119" s="77" t="s"/>
      <c r="P119" s="77" t="s"/>
      <c r="Q119" s="77" t="s"/>
      <c r="R119" s="77" t="s"/>
      <c r="S119" s="77" t="s"/>
      <c r="T119" s="77" t="s"/>
      <c r="U119" s="77" t="s"/>
      <c r="V119" s="77" t="s"/>
      <c r="W119" s="77" t="s"/>
      <c r="X119" s="77" t="s"/>
      <c r="Y119" s="77" t="s"/>
      <c r="Z119" s="77" t="s"/>
      <c r="AA119" s="77" t="s"/>
    </row>
    <row r="120" spans="1:27">
      <c r="A120" s="77" t="s"/>
      <c r="B120" s="77" t="s"/>
      <c r="C120" s="77" t="s"/>
      <c r="D120" s="77" t="s"/>
      <c r="E120" s="77" t="s"/>
      <c r="F120" s="77" t="s"/>
      <c r="G120" s="89" t="s"/>
      <c r="H120" s="89" t="s"/>
      <c r="I120" s="77" t="s"/>
      <c r="J120" s="77" t="s"/>
      <c r="K120" s="77" t="s"/>
      <c r="L120" s="89" t="s"/>
      <c r="M120" s="77" t="s"/>
      <c r="N120" s="77" t="s"/>
      <c r="O120" s="77" t="s"/>
      <c r="P120" s="77" t="s"/>
      <c r="Q120" s="77" t="s"/>
      <c r="R120" s="77" t="s"/>
      <c r="S120" s="77" t="s"/>
      <c r="T120" s="77" t="s"/>
      <c r="U120" s="77" t="s"/>
      <c r="V120" s="77" t="s"/>
      <c r="W120" s="77" t="s"/>
      <c r="X120" s="77" t="s"/>
      <c r="Y120" s="77" t="s"/>
      <c r="Z120" s="77" t="s"/>
      <c r="AA120" s="77" t="s"/>
    </row>
    <row r="121" spans="1:27">
      <c r="A121" s="77" t="s"/>
      <c r="B121" s="77" t="s"/>
      <c r="C121" s="77" t="s"/>
      <c r="D121" s="77" t="s"/>
      <c r="E121" s="77" t="s"/>
      <c r="F121" s="77" t="s"/>
      <c r="G121" s="89" t="s"/>
      <c r="H121" s="89" t="s"/>
      <c r="I121" s="77" t="s"/>
      <c r="J121" s="77" t="s"/>
      <c r="K121" s="77" t="s"/>
      <c r="L121" s="89" t="s"/>
      <c r="M121" s="77" t="s"/>
      <c r="N121" s="77" t="s"/>
      <c r="O121" s="77" t="s"/>
      <c r="P121" s="77" t="s"/>
      <c r="Q121" s="77" t="s"/>
      <c r="R121" s="77" t="s"/>
      <c r="S121" s="77" t="s"/>
      <c r="T121" s="77" t="s"/>
      <c r="U121" s="77" t="s"/>
      <c r="V121" s="77" t="s"/>
      <c r="W121" s="77" t="s"/>
      <c r="X121" s="77" t="s"/>
      <c r="Y121" s="77" t="s"/>
      <c r="Z121" s="77" t="s"/>
      <c r="AA121" s="77" t="s"/>
    </row>
    <row r="122" spans="1:27">
      <c r="A122" s="77" t="s"/>
      <c r="B122" s="77" t="s"/>
      <c r="C122" s="77" t="s"/>
      <c r="D122" s="77" t="s"/>
      <c r="E122" s="77" t="s"/>
      <c r="F122" s="77" t="s"/>
      <c r="G122" s="89" t="s"/>
      <c r="H122" s="89" t="s"/>
      <c r="I122" s="77" t="s"/>
      <c r="J122" s="77" t="s"/>
      <c r="K122" s="77" t="s"/>
      <c r="L122" s="89" t="s"/>
      <c r="M122" s="77" t="s"/>
      <c r="N122" s="77" t="s"/>
      <c r="O122" s="77" t="s"/>
      <c r="P122" s="77" t="s"/>
      <c r="Q122" s="77" t="s"/>
      <c r="R122" s="77" t="s"/>
      <c r="S122" s="77" t="s"/>
      <c r="T122" s="77" t="s"/>
      <c r="U122" s="77" t="s"/>
      <c r="V122" s="77" t="s"/>
      <c r="W122" s="77" t="s"/>
      <c r="X122" s="77" t="s"/>
      <c r="Y122" s="77" t="s"/>
      <c r="Z122" s="77" t="s"/>
      <c r="AA122" s="77" t="s"/>
    </row>
    <row r="123" spans="1:27">
      <c r="A123" s="77" t="s"/>
      <c r="B123" s="77" t="s"/>
      <c r="C123" s="77" t="s"/>
      <c r="D123" s="77" t="s"/>
      <c r="E123" s="77" t="s"/>
      <c r="F123" s="77" t="s"/>
      <c r="G123" s="89" t="s"/>
      <c r="H123" s="89" t="s"/>
      <c r="I123" s="77" t="s"/>
      <c r="J123" s="77" t="s"/>
      <c r="K123" s="77" t="s"/>
      <c r="L123" s="89" t="s"/>
      <c r="M123" s="77" t="s"/>
      <c r="N123" s="77" t="s"/>
      <c r="O123" s="77" t="s"/>
      <c r="P123" s="77" t="s"/>
      <c r="Q123" s="77" t="s"/>
      <c r="R123" s="77" t="s"/>
      <c r="S123" s="77" t="s"/>
      <c r="T123" s="77" t="s"/>
      <c r="U123" s="77" t="s"/>
      <c r="V123" s="77" t="s"/>
      <c r="W123" s="77" t="s"/>
      <c r="X123" s="77" t="s"/>
      <c r="Y123" s="77" t="s"/>
      <c r="Z123" s="77" t="s"/>
      <c r="AA123" s="77" t="s"/>
    </row>
    <row r="124" spans="1:27">
      <c r="A124" s="77" t="s"/>
      <c r="B124" s="77" t="s"/>
      <c r="C124" s="77" t="s"/>
      <c r="D124" s="77" t="s"/>
      <c r="E124" s="77" t="s"/>
      <c r="F124" s="77" t="s"/>
      <c r="G124" s="89" t="s"/>
      <c r="H124" s="89" t="s"/>
      <c r="I124" s="77" t="s"/>
      <c r="J124" s="77" t="s"/>
      <c r="K124" s="77" t="s"/>
      <c r="L124" s="89" t="s"/>
      <c r="M124" s="77" t="s"/>
      <c r="N124" s="77" t="s"/>
      <c r="O124" s="77" t="s"/>
      <c r="P124" s="77" t="s"/>
      <c r="Q124" s="77" t="s"/>
      <c r="R124" s="77" t="s"/>
      <c r="S124" s="77" t="s"/>
      <c r="T124" s="77" t="s"/>
      <c r="U124" s="77" t="s"/>
      <c r="V124" s="77" t="s"/>
      <c r="W124" s="77" t="s"/>
      <c r="X124" s="77" t="s"/>
      <c r="Y124" s="77" t="s"/>
      <c r="Z124" s="77" t="s"/>
      <c r="AA124" s="77" t="s"/>
    </row>
    <row r="125" spans="1:27">
      <c r="A125" s="77" t="s"/>
      <c r="B125" s="77" t="s"/>
      <c r="C125" s="77" t="s"/>
      <c r="D125" s="77" t="s"/>
      <c r="E125" s="77" t="s"/>
      <c r="F125" s="77" t="s"/>
      <c r="G125" s="89" t="s"/>
      <c r="H125" s="89" t="s"/>
      <c r="I125" s="77" t="s"/>
      <c r="J125" s="77" t="s"/>
      <c r="K125" s="77" t="s"/>
      <c r="L125" s="89" t="s"/>
      <c r="M125" s="77" t="s"/>
      <c r="N125" s="77" t="s"/>
      <c r="O125" s="77" t="s"/>
      <c r="P125" s="77" t="s"/>
      <c r="Q125" s="77" t="s"/>
      <c r="R125" s="77" t="s"/>
      <c r="S125" s="77" t="s"/>
      <c r="T125" s="77" t="s"/>
      <c r="U125" s="77" t="s"/>
      <c r="V125" s="77" t="s"/>
      <c r="W125" s="77" t="s"/>
      <c r="X125" s="77" t="s"/>
      <c r="Y125" s="77" t="s"/>
      <c r="Z125" s="77" t="s"/>
      <c r="AA125" s="77" t="s"/>
    </row>
    <row r="126" spans="1:27">
      <c r="A126" s="77" t="s"/>
      <c r="B126" s="77" t="s"/>
      <c r="C126" s="77" t="s"/>
      <c r="D126" s="77" t="s"/>
      <c r="E126" s="77" t="s"/>
      <c r="F126" s="77" t="s"/>
      <c r="G126" s="89" t="s"/>
      <c r="H126" s="89" t="s"/>
      <c r="I126" s="77" t="s"/>
      <c r="J126" s="77" t="s"/>
      <c r="K126" s="77" t="s"/>
      <c r="L126" s="89" t="s"/>
      <c r="M126" s="77" t="s"/>
      <c r="N126" s="77" t="s"/>
      <c r="O126" s="77" t="s"/>
      <c r="P126" s="77" t="s"/>
      <c r="Q126" s="77" t="s"/>
      <c r="R126" s="77" t="s"/>
      <c r="S126" s="77" t="s"/>
      <c r="T126" s="77" t="s"/>
      <c r="U126" s="77" t="s"/>
      <c r="V126" s="77" t="s"/>
      <c r="W126" s="77" t="s"/>
      <c r="X126" s="77" t="s"/>
      <c r="Y126" s="77" t="s"/>
      <c r="Z126" s="77" t="s"/>
      <c r="AA126" s="77" t="s"/>
    </row>
    <row r="127" spans="1:27">
      <c r="A127" s="77" t="s"/>
      <c r="B127" s="77" t="s"/>
      <c r="C127" s="77" t="s"/>
      <c r="D127" s="77" t="s"/>
      <c r="E127" s="77" t="s"/>
      <c r="F127" s="77" t="s"/>
      <c r="G127" s="89" t="s"/>
      <c r="H127" s="89" t="s"/>
      <c r="I127" s="77" t="s"/>
      <c r="J127" s="77" t="s"/>
      <c r="K127" s="77" t="s"/>
      <c r="L127" s="89" t="s"/>
      <c r="M127" s="77" t="s"/>
      <c r="N127" s="77" t="s"/>
      <c r="O127" s="77" t="s"/>
      <c r="P127" s="77" t="s"/>
      <c r="Q127" s="77" t="s"/>
      <c r="R127" s="77" t="s"/>
      <c r="S127" s="77" t="s"/>
      <c r="T127" s="77" t="s"/>
      <c r="U127" s="77" t="s"/>
      <c r="V127" s="77" t="s"/>
      <c r="W127" s="77" t="s"/>
      <c r="X127" s="77" t="s"/>
      <c r="Y127" s="77" t="s"/>
      <c r="Z127" s="77" t="s"/>
      <c r="AA127" s="77" t="s"/>
    </row>
    <row r="128" spans="1:27">
      <c r="A128" s="77" t="s"/>
      <c r="B128" s="77" t="s"/>
      <c r="C128" s="77" t="s"/>
      <c r="D128" s="77" t="s"/>
      <c r="E128" s="77" t="s"/>
      <c r="F128" s="77" t="s"/>
      <c r="G128" s="89" t="s"/>
      <c r="H128" s="89" t="s"/>
      <c r="I128" s="77" t="s"/>
      <c r="J128" s="77" t="s"/>
      <c r="K128" s="77" t="s"/>
      <c r="L128" s="89" t="s"/>
      <c r="M128" s="77" t="s"/>
      <c r="N128" s="77" t="s"/>
      <c r="O128" s="77" t="s"/>
      <c r="P128" s="77" t="s"/>
      <c r="Q128" s="77" t="s"/>
      <c r="R128" s="77" t="s"/>
      <c r="S128" s="77" t="s"/>
      <c r="T128" s="77" t="s"/>
      <c r="U128" s="77" t="s"/>
      <c r="V128" s="77" t="s"/>
      <c r="W128" s="77" t="s"/>
      <c r="X128" s="77" t="s"/>
      <c r="Y128" s="77" t="s"/>
      <c r="Z128" s="77" t="s"/>
      <c r="AA128" s="77" t="s"/>
    </row>
    <row r="129" spans="1:27">
      <c r="A129" s="77" t="s"/>
      <c r="B129" s="77" t="s"/>
      <c r="C129" s="77" t="s"/>
      <c r="D129" s="77" t="s"/>
      <c r="E129" s="77" t="s"/>
      <c r="F129" s="77" t="s"/>
      <c r="G129" s="89" t="s"/>
      <c r="H129" s="89" t="s"/>
      <c r="I129" s="77" t="s"/>
      <c r="J129" s="77" t="s"/>
      <c r="K129" s="77" t="s"/>
      <c r="L129" s="89" t="s"/>
      <c r="M129" s="77" t="s"/>
      <c r="N129" s="77" t="s"/>
      <c r="O129" s="77" t="s"/>
      <c r="P129" s="77" t="s"/>
      <c r="Q129" s="77" t="s"/>
      <c r="R129" s="77" t="s"/>
      <c r="S129" s="77" t="s"/>
      <c r="T129" s="77" t="s"/>
      <c r="U129" s="77" t="s"/>
      <c r="V129" s="77" t="s"/>
      <c r="W129" s="77" t="s"/>
      <c r="X129" s="77" t="s"/>
      <c r="Y129" s="77" t="s"/>
      <c r="Z129" s="77" t="s"/>
      <c r="AA129" s="77" t="s"/>
    </row>
    <row r="130" spans="1:27">
      <c r="A130" s="77" t="s"/>
      <c r="B130" s="77" t="s"/>
      <c r="C130" s="77" t="s"/>
      <c r="D130" s="77" t="s"/>
      <c r="E130" s="77" t="s"/>
      <c r="F130" s="77" t="s"/>
      <c r="G130" s="89" t="s"/>
      <c r="H130" s="89" t="s"/>
      <c r="I130" s="77" t="s"/>
      <c r="J130" s="77" t="s"/>
      <c r="K130" s="77" t="s"/>
      <c r="L130" s="89" t="s"/>
      <c r="M130" s="77" t="s"/>
      <c r="N130" s="77" t="s"/>
      <c r="O130" s="77" t="s"/>
      <c r="P130" s="77" t="s"/>
      <c r="Q130" s="77" t="s"/>
      <c r="R130" s="77" t="s"/>
      <c r="S130" s="77" t="s"/>
      <c r="T130" s="77" t="s"/>
      <c r="U130" s="77" t="s"/>
      <c r="V130" s="77" t="s"/>
      <c r="W130" s="77" t="s"/>
      <c r="X130" s="77" t="s"/>
      <c r="Y130" s="77" t="s"/>
      <c r="Z130" s="77" t="s"/>
      <c r="AA130" s="77" t="s"/>
    </row>
    <row r="131" spans="1:27">
      <c r="A131" s="77" t="s"/>
      <c r="B131" s="77" t="s"/>
      <c r="C131" s="77" t="s"/>
      <c r="D131" s="77" t="s"/>
      <c r="E131" s="77" t="s"/>
      <c r="F131" s="77" t="s"/>
      <c r="G131" s="89" t="s"/>
      <c r="H131" s="89" t="s"/>
      <c r="I131" s="77" t="s"/>
      <c r="J131" s="77" t="s"/>
      <c r="K131" s="77" t="s"/>
      <c r="L131" s="89" t="s"/>
      <c r="M131" s="77" t="s"/>
      <c r="N131" s="77" t="s"/>
      <c r="O131" s="77" t="s"/>
      <c r="P131" s="77" t="s"/>
      <c r="Q131" s="77" t="s"/>
      <c r="R131" s="77" t="s"/>
      <c r="S131" s="77" t="s"/>
      <c r="T131" s="77" t="s"/>
      <c r="U131" s="77" t="s"/>
      <c r="V131" s="77" t="s"/>
      <c r="W131" s="77" t="s"/>
      <c r="X131" s="77" t="s"/>
      <c r="Y131" s="77" t="s"/>
      <c r="Z131" s="77" t="s"/>
      <c r="AA131" s="77" t="s"/>
    </row>
    <row r="132" spans="1:27">
      <c r="A132" s="77" t="s"/>
      <c r="B132" s="77" t="s"/>
      <c r="C132" s="77" t="s"/>
      <c r="D132" s="77" t="s"/>
      <c r="E132" s="77" t="s"/>
      <c r="F132" s="77" t="s"/>
      <c r="G132" s="89" t="s"/>
      <c r="H132" s="89" t="s"/>
      <c r="I132" s="77" t="s"/>
      <c r="J132" s="77" t="s"/>
      <c r="K132" s="77" t="s"/>
      <c r="L132" s="89" t="s"/>
      <c r="M132" s="77" t="s"/>
      <c r="N132" s="77" t="s"/>
      <c r="O132" s="77" t="s"/>
      <c r="P132" s="77" t="s"/>
      <c r="Q132" s="77" t="s"/>
      <c r="R132" s="77" t="s"/>
      <c r="S132" s="77" t="s"/>
      <c r="T132" s="77" t="s"/>
      <c r="U132" s="77" t="s"/>
      <c r="V132" s="77" t="s"/>
      <c r="W132" s="77" t="s"/>
      <c r="X132" s="77" t="s"/>
      <c r="Y132" s="77" t="s"/>
      <c r="Z132" s="77" t="s"/>
      <c r="AA132" s="77" t="s"/>
    </row>
    <row r="133" spans="1:27">
      <c r="A133" s="77" t="s"/>
      <c r="B133" s="77" t="s"/>
      <c r="C133" s="77" t="s"/>
      <c r="D133" s="77" t="s"/>
      <c r="E133" s="77" t="s"/>
      <c r="F133" s="77" t="s"/>
      <c r="G133" s="89" t="s"/>
      <c r="H133" s="89" t="s"/>
      <c r="I133" s="77" t="s"/>
      <c r="J133" s="77" t="s"/>
      <c r="K133" s="77" t="s"/>
      <c r="L133" s="89" t="s"/>
      <c r="M133" s="77" t="s"/>
      <c r="N133" s="77" t="s"/>
      <c r="O133" s="77" t="s"/>
      <c r="P133" s="77" t="s"/>
      <c r="Q133" s="77" t="s"/>
      <c r="R133" s="77" t="s"/>
      <c r="S133" s="77" t="s"/>
      <c r="T133" s="77" t="s"/>
      <c r="U133" s="77" t="s"/>
      <c r="V133" s="77" t="s"/>
      <c r="W133" s="77" t="s"/>
      <c r="X133" s="77" t="s"/>
      <c r="Y133" s="77" t="s"/>
      <c r="Z133" s="77" t="s"/>
      <c r="AA133" s="77" t="s"/>
    </row>
    <row r="134" spans="1:27">
      <c r="A134" s="77" t="s"/>
      <c r="B134" s="77" t="s"/>
      <c r="C134" s="77" t="s"/>
      <c r="D134" s="77" t="s"/>
      <c r="E134" s="77" t="s"/>
      <c r="F134" s="77" t="s"/>
      <c r="G134" s="89" t="s"/>
      <c r="H134" s="89" t="s"/>
      <c r="I134" s="77" t="s"/>
      <c r="J134" s="77" t="s"/>
      <c r="K134" s="77" t="s"/>
      <c r="L134" s="89" t="s"/>
      <c r="M134" s="77" t="s"/>
      <c r="N134" s="77" t="s"/>
      <c r="O134" s="77" t="s"/>
      <c r="P134" s="77" t="s"/>
      <c r="Q134" s="77" t="s"/>
      <c r="R134" s="77" t="s"/>
      <c r="S134" s="77" t="s"/>
      <c r="T134" s="77" t="s"/>
      <c r="U134" s="77" t="s"/>
      <c r="V134" s="77" t="s"/>
      <c r="W134" s="77" t="s"/>
      <c r="X134" s="77" t="s"/>
      <c r="Y134" s="77" t="s"/>
      <c r="Z134" s="77" t="s"/>
      <c r="AA134" s="77" t="s"/>
    </row>
    <row r="135" spans="1:27">
      <c r="A135" s="77" t="s"/>
      <c r="B135" s="77" t="s"/>
      <c r="C135" s="77" t="s"/>
      <c r="D135" s="77" t="s"/>
      <c r="E135" s="77" t="s"/>
      <c r="F135" s="77" t="s"/>
      <c r="G135" s="89" t="s"/>
      <c r="H135" s="89" t="s"/>
      <c r="I135" s="77" t="s"/>
      <c r="J135" s="77" t="s"/>
      <c r="K135" s="77" t="s"/>
      <c r="L135" s="89" t="s"/>
      <c r="M135" s="77" t="s"/>
      <c r="N135" s="77" t="s"/>
      <c r="O135" s="77" t="s"/>
      <c r="P135" s="77" t="s"/>
      <c r="Q135" s="77" t="s"/>
      <c r="R135" s="77" t="s"/>
      <c r="S135" s="77" t="s"/>
      <c r="T135" s="77" t="s"/>
      <c r="U135" s="77" t="s"/>
      <c r="V135" s="77" t="s"/>
      <c r="W135" s="77" t="s"/>
      <c r="X135" s="77" t="s"/>
      <c r="Y135" s="77" t="s"/>
      <c r="Z135" s="77" t="s"/>
      <c r="AA135" s="77" t="s"/>
    </row>
    <row r="136" spans="1:27">
      <c r="A136" s="77" t="s"/>
      <c r="B136" s="77" t="s"/>
      <c r="C136" s="77" t="s"/>
      <c r="D136" s="77" t="s"/>
      <c r="E136" s="77" t="s"/>
      <c r="F136" s="77" t="s"/>
      <c r="G136" s="89" t="s"/>
      <c r="H136" s="89" t="s"/>
      <c r="I136" s="77" t="s"/>
      <c r="J136" s="77" t="s"/>
      <c r="K136" s="77" t="s"/>
      <c r="L136" s="89" t="s"/>
      <c r="M136" s="77" t="s"/>
      <c r="N136" s="77" t="s"/>
      <c r="O136" s="77" t="s"/>
      <c r="P136" s="77" t="s"/>
      <c r="Q136" s="77" t="s"/>
      <c r="R136" s="77" t="s"/>
      <c r="S136" s="77" t="s"/>
      <c r="T136" s="77" t="s"/>
      <c r="U136" s="77" t="s"/>
      <c r="V136" s="77" t="s"/>
      <c r="W136" s="77" t="s"/>
      <c r="X136" s="77" t="s"/>
      <c r="Y136" s="77" t="s"/>
      <c r="Z136" s="77" t="s"/>
      <c r="AA136" s="77" t="s"/>
    </row>
    <row r="137" spans="1:27">
      <c r="A137" s="77" t="s"/>
      <c r="B137" s="77" t="s"/>
      <c r="C137" s="77" t="s"/>
      <c r="D137" s="77" t="s"/>
      <c r="E137" s="77" t="s"/>
      <c r="F137" s="77" t="s"/>
      <c r="G137" s="89" t="s"/>
      <c r="H137" s="89" t="s"/>
      <c r="I137" s="77" t="s"/>
      <c r="J137" s="77" t="s"/>
      <c r="K137" s="77" t="s"/>
      <c r="L137" s="89" t="s"/>
      <c r="M137" s="77" t="s"/>
      <c r="N137" s="77" t="s"/>
      <c r="O137" s="77" t="s"/>
      <c r="P137" s="77" t="s"/>
      <c r="Q137" s="77" t="s"/>
      <c r="R137" s="77" t="s"/>
      <c r="S137" s="77" t="s"/>
      <c r="T137" s="77" t="s"/>
      <c r="U137" s="77" t="s"/>
      <c r="V137" s="77" t="s"/>
      <c r="W137" s="77" t="s"/>
      <c r="X137" s="77" t="s"/>
      <c r="Y137" s="77" t="s"/>
      <c r="Z137" s="77" t="s"/>
      <c r="AA137" s="77" t="s"/>
    </row>
    <row r="138" spans="1:27">
      <c r="A138" s="77" t="s"/>
      <c r="B138" s="77" t="s"/>
      <c r="C138" s="77" t="s"/>
      <c r="D138" s="77" t="s"/>
      <c r="E138" s="77" t="s"/>
      <c r="F138" s="77" t="s"/>
      <c r="G138" s="89" t="s"/>
      <c r="H138" s="89" t="s"/>
      <c r="I138" s="77" t="s"/>
      <c r="J138" s="77" t="s"/>
      <c r="K138" s="77" t="s"/>
      <c r="L138" s="89" t="s"/>
      <c r="M138" s="77" t="s"/>
      <c r="N138" s="77" t="s"/>
      <c r="O138" s="77" t="s"/>
      <c r="P138" s="77" t="s"/>
      <c r="Q138" s="77" t="s"/>
      <c r="R138" s="77" t="s"/>
      <c r="S138" s="77" t="s"/>
      <c r="T138" s="77" t="s"/>
      <c r="U138" s="77" t="s"/>
      <c r="V138" s="77" t="s"/>
      <c r="W138" s="77" t="s"/>
      <c r="X138" s="77" t="s"/>
      <c r="Y138" s="77" t="s"/>
      <c r="Z138" s="77" t="s"/>
      <c r="AA138" s="77" t="s"/>
    </row>
    <row r="139" spans="1:27">
      <c r="A139" s="77" t="s"/>
      <c r="B139" s="77" t="s"/>
      <c r="C139" s="77" t="s"/>
      <c r="D139" s="77" t="s"/>
      <c r="E139" s="77" t="s"/>
      <c r="F139" s="77" t="s"/>
      <c r="G139" s="89" t="s"/>
      <c r="H139" s="89" t="s"/>
      <c r="I139" s="77" t="s"/>
      <c r="J139" s="77" t="s"/>
      <c r="K139" s="77" t="s"/>
      <c r="L139" s="89" t="s"/>
      <c r="M139" s="77" t="s"/>
      <c r="N139" s="77" t="s"/>
      <c r="O139" s="77" t="s"/>
      <c r="P139" s="77" t="s"/>
      <c r="Q139" s="77" t="s"/>
      <c r="R139" s="77" t="s"/>
      <c r="S139" s="77" t="s"/>
      <c r="T139" s="77" t="s"/>
      <c r="U139" s="77" t="s"/>
      <c r="V139" s="77" t="s"/>
      <c r="W139" s="77" t="s"/>
      <c r="X139" s="77" t="s"/>
      <c r="Y139" s="77" t="s"/>
      <c r="Z139" s="77" t="s"/>
      <c r="AA139" s="77" t="s"/>
    </row>
    <row r="140" spans="1:27">
      <c r="A140" s="77" t="s"/>
      <c r="B140" s="77" t="s"/>
      <c r="C140" s="77" t="s"/>
      <c r="D140" s="77" t="s"/>
      <c r="E140" s="77" t="s"/>
      <c r="F140" s="77" t="s"/>
      <c r="G140" s="89" t="s"/>
      <c r="H140" s="89" t="s"/>
      <c r="I140" s="77" t="s"/>
      <c r="J140" s="77" t="s"/>
      <c r="K140" s="77" t="s"/>
      <c r="L140" s="89" t="s"/>
      <c r="M140" s="77" t="s"/>
      <c r="N140" s="77" t="s"/>
      <c r="O140" s="77" t="s"/>
      <c r="P140" s="77" t="s"/>
      <c r="Q140" s="77" t="s"/>
      <c r="R140" s="77" t="s"/>
      <c r="S140" s="77" t="s"/>
      <c r="T140" s="77" t="s"/>
      <c r="U140" s="77" t="s"/>
      <c r="V140" s="77" t="s"/>
      <c r="W140" s="77" t="s"/>
      <c r="X140" s="77" t="s"/>
      <c r="Y140" s="77" t="s"/>
      <c r="Z140" s="77" t="s"/>
      <c r="AA140" s="77" t="s"/>
    </row>
    <row r="141" spans="1:27">
      <c r="A141" s="77" t="s"/>
      <c r="B141" s="77" t="s"/>
      <c r="C141" s="77" t="s"/>
      <c r="D141" s="77" t="s"/>
      <c r="E141" s="77" t="s"/>
      <c r="F141" s="77" t="s"/>
      <c r="G141" s="89" t="s"/>
      <c r="H141" s="89" t="s"/>
      <c r="I141" s="77" t="s"/>
      <c r="J141" s="77" t="s"/>
      <c r="K141" s="77" t="s"/>
      <c r="L141" s="89" t="s"/>
      <c r="M141" s="77" t="s"/>
      <c r="N141" s="77" t="s"/>
      <c r="O141" s="77" t="s"/>
      <c r="P141" s="77" t="s"/>
      <c r="Q141" s="77" t="s"/>
      <c r="R141" s="77" t="s"/>
      <c r="S141" s="77" t="s"/>
      <c r="T141" s="77" t="s"/>
      <c r="U141" s="77" t="s"/>
      <c r="V141" s="77" t="s"/>
      <c r="W141" s="77" t="s"/>
      <c r="X141" s="77" t="s"/>
      <c r="Y141" s="77" t="s"/>
      <c r="Z141" s="77" t="s"/>
      <c r="AA141" s="77" t="s"/>
    </row>
    <row r="142" spans="1:27">
      <c r="A142" s="77" t="s"/>
      <c r="B142" s="77" t="s"/>
      <c r="C142" s="77" t="s"/>
      <c r="D142" s="77" t="s"/>
      <c r="E142" s="77" t="s"/>
      <c r="F142" s="77" t="s"/>
      <c r="G142" s="89" t="s"/>
      <c r="H142" s="89" t="s"/>
      <c r="I142" s="77" t="s"/>
      <c r="J142" s="77" t="s"/>
      <c r="K142" s="77" t="s"/>
      <c r="L142" s="89" t="s"/>
      <c r="M142" s="77" t="s"/>
      <c r="N142" s="77" t="s"/>
      <c r="O142" s="77" t="s"/>
      <c r="P142" s="77" t="s"/>
      <c r="Q142" s="77" t="s"/>
      <c r="R142" s="77" t="s"/>
      <c r="S142" s="77" t="s"/>
      <c r="T142" s="77" t="s"/>
      <c r="U142" s="77" t="s"/>
      <c r="V142" s="77" t="s"/>
      <c r="W142" s="77" t="s"/>
      <c r="X142" s="77" t="s"/>
      <c r="Y142" s="77" t="s"/>
      <c r="Z142" s="77" t="s"/>
      <c r="AA142" s="77" t="s"/>
    </row>
    <row r="143" spans="1:27">
      <c r="A143" s="77" t="s"/>
      <c r="B143" s="77" t="s"/>
      <c r="C143" s="77" t="s"/>
      <c r="D143" s="77" t="s"/>
      <c r="E143" s="77" t="s"/>
      <c r="F143" s="77" t="s"/>
      <c r="G143" s="89" t="s"/>
      <c r="H143" s="89" t="s"/>
      <c r="I143" s="77" t="s"/>
      <c r="J143" s="77" t="s"/>
      <c r="K143" s="77" t="s"/>
      <c r="L143" s="89" t="s"/>
      <c r="M143" s="77" t="s"/>
      <c r="N143" s="77" t="s"/>
      <c r="O143" s="77" t="s"/>
      <c r="P143" s="77" t="s"/>
      <c r="Q143" s="77" t="s"/>
      <c r="R143" s="77" t="s"/>
      <c r="S143" s="77" t="s"/>
      <c r="T143" s="77" t="s"/>
      <c r="U143" s="77" t="s"/>
      <c r="V143" s="77" t="s"/>
      <c r="W143" s="77" t="s"/>
      <c r="X143" s="77" t="s"/>
      <c r="Y143" s="77" t="s"/>
      <c r="Z143" s="77" t="s"/>
      <c r="AA143" s="77" t="s"/>
    </row>
    <row r="144" spans="1:27">
      <c r="A144" s="77" t="s"/>
      <c r="B144" s="77" t="s"/>
      <c r="C144" s="77" t="s"/>
      <c r="D144" s="77" t="s"/>
      <c r="E144" s="77" t="s"/>
      <c r="F144" s="77" t="s"/>
      <c r="G144" s="89" t="s"/>
      <c r="H144" s="89" t="s"/>
      <c r="I144" s="77" t="s"/>
      <c r="J144" s="77" t="s"/>
      <c r="K144" s="77" t="s"/>
      <c r="L144" s="89" t="s"/>
      <c r="M144" s="77" t="s"/>
      <c r="N144" s="77" t="s"/>
      <c r="O144" s="77" t="s"/>
      <c r="P144" s="77" t="s"/>
      <c r="Q144" s="77" t="s"/>
      <c r="R144" s="77" t="s"/>
      <c r="S144" s="77" t="s"/>
      <c r="T144" s="77" t="s"/>
      <c r="U144" s="77" t="s"/>
      <c r="V144" s="77" t="s"/>
      <c r="W144" s="77" t="s"/>
      <c r="X144" s="77" t="s"/>
      <c r="Y144" s="77" t="s"/>
      <c r="Z144" s="77" t="s"/>
      <c r="AA144" s="77" t="s"/>
    </row>
    <row r="145" spans="1:27">
      <c r="A145" s="77" t="s"/>
      <c r="B145" s="77" t="s"/>
      <c r="C145" s="77" t="s"/>
      <c r="D145" s="77" t="s"/>
      <c r="E145" s="77" t="s"/>
      <c r="F145" s="77" t="s"/>
      <c r="G145" s="89" t="s"/>
      <c r="H145" s="89" t="s"/>
      <c r="I145" s="77" t="s"/>
      <c r="J145" s="77" t="s"/>
      <c r="K145" s="77" t="s"/>
      <c r="L145" s="89" t="s"/>
      <c r="M145" s="77" t="s"/>
      <c r="N145" s="77" t="s"/>
      <c r="O145" s="77" t="s"/>
      <c r="P145" s="77" t="s"/>
      <c r="Q145" s="77" t="s"/>
      <c r="R145" s="77" t="s"/>
      <c r="S145" s="77" t="s"/>
      <c r="T145" s="77" t="s"/>
      <c r="U145" s="77" t="s"/>
      <c r="V145" s="77" t="s"/>
      <c r="W145" s="77" t="s"/>
      <c r="X145" s="77" t="s"/>
      <c r="Y145" s="77" t="s"/>
      <c r="Z145" s="77" t="s"/>
      <c r="AA145" s="77" t="s"/>
    </row>
    <row r="146" spans="1:27">
      <c r="A146" s="77" t="s"/>
      <c r="B146" s="77" t="s"/>
      <c r="C146" s="77" t="s"/>
      <c r="D146" s="77" t="s"/>
      <c r="E146" s="77" t="s"/>
      <c r="F146" s="77" t="s"/>
      <c r="G146" s="89" t="s"/>
      <c r="H146" s="89" t="s"/>
      <c r="I146" s="77" t="s"/>
      <c r="J146" s="77" t="s"/>
      <c r="K146" s="77" t="s"/>
      <c r="L146" s="89" t="s"/>
      <c r="M146" s="77" t="s"/>
      <c r="N146" s="77" t="s"/>
      <c r="O146" s="77" t="s"/>
      <c r="P146" s="77" t="s"/>
      <c r="Q146" s="77" t="s"/>
      <c r="R146" s="77" t="s"/>
      <c r="S146" s="77" t="s"/>
      <c r="T146" s="77" t="s"/>
      <c r="U146" s="77" t="s"/>
      <c r="V146" s="77" t="s"/>
      <c r="W146" s="77" t="s"/>
      <c r="X146" s="77" t="s"/>
      <c r="Y146" s="77" t="s"/>
      <c r="Z146" s="77" t="s"/>
      <c r="AA146" s="77" t="s"/>
    </row>
    <row r="147" spans="1:27">
      <c r="A147" s="77" t="s"/>
      <c r="B147" s="77" t="s"/>
      <c r="C147" s="77" t="s"/>
      <c r="D147" s="77" t="s"/>
      <c r="E147" s="77" t="s"/>
      <c r="F147" s="77" t="s"/>
      <c r="G147" s="89" t="s"/>
      <c r="H147" s="89" t="s"/>
      <c r="I147" s="77" t="s"/>
      <c r="J147" s="77" t="s"/>
      <c r="K147" s="77" t="s"/>
      <c r="L147" s="89" t="s"/>
      <c r="M147" s="77" t="s"/>
      <c r="N147" s="77" t="s"/>
      <c r="O147" s="77" t="s"/>
      <c r="P147" s="77" t="s"/>
      <c r="Q147" s="77" t="s"/>
      <c r="R147" s="77" t="s"/>
      <c r="S147" s="77" t="s"/>
      <c r="T147" s="77" t="s"/>
      <c r="U147" s="77" t="s"/>
      <c r="V147" s="77" t="s"/>
      <c r="W147" s="77" t="s"/>
      <c r="X147" s="77" t="s"/>
      <c r="Y147" s="77" t="s"/>
      <c r="Z147" s="77" t="s"/>
      <c r="AA147" s="77" t="s"/>
    </row>
    <row r="148" spans="1:27">
      <c r="A148" s="77" t="s"/>
      <c r="B148" s="77" t="s"/>
      <c r="C148" s="77" t="s"/>
      <c r="D148" s="77" t="s"/>
      <c r="E148" s="77" t="s"/>
      <c r="F148" s="77" t="s"/>
      <c r="G148" s="89" t="s"/>
      <c r="H148" s="89" t="s"/>
      <c r="I148" s="77" t="s"/>
      <c r="J148" s="77" t="s"/>
      <c r="K148" s="77" t="s"/>
      <c r="L148" s="89" t="s"/>
      <c r="M148" s="77" t="s"/>
      <c r="N148" s="77" t="s"/>
      <c r="O148" s="77" t="s"/>
      <c r="P148" s="77" t="s"/>
      <c r="Q148" s="77" t="s"/>
      <c r="R148" s="77" t="s"/>
      <c r="S148" s="77" t="s"/>
      <c r="T148" s="77" t="s"/>
      <c r="U148" s="77" t="s"/>
      <c r="V148" s="77" t="s"/>
      <c r="W148" s="77" t="s"/>
      <c r="X148" s="77" t="s"/>
      <c r="Y148" s="77" t="s"/>
      <c r="Z148" s="77" t="s"/>
      <c r="AA148" s="77" t="s"/>
    </row>
    <row r="149" spans="1:27">
      <c r="A149" s="77" t="s"/>
      <c r="B149" s="77" t="s"/>
      <c r="C149" s="77" t="s"/>
      <c r="D149" s="77" t="s"/>
      <c r="E149" s="77" t="s"/>
      <c r="F149" s="77" t="s"/>
      <c r="G149" s="89" t="s"/>
      <c r="H149" s="89" t="s"/>
      <c r="I149" s="77" t="s"/>
      <c r="J149" s="77" t="s"/>
      <c r="K149" s="77" t="s"/>
      <c r="L149" s="89" t="s"/>
      <c r="M149" s="77" t="s"/>
      <c r="N149" s="77" t="s"/>
      <c r="O149" s="77" t="s"/>
      <c r="P149" s="77" t="s"/>
      <c r="Q149" s="77" t="s"/>
      <c r="R149" s="77" t="s"/>
      <c r="S149" s="77" t="s"/>
      <c r="T149" s="77" t="s"/>
      <c r="U149" s="77" t="s"/>
      <c r="V149" s="77" t="s"/>
      <c r="W149" s="77" t="s"/>
      <c r="X149" s="77" t="s"/>
      <c r="Y149" s="77" t="s"/>
      <c r="Z149" s="77" t="s"/>
      <c r="AA149" s="77" t="s"/>
    </row>
    <row r="150" spans="1:27">
      <c r="A150" s="77" t="s"/>
      <c r="B150" s="77" t="s"/>
      <c r="C150" s="77" t="s"/>
      <c r="D150" s="77" t="s"/>
      <c r="E150" s="77" t="s"/>
      <c r="F150" s="77" t="s"/>
      <c r="G150" s="89" t="s"/>
      <c r="H150" s="89" t="s"/>
      <c r="I150" s="77" t="s"/>
      <c r="J150" s="77" t="s"/>
      <c r="K150" s="77" t="s"/>
      <c r="L150" s="89" t="s"/>
      <c r="M150" s="77" t="s"/>
      <c r="N150" s="77" t="s"/>
      <c r="O150" s="77" t="s"/>
      <c r="P150" s="77" t="s"/>
      <c r="Q150" s="77" t="s"/>
      <c r="R150" s="77" t="s"/>
      <c r="S150" s="77" t="s"/>
      <c r="T150" s="77" t="s"/>
      <c r="U150" s="77" t="s"/>
      <c r="V150" s="77" t="s"/>
      <c r="W150" s="77" t="s"/>
      <c r="X150" s="77" t="s"/>
      <c r="Y150" s="77" t="s"/>
      <c r="Z150" s="77" t="s"/>
      <c r="AA150" s="77" t="s"/>
    </row>
    <row r="151" spans="1:27">
      <c r="A151" s="77" t="s"/>
      <c r="B151" s="77" t="s"/>
      <c r="C151" s="77" t="s"/>
      <c r="D151" s="77" t="s"/>
      <c r="E151" s="77" t="s"/>
      <c r="F151" s="77" t="s"/>
      <c r="G151" s="89" t="s"/>
      <c r="H151" s="89" t="s"/>
      <c r="I151" s="77" t="s"/>
      <c r="J151" s="77" t="s"/>
      <c r="K151" s="77" t="s"/>
      <c r="L151" s="89" t="s"/>
      <c r="M151" s="77" t="s"/>
      <c r="N151" s="77" t="s"/>
      <c r="O151" s="77" t="s"/>
      <c r="P151" s="77" t="s"/>
      <c r="Q151" s="77" t="s"/>
      <c r="R151" s="77" t="s"/>
      <c r="S151" s="77" t="s"/>
      <c r="T151" s="77" t="s"/>
      <c r="U151" s="77" t="s"/>
      <c r="V151" s="77" t="s"/>
      <c r="W151" s="77" t="s"/>
      <c r="X151" s="77" t="s"/>
      <c r="Y151" s="77" t="s"/>
      <c r="Z151" s="77" t="s"/>
      <c r="AA151" s="77" t="s"/>
    </row>
    <row r="152" spans="1:27">
      <c r="A152" s="77" t="s"/>
      <c r="B152" s="77" t="s"/>
      <c r="C152" s="77" t="s"/>
      <c r="D152" s="77" t="s"/>
      <c r="E152" s="77" t="s"/>
      <c r="F152" s="77" t="s"/>
      <c r="G152" s="89" t="s"/>
      <c r="H152" s="89" t="s"/>
      <c r="I152" s="77" t="s"/>
      <c r="J152" s="77" t="s"/>
      <c r="K152" s="77" t="s"/>
      <c r="L152" s="89" t="s"/>
      <c r="M152" s="77" t="s"/>
      <c r="N152" s="77" t="s"/>
      <c r="O152" s="77" t="s"/>
      <c r="P152" s="77" t="s"/>
      <c r="Q152" s="77" t="s"/>
      <c r="R152" s="77" t="s"/>
      <c r="S152" s="77" t="s"/>
      <c r="T152" s="77" t="s"/>
      <c r="U152" s="77" t="s"/>
      <c r="V152" s="77" t="s"/>
      <c r="W152" s="77" t="s"/>
      <c r="X152" s="77" t="s"/>
      <c r="Y152" s="77" t="s"/>
      <c r="Z152" s="77" t="s"/>
      <c r="AA152" s="77" t="s"/>
    </row>
    <row r="153" spans="1:27">
      <c r="A153" s="77" t="s"/>
      <c r="B153" s="77" t="s"/>
      <c r="C153" s="77" t="s"/>
      <c r="D153" s="77" t="s"/>
      <c r="E153" s="77" t="s"/>
      <c r="F153" s="77" t="s"/>
      <c r="G153" s="89" t="s"/>
      <c r="H153" s="89" t="s"/>
      <c r="I153" s="77" t="s"/>
      <c r="J153" s="77" t="s"/>
      <c r="K153" s="77" t="s"/>
      <c r="L153" s="89" t="s"/>
      <c r="M153" s="77" t="s"/>
      <c r="N153" s="77" t="s"/>
      <c r="O153" s="77" t="s"/>
      <c r="P153" s="77" t="s"/>
      <c r="Q153" s="77" t="s"/>
      <c r="R153" s="77" t="s"/>
      <c r="S153" s="77" t="s"/>
      <c r="T153" s="77" t="s"/>
      <c r="U153" s="77" t="s"/>
      <c r="V153" s="77" t="s"/>
      <c r="W153" s="77" t="s"/>
      <c r="X153" s="77" t="s"/>
      <c r="Y153" s="77" t="s"/>
      <c r="Z153" s="77" t="s"/>
      <c r="AA153" s="77" t="s"/>
    </row>
    <row r="154" spans="1:27">
      <c r="A154" s="77" t="s"/>
      <c r="B154" s="77" t="s"/>
      <c r="C154" s="77" t="s"/>
      <c r="D154" s="77" t="s"/>
      <c r="E154" s="77" t="s"/>
      <c r="F154" s="77" t="s"/>
      <c r="G154" s="89" t="s"/>
      <c r="H154" s="89" t="s"/>
      <c r="I154" s="77" t="s"/>
      <c r="J154" s="77" t="s"/>
      <c r="K154" s="77" t="s"/>
      <c r="L154" s="89" t="s"/>
      <c r="M154" s="77" t="s"/>
      <c r="N154" s="77" t="s"/>
      <c r="O154" s="77" t="s"/>
      <c r="P154" s="77" t="s"/>
      <c r="Q154" s="77" t="s"/>
      <c r="R154" s="77" t="s"/>
      <c r="S154" s="77" t="s"/>
      <c r="T154" s="77" t="s"/>
      <c r="U154" s="77" t="s"/>
      <c r="V154" s="77" t="s"/>
      <c r="W154" s="77" t="s"/>
      <c r="X154" s="77" t="s"/>
      <c r="Y154" s="77" t="s"/>
      <c r="Z154" s="77" t="s"/>
      <c r="AA154" s="77" t="s"/>
    </row>
    <row r="155" spans="1:27">
      <c r="A155" s="77" t="s"/>
      <c r="B155" s="77" t="s"/>
      <c r="C155" s="77" t="s"/>
      <c r="D155" s="77" t="s"/>
      <c r="E155" s="77" t="s"/>
      <c r="F155" s="77" t="s"/>
      <c r="G155" s="89" t="s"/>
      <c r="H155" s="89" t="s"/>
      <c r="I155" s="77" t="s"/>
      <c r="J155" s="77" t="s"/>
      <c r="K155" s="77" t="s"/>
      <c r="L155" s="89" t="s"/>
      <c r="M155" s="77" t="s"/>
      <c r="N155" s="77" t="s"/>
      <c r="O155" s="77" t="s"/>
      <c r="P155" s="77" t="s"/>
      <c r="Q155" s="77" t="s"/>
      <c r="R155" s="77" t="s"/>
      <c r="S155" s="77" t="s"/>
      <c r="T155" s="77" t="s"/>
      <c r="U155" s="77" t="s"/>
      <c r="V155" s="77" t="s"/>
      <c r="W155" s="77" t="s"/>
      <c r="X155" s="77" t="s"/>
      <c r="Y155" s="77" t="s"/>
      <c r="Z155" s="77" t="s"/>
      <c r="AA155" s="77" t="s"/>
    </row>
    <row r="156" spans="1:27">
      <c r="A156" s="77" t="s"/>
      <c r="B156" s="77" t="s"/>
      <c r="C156" s="77" t="s"/>
      <c r="D156" s="77" t="s"/>
      <c r="E156" s="77" t="s"/>
      <c r="F156" s="77" t="s"/>
      <c r="G156" s="89" t="s"/>
      <c r="H156" s="89" t="s"/>
      <c r="I156" s="77" t="s"/>
      <c r="J156" s="77" t="s"/>
      <c r="K156" s="77" t="s"/>
      <c r="L156" s="89" t="s"/>
      <c r="M156" s="77" t="s"/>
      <c r="N156" s="77" t="s"/>
      <c r="O156" s="77" t="s"/>
      <c r="P156" s="77" t="s"/>
      <c r="Q156" s="77" t="s"/>
      <c r="R156" s="77" t="s"/>
      <c r="S156" s="77" t="s"/>
      <c r="T156" s="77" t="s"/>
      <c r="U156" s="77" t="s"/>
      <c r="V156" s="77" t="s"/>
      <c r="W156" s="77" t="s"/>
      <c r="X156" s="77" t="s"/>
      <c r="Y156" s="77" t="s"/>
      <c r="Z156" s="77" t="s"/>
      <c r="AA156" s="77" t="s"/>
    </row>
    <row r="157" spans="1:27">
      <c r="A157" s="77" t="s"/>
      <c r="B157" s="77" t="s"/>
      <c r="C157" s="77" t="s"/>
      <c r="D157" s="77" t="s"/>
      <c r="E157" s="77" t="s"/>
      <c r="F157" s="77" t="s"/>
      <c r="G157" s="89" t="s"/>
      <c r="H157" s="89" t="s"/>
      <c r="I157" s="77" t="s"/>
      <c r="J157" s="77" t="s"/>
      <c r="K157" s="77" t="s"/>
      <c r="L157" s="89" t="s"/>
      <c r="M157" s="77" t="s"/>
      <c r="N157" s="77" t="s"/>
      <c r="O157" s="77" t="s"/>
      <c r="P157" s="77" t="s"/>
      <c r="Q157" s="77" t="s"/>
      <c r="R157" s="77" t="s"/>
      <c r="S157" s="77" t="s"/>
      <c r="T157" s="77" t="s"/>
      <c r="U157" s="77" t="s"/>
      <c r="V157" s="77" t="s"/>
      <c r="W157" s="77" t="s"/>
      <c r="X157" s="77" t="s"/>
      <c r="Y157" s="77" t="s"/>
      <c r="Z157" s="77" t="s"/>
      <c r="AA157" s="77" t="s"/>
    </row>
    <row r="158" spans="1:27">
      <c r="A158" s="77" t="s"/>
      <c r="B158" s="77" t="s"/>
      <c r="C158" s="77" t="s"/>
      <c r="D158" s="77" t="s"/>
      <c r="E158" s="77" t="s"/>
      <c r="F158" s="77" t="s"/>
      <c r="G158" s="89" t="s"/>
      <c r="H158" s="89" t="s"/>
      <c r="I158" s="77" t="s"/>
      <c r="J158" s="77" t="s"/>
      <c r="K158" s="77" t="s"/>
      <c r="L158" s="89" t="s"/>
      <c r="M158" s="77" t="s"/>
      <c r="N158" s="77" t="s"/>
      <c r="O158" s="77" t="s"/>
      <c r="P158" s="77" t="s"/>
      <c r="Q158" s="77" t="s"/>
      <c r="R158" s="77" t="s"/>
      <c r="S158" s="77" t="s"/>
      <c r="T158" s="77" t="s"/>
      <c r="U158" s="77" t="s"/>
      <c r="V158" s="77" t="s"/>
      <c r="W158" s="77" t="s"/>
      <c r="X158" s="77" t="s"/>
      <c r="Y158" s="77" t="s"/>
      <c r="Z158" s="77" t="s"/>
      <c r="AA158" s="77" t="s"/>
    </row>
    <row r="159" spans="1:27">
      <c r="A159" s="77" t="s"/>
      <c r="B159" s="77" t="s"/>
      <c r="C159" s="77" t="s"/>
      <c r="D159" s="77" t="s"/>
      <c r="E159" s="77" t="s"/>
      <c r="F159" s="77" t="s"/>
      <c r="G159" s="89" t="s"/>
      <c r="H159" s="89" t="s"/>
      <c r="I159" s="77" t="s"/>
      <c r="J159" s="77" t="s"/>
      <c r="K159" s="77" t="s"/>
      <c r="L159" s="89" t="s"/>
      <c r="M159" s="77" t="s"/>
      <c r="N159" s="77" t="s"/>
      <c r="O159" s="77" t="s"/>
      <c r="P159" s="77" t="s"/>
      <c r="Q159" s="77" t="s"/>
      <c r="R159" s="77" t="s"/>
      <c r="S159" s="77" t="s"/>
      <c r="T159" s="77" t="s"/>
      <c r="U159" s="77" t="s"/>
      <c r="V159" s="77" t="s"/>
      <c r="W159" s="77" t="s"/>
      <c r="X159" s="77" t="s"/>
      <c r="Y159" s="77" t="s"/>
      <c r="Z159" s="77" t="s"/>
      <c r="AA159" s="77" t="s"/>
    </row>
    <row r="160" spans="1:27">
      <c r="A160" s="77" t="s"/>
      <c r="B160" s="77" t="s"/>
      <c r="C160" s="77" t="s"/>
      <c r="D160" s="77" t="s"/>
      <c r="E160" s="77" t="s"/>
      <c r="F160" s="77" t="s"/>
      <c r="G160" s="89" t="s"/>
      <c r="H160" s="89" t="s"/>
      <c r="I160" s="77" t="s"/>
      <c r="J160" s="77" t="s"/>
      <c r="K160" s="77" t="s"/>
      <c r="L160" s="89" t="s"/>
      <c r="M160" s="77" t="s"/>
      <c r="N160" s="77" t="s"/>
      <c r="O160" s="77" t="s"/>
      <c r="P160" s="77" t="s"/>
      <c r="Q160" s="77" t="s"/>
      <c r="R160" s="77" t="s"/>
      <c r="S160" s="77" t="s"/>
      <c r="T160" s="77" t="s"/>
      <c r="U160" s="77" t="s"/>
      <c r="V160" s="77" t="s"/>
      <c r="W160" s="77" t="s"/>
      <c r="X160" s="77" t="s"/>
      <c r="Y160" s="77" t="s"/>
      <c r="Z160" s="77" t="s"/>
      <c r="AA160" s="77" t="s"/>
    </row>
    <row r="161" spans="1:27">
      <c r="A161" s="77" t="s"/>
      <c r="B161" s="77" t="s"/>
      <c r="C161" s="77" t="s"/>
      <c r="D161" s="77" t="s"/>
      <c r="E161" s="77" t="s"/>
      <c r="F161" s="77" t="s"/>
      <c r="G161" s="89" t="s"/>
      <c r="H161" s="89" t="s"/>
      <c r="I161" s="77" t="s"/>
      <c r="J161" s="77" t="s"/>
      <c r="K161" s="77" t="s"/>
      <c r="L161" s="89" t="s"/>
      <c r="M161" s="77" t="s"/>
      <c r="N161" s="77" t="s"/>
      <c r="O161" s="77" t="s"/>
      <c r="P161" s="77" t="s"/>
      <c r="Q161" s="77" t="s"/>
      <c r="R161" s="77" t="s"/>
      <c r="S161" s="77" t="s"/>
      <c r="T161" s="77" t="s"/>
      <c r="U161" s="77" t="s"/>
      <c r="V161" s="77" t="s"/>
      <c r="W161" s="77" t="s"/>
      <c r="X161" s="77" t="s"/>
      <c r="Y161" s="77" t="s"/>
      <c r="Z161" s="77" t="s"/>
      <c r="AA161" s="77" t="s"/>
    </row>
    <row r="162" spans="1:27">
      <c r="A162" s="77" t="s"/>
      <c r="B162" s="77" t="s"/>
      <c r="C162" s="77" t="s"/>
      <c r="D162" s="77" t="s"/>
      <c r="E162" s="77" t="s"/>
      <c r="F162" s="77" t="s"/>
      <c r="G162" s="89" t="s"/>
      <c r="H162" s="89" t="s"/>
      <c r="I162" s="77" t="s"/>
      <c r="J162" s="77" t="s"/>
      <c r="K162" s="77" t="s"/>
      <c r="L162" s="89" t="s"/>
      <c r="M162" s="77" t="s"/>
      <c r="N162" s="77" t="s"/>
      <c r="O162" s="77" t="s"/>
      <c r="P162" s="77" t="s"/>
      <c r="Q162" s="77" t="s"/>
      <c r="R162" s="77" t="s"/>
      <c r="S162" s="77" t="s"/>
      <c r="T162" s="77" t="s"/>
      <c r="U162" s="77" t="s"/>
      <c r="V162" s="77" t="s"/>
      <c r="W162" s="77" t="s"/>
      <c r="X162" s="77" t="s"/>
      <c r="Y162" s="77" t="s"/>
      <c r="Z162" s="77" t="s"/>
      <c r="AA162" s="77" t="s"/>
    </row>
    <row r="163" spans="1:27">
      <c r="A163" s="77" t="s"/>
      <c r="B163" s="77" t="s"/>
      <c r="C163" s="77" t="s"/>
      <c r="D163" s="77" t="s"/>
      <c r="E163" s="77" t="s"/>
      <c r="F163" s="77" t="s"/>
      <c r="G163" s="89" t="s"/>
      <c r="H163" s="89" t="s"/>
      <c r="I163" s="77" t="s"/>
      <c r="J163" s="77" t="s"/>
      <c r="K163" s="77" t="s"/>
      <c r="L163" s="89" t="s"/>
      <c r="M163" s="77" t="s"/>
      <c r="N163" s="77" t="s"/>
      <c r="O163" s="77" t="s"/>
      <c r="P163" s="77" t="s"/>
      <c r="Q163" s="77" t="s"/>
      <c r="R163" s="77" t="s"/>
      <c r="S163" s="77" t="s"/>
      <c r="T163" s="77" t="s"/>
      <c r="U163" s="77" t="s"/>
      <c r="V163" s="77" t="s"/>
      <c r="W163" s="77" t="s"/>
      <c r="X163" s="77" t="s"/>
      <c r="Y163" s="77" t="s"/>
      <c r="Z163" s="77" t="s"/>
      <c r="AA163" s="77" t="s"/>
    </row>
    <row r="164" spans="1:27">
      <c r="A164" s="77" t="s"/>
      <c r="B164" s="77" t="s"/>
      <c r="C164" s="77" t="s"/>
      <c r="D164" s="77" t="s"/>
      <c r="E164" s="77" t="s"/>
      <c r="F164" s="77" t="s"/>
      <c r="G164" s="89" t="s"/>
      <c r="H164" s="89" t="s"/>
      <c r="I164" s="77" t="s"/>
      <c r="J164" s="77" t="s"/>
      <c r="K164" s="77" t="s"/>
      <c r="L164" s="89" t="s"/>
      <c r="M164" s="77" t="s"/>
      <c r="N164" s="77" t="s"/>
      <c r="O164" s="77" t="s"/>
      <c r="P164" s="77" t="s"/>
      <c r="Q164" s="77" t="s"/>
      <c r="R164" s="77" t="s"/>
      <c r="S164" s="77" t="s"/>
      <c r="T164" s="77" t="s"/>
      <c r="U164" s="77" t="s"/>
      <c r="V164" s="77" t="s"/>
      <c r="W164" s="77" t="s"/>
      <c r="X164" s="77" t="s"/>
      <c r="Y164" s="77" t="s"/>
      <c r="Z164" s="77" t="s"/>
      <c r="AA164" s="77" t="s"/>
    </row>
    <row r="165" spans="1:27">
      <c r="A165" s="77" t="s"/>
      <c r="B165" s="77" t="s"/>
      <c r="C165" s="77" t="s"/>
      <c r="D165" s="77" t="s"/>
      <c r="E165" s="77" t="s"/>
      <c r="F165" s="77" t="s"/>
      <c r="G165" s="89" t="s"/>
      <c r="H165" s="89" t="s"/>
      <c r="I165" s="77" t="s"/>
      <c r="J165" s="77" t="s"/>
      <c r="K165" s="77" t="s"/>
      <c r="L165" s="89" t="s"/>
      <c r="M165" s="77" t="s"/>
      <c r="N165" s="77" t="s"/>
      <c r="O165" s="77" t="s"/>
      <c r="P165" s="77" t="s"/>
      <c r="Q165" s="77" t="s"/>
      <c r="R165" s="77" t="s"/>
      <c r="S165" s="77" t="s"/>
      <c r="T165" s="77" t="s"/>
      <c r="U165" s="77" t="s"/>
      <c r="V165" s="77" t="s"/>
      <c r="W165" s="77" t="s"/>
      <c r="X165" s="77" t="s"/>
      <c r="Y165" s="77" t="s"/>
      <c r="Z165" s="77" t="s"/>
      <c r="AA165" s="77" t="s"/>
    </row>
    <row r="166" spans="1:27">
      <c r="A166" s="77" t="s"/>
      <c r="B166" s="77" t="s"/>
      <c r="C166" s="77" t="s"/>
      <c r="D166" s="77" t="s"/>
      <c r="E166" s="77" t="s"/>
      <c r="F166" s="77" t="s"/>
      <c r="G166" s="89" t="s"/>
      <c r="H166" s="89" t="s"/>
      <c r="I166" s="77" t="s"/>
      <c r="J166" s="77" t="s"/>
      <c r="K166" s="77" t="s"/>
      <c r="L166" s="89" t="s"/>
      <c r="M166" s="77" t="s"/>
      <c r="N166" s="77" t="s"/>
      <c r="O166" s="77" t="s"/>
      <c r="P166" s="77" t="s"/>
      <c r="Q166" s="77" t="s"/>
      <c r="R166" s="77" t="s"/>
      <c r="S166" s="77" t="s"/>
      <c r="T166" s="77" t="s"/>
      <c r="U166" s="77" t="s"/>
      <c r="V166" s="77" t="s"/>
      <c r="W166" s="77" t="s"/>
      <c r="X166" s="77" t="s"/>
      <c r="Y166" s="77" t="s"/>
      <c r="Z166" s="77" t="s"/>
      <c r="AA166" s="77" t="s"/>
    </row>
    <row r="167" spans="1:27">
      <c r="A167" s="77" t="s"/>
      <c r="B167" s="77" t="s"/>
      <c r="C167" s="77" t="s"/>
      <c r="D167" s="77" t="s"/>
      <c r="E167" s="77" t="s"/>
      <c r="F167" s="77" t="s"/>
      <c r="G167" s="89" t="s"/>
      <c r="H167" s="89" t="s"/>
      <c r="I167" s="77" t="s"/>
      <c r="J167" s="77" t="s"/>
      <c r="K167" s="77" t="s"/>
      <c r="L167" s="89" t="s"/>
      <c r="M167" s="77" t="s"/>
      <c r="N167" s="77" t="s"/>
      <c r="O167" s="77" t="s"/>
      <c r="P167" s="77" t="s"/>
      <c r="Q167" s="77" t="s"/>
      <c r="R167" s="77" t="s"/>
      <c r="S167" s="77" t="s"/>
      <c r="T167" s="77" t="s"/>
      <c r="U167" s="77" t="s"/>
      <c r="V167" s="77" t="s"/>
      <c r="W167" s="77" t="s"/>
      <c r="X167" s="77" t="s"/>
      <c r="Y167" s="77" t="s"/>
      <c r="Z167" s="77" t="s"/>
      <c r="AA167" s="77" t="s"/>
    </row>
    <row r="168" spans="1:27">
      <c r="A168" s="77" t="s"/>
      <c r="B168" s="77" t="s"/>
      <c r="C168" s="77" t="s"/>
      <c r="D168" s="77" t="s"/>
      <c r="E168" s="77" t="s"/>
      <c r="F168" s="77" t="s"/>
      <c r="G168" s="89" t="s"/>
      <c r="H168" s="89" t="s"/>
      <c r="I168" s="77" t="s"/>
      <c r="J168" s="77" t="s"/>
      <c r="K168" s="77" t="s"/>
      <c r="L168" s="89" t="s"/>
      <c r="M168" s="77" t="s"/>
      <c r="N168" s="77" t="s"/>
      <c r="O168" s="77" t="s"/>
      <c r="P168" s="77" t="s"/>
      <c r="Q168" s="77" t="s"/>
      <c r="R168" s="77" t="s"/>
      <c r="S168" s="77" t="s"/>
      <c r="T168" s="77" t="s"/>
      <c r="U168" s="77" t="s"/>
      <c r="V168" s="77" t="s"/>
      <c r="W168" s="77" t="s"/>
      <c r="X168" s="77" t="s"/>
      <c r="Y168" s="77" t="s"/>
      <c r="Z168" s="77" t="s"/>
      <c r="AA168" s="77" t="s"/>
    </row>
    <row r="169" spans="1:27">
      <c r="A169" s="77" t="s"/>
      <c r="B169" s="77" t="s"/>
      <c r="C169" s="77" t="s"/>
      <c r="D169" s="77" t="s"/>
      <c r="E169" s="77" t="s"/>
      <c r="F169" s="77" t="s"/>
      <c r="G169" s="89" t="s"/>
      <c r="H169" s="89" t="s"/>
      <c r="I169" s="77" t="s"/>
      <c r="J169" s="77" t="s"/>
      <c r="K169" s="77" t="s"/>
      <c r="L169" s="89" t="s"/>
      <c r="M169" s="77" t="s"/>
      <c r="N169" s="77" t="s"/>
      <c r="O169" s="77" t="s"/>
      <c r="P169" s="77" t="s"/>
      <c r="Q169" s="77" t="s"/>
      <c r="R169" s="77" t="s"/>
      <c r="S169" s="77" t="s"/>
      <c r="T169" s="77" t="s"/>
      <c r="U169" s="77" t="s"/>
      <c r="V169" s="77" t="s"/>
      <c r="W169" s="77" t="s"/>
      <c r="X169" s="77" t="s"/>
      <c r="Y169" s="77" t="s"/>
      <c r="Z169" s="77" t="s"/>
      <c r="AA169" s="77" t="s"/>
    </row>
    <row r="170" spans="1:27">
      <c r="A170" s="77" t="s"/>
      <c r="B170" s="77" t="s"/>
      <c r="C170" s="77" t="s"/>
      <c r="D170" s="77" t="s"/>
      <c r="E170" s="77" t="s"/>
      <c r="F170" s="77" t="s"/>
      <c r="G170" s="89" t="s"/>
      <c r="H170" s="89" t="s"/>
      <c r="I170" s="77" t="s"/>
      <c r="J170" s="77" t="s"/>
      <c r="K170" s="77" t="s"/>
      <c r="L170" s="89" t="s"/>
      <c r="M170" s="77" t="s"/>
      <c r="N170" s="77" t="s"/>
      <c r="O170" s="77" t="s"/>
      <c r="P170" s="77" t="s"/>
      <c r="Q170" s="77" t="s"/>
      <c r="R170" s="77" t="s"/>
      <c r="S170" s="77" t="s"/>
      <c r="T170" s="77" t="s"/>
      <c r="U170" s="77" t="s"/>
      <c r="V170" s="77" t="s"/>
      <c r="W170" s="77" t="s"/>
      <c r="X170" s="77" t="s"/>
      <c r="Y170" s="77" t="s"/>
      <c r="Z170" s="77" t="s"/>
      <c r="AA170" s="77" t="s"/>
    </row>
    <row r="171" spans="1:27">
      <c r="A171" s="77" t="s"/>
      <c r="B171" s="77" t="s"/>
      <c r="C171" s="77" t="s"/>
      <c r="D171" s="77" t="s"/>
      <c r="E171" s="77" t="s"/>
      <c r="F171" s="77" t="s"/>
      <c r="G171" s="89" t="s"/>
      <c r="H171" s="89" t="s"/>
      <c r="I171" s="77" t="s"/>
      <c r="J171" s="77" t="s"/>
      <c r="K171" s="77" t="s"/>
      <c r="L171" s="89" t="s"/>
      <c r="M171" s="77" t="s"/>
      <c r="N171" s="77" t="s"/>
      <c r="O171" s="77" t="s"/>
      <c r="P171" s="77" t="s"/>
      <c r="Q171" s="77" t="s"/>
      <c r="R171" s="77" t="s"/>
      <c r="S171" s="77" t="s"/>
      <c r="T171" s="77" t="s"/>
      <c r="U171" s="77" t="s"/>
      <c r="V171" s="77" t="s"/>
      <c r="W171" s="77" t="s"/>
      <c r="X171" s="77" t="s"/>
      <c r="Y171" s="77" t="s"/>
      <c r="Z171" s="77" t="s"/>
      <c r="AA171" s="77" t="s"/>
    </row>
    <row r="172" spans="1:27">
      <c r="A172" s="77" t="s"/>
      <c r="B172" s="77" t="s"/>
      <c r="C172" s="77" t="s"/>
      <c r="D172" s="77" t="s"/>
      <c r="E172" s="77" t="s"/>
      <c r="F172" s="77" t="s"/>
      <c r="G172" s="89" t="s"/>
      <c r="H172" s="89" t="s"/>
      <c r="I172" s="77" t="s"/>
      <c r="J172" s="77" t="s"/>
      <c r="K172" s="77" t="s"/>
      <c r="L172" s="89" t="s"/>
      <c r="M172" s="77" t="s"/>
      <c r="N172" s="77" t="s"/>
      <c r="O172" s="77" t="s"/>
      <c r="P172" s="77" t="s"/>
      <c r="Q172" s="77" t="s"/>
      <c r="R172" s="77" t="s"/>
      <c r="S172" s="77" t="s"/>
      <c r="T172" s="77" t="s"/>
      <c r="U172" s="77" t="s"/>
      <c r="V172" s="77" t="s"/>
      <c r="W172" s="77" t="s"/>
      <c r="X172" s="77" t="s"/>
      <c r="Y172" s="77" t="s"/>
      <c r="Z172" s="77" t="s"/>
      <c r="AA172" s="77" t="s"/>
    </row>
    <row r="173" spans="1:27">
      <c r="A173" s="77" t="s"/>
      <c r="B173" s="77" t="s"/>
      <c r="C173" s="77" t="s"/>
      <c r="D173" s="77" t="s"/>
      <c r="E173" s="77" t="s"/>
      <c r="F173" s="77" t="s"/>
      <c r="G173" s="89" t="s"/>
      <c r="H173" s="89" t="s"/>
      <c r="I173" s="77" t="s"/>
      <c r="J173" s="77" t="s"/>
      <c r="K173" s="77" t="s"/>
      <c r="L173" s="89" t="s"/>
      <c r="M173" s="77" t="s"/>
      <c r="N173" s="77" t="s"/>
      <c r="O173" s="77" t="s"/>
      <c r="P173" s="77" t="s"/>
      <c r="Q173" s="77" t="s"/>
      <c r="R173" s="77" t="s"/>
      <c r="S173" s="77" t="s"/>
      <c r="T173" s="77" t="s"/>
      <c r="U173" s="77" t="s"/>
      <c r="V173" s="77" t="s"/>
      <c r="W173" s="77" t="s"/>
      <c r="X173" s="77" t="s"/>
      <c r="Y173" s="77" t="s"/>
      <c r="Z173" s="77" t="s"/>
      <c r="AA173" s="77" t="s"/>
    </row>
    <row r="174" spans="1:27">
      <c r="A174" s="77" t="s"/>
      <c r="B174" s="77" t="s"/>
      <c r="C174" s="77" t="s"/>
      <c r="D174" s="77" t="s"/>
      <c r="E174" s="77" t="s"/>
      <c r="F174" s="77" t="s"/>
      <c r="G174" s="89" t="s"/>
      <c r="H174" s="89" t="s"/>
      <c r="I174" s="77" t="s"/>
      <c r="J174" s="77" t="s"/>
      <c r="K174" s="77" t="s"/>
      <c r="L174" s="89" t="s"/>
      <c r="M174" s="77" t="s"/>
      <c r="N174" s="77" t="s"/>
      <c r="O174" s="77" t="s"/>
      <c r="P174" s="77" t="s"/>
      <c r="Q174" s="77" t="s"/>
      <c r="R174" s="77" t="s"/>
      <c r="S174" s="77" t="s"/>
      <c r="T174" s="77" t="s"/>
      <c r="U174" s="77" t="s"/>
      <c r="V174" s="77" t="s"/>
      <c r="W174" s="77" t="s"/>
      <c r="X174" s="77" t="s"/>
      <c r="Y174" s="77" t="s"/>
      <c r="Z174" s="77" t="s"/>
      <c r="AA174" s="77" t="s"/>
    </row>
    <row r="175" spans="1:27">
      <c r="A175" s="77" t="s"/>
      <c r="B175" s="77" t="s"/>
      <c r="C175" s="77" t="s"/>
      <c r="D175" s="77" t="s"/>
      <c r="E175" s="77" t="s"/>
      <c r="F175" s="77" t="s"/>
      <c r="G175" s="89" t="s"/>
      <c r="H175" s="89" t="s"/>
      <c r="I175" s="77" t="s"/>
      <c r="J175" s="77" t="s"/>
      <c r="K175" s="77" t="s"/>
      <c r="L175" s="89" t="s"/>
      <c r="M175" s="77" t="s"/>
      <c r="N175" s="77" t="s"/>
      <c r="O175" s="77" t="s"/>
      <c r="P175" s="77" t="s"/>
      <c r="Q175" s="77" t="s"/>
      <c r="R175" s="77" t="s"/>
      <c r="S175" s="77" t="s"/>
      <c r="T175" s="77" t="s"/>
      <c r="U175" s="77" t="s"/>
      <c r="V175" s="77" t="s"/>
      <c r="W175" s="77" t="s"/>
      <c r="X175" s="77" t="s"/>
      <c r="Y175" s="77" t="s"/>
      <c r="Z175" s="77" t="s"/>
      <c r="AA175" s="77" t="s"/>
    </row>
    <row r="176" spans="1:27">
      <c r="A176" s="77" t="s"/>
      <c r="B176" s="77" t="s"/>
      <c r="C176" s="77" t="s"/>
      <c r="D176" s="77" t="s"/>
      <c r="E176" s="77" t="s"/>
      <c r="F176" s="77" t="s"/>
      <c r="G176" s="89" t="s"/>
      <c r="H176" s="89" t="s"/>
      <c r="I176" s="77" t="s"/>
      <c r="J176" s="77" t="s"/>
      <c r="K176" s="77" t="s"/>
      <c r="L176" s="89" t="s"/>
      <c r="M176" s="77" t="s"/>
      <c r="N176" s="77" t="s"/>
      <c r="O176" s="77" t="s"/>
      <c r="P176" s="77" t="s"/>
      <c r="Q176" s="77" t="s"/>
      <c r="R176" s="77" t="s"/>
      <c r="S176" s="77" t="s"/>
      <c r="T176" s="77" t="s"/>
      <c r="U176" s="77" t="s"/>
      <c r="V176" s="77" t="s"/>
      <c r="W176" s="77" t="s"/>
      <c r="X176" s="77" t="s"/>
      <c r="Y176" s="77" t="s"/>
      <c r="Z176" s="77" t="s"/>
      <c r="AA176" s="77" t="s"/>
    </row>
    <row r="177" spans="1:27">
      <c r="A177" s="77" t="s"/>
      <c r="B177" s="77" t="s"/>
      <c r="C177" s="77" t="s"/>
      <c r="D177" s="77" t="s"/>
      <c r="E177" s="77" t="s"/>
      <c r="F177" s="77" t="s"/>
      <c r="G177" s="89" t="s"/>
      <c r="H177" s="89" t="s"/>
      <c r="I177" s="77" t="s"/>
      <c r="J177" s="77" t="s"/>
      <c r="K177" s="77" t="s"/>
      <c r="L177" s="89" t="s"/>
      <c r="M177" s="77" t="s"/>
      <c r="N177" s="77" t="s"/>
      <c r="O177" s="77" t="s"/>
      <c r="P177" s="77" t="s"/>
      <c r="Q177" s="77" t="s"/>
      <c r="R177" s="77" t="s"/>
      <c r="S177" s="77" t="s"/>
      <c r="T177" s="77" t="s"/>
      <c r="U177" s="77" t="s"/>
      <c r="V177" s="77" t="s"/>
      <c r="W177" s="77" t="s"/>
      <c r="X177" s="77" t="s"/>
      <c r="Y177" s="77" t="s"/>
      <c r="Z177" s="77" t="s"/>
      <c r="AA177" s="77" t="s"/>
    </row>
    <row r="178" spans="1:27">
      <c r="A178" s="77" t="s"/>
      <c r="B178" s="77" t="s"/>
      <c r="C178" s="77" t="s"/>
      <c r="D178" s="77" t="s"/>
      <c r="E178" s="77" t="s"/>
      <c r="F178" s="77" t="s"/>
      <c r="G178" s="89" t="s"/>
      <c r="H178" s="89" t="s"/>
      <c r="I178" s="77" t="s"/>
      <c r="J178" s="77" t="s"/>
      <c r="K178" s="77" t="s"/>
      <c r="L178" s="89" t="s"/>
      <c r="M178" s="77" t="s"/>
      <c r="N178" s="77" t="s"/>
      <c r="O178" s="77" t="s"/>
      <c r="P178" s="77" t="s"/>
      <c r="Q178" s="77" t="s"/>
      <c r="R178" s="77" t="s"/>
      <c r="S178" s="77" t="s"/>
      <c r="T178" s="77" t="s"/>
      <c r="U178" s="77" t="s"/>
      <c r="V178" s="77" t="s"/>
      <c r="W178" s="77" t="s"/>
      <c r="X178" s="77" t="s"/>
      <c r="Y178" s="77" t="s"/>
      <c r="Z178" s="77" t="s"/>
      <c r="AA178" s="77" t="s"/>
    </row>
    <row r="179" spans="1:27">
      <c r="A179" s="77" t="s"/>
      <c r="B179" s="77" t="s"/>
      <c r="C179" s="77" t="s"/>
      <c r="D179" s="77" t="s"/>
      <c r="E179" s="77" t="s"/>
      <c r="F179" s="77" t="s"/>
      <c r="G179" s="89" t="s"/>
      <c r="H179" s="89" t="s"/>
      <c r="I179" s="77" t="s"/>
      <c r="J179" s="77" t="s"/>
      <c r="K179" s="77" t="s"/>
      <c r="L179" s="89" t="s"/>
      <c r="M179" s="77" t="s"/>
      <c r="N179" s="77" t="s"/>
      <c r="O179" s="77" t="s"/>
      <c r="P179" s="77" t="s"/>
      <c r="Q179" s="77" t="s"/>
      <c r="R179" s="77" t="s"/>
      <c r="S179" s="77" t="s"/>
      <c r="T179" s="77" t="s"/>
      <c r="U179" s="77" t="s"/>
      <c r="V179" s="77" t="s"/>
      <c r="W179" s="77" t="s"/>
      <c r="X179" s="77" t="s"/>
      <c r="Y179" s="77" t="s"/>
      <c r="Z179" s="77" t="s"/>
      <c r="AA179" s="77" t="s"/>
    </row>
    <row r="180" spans="1:27">
      <c r="A180" s="77" t="s"/>
      <c r="B180" s="77" t="s"/>
      <c r="C180" s="77" t="s"/>
      <c r="D180" s="77" t="s"/>
      <c r="E180" s="77" t="s"/>
      <c r="F180" s="77" t="s"/>
      <c r="G180" s="89" t="s"/>
      <c r="H180" s="89" t="s"/>
      <c r="I180" s="77" t="s"/>
      <c r="J180" s="77" t="s"/>
      <c r="K180" s="77" t="s"/>
      <c r="L180" s="89" t="s"/>
      <c r="M180" s="77" t="s"/>
      <c r="N180" s="77" t="s"/>
      <c r="O180" s="77" t="s"/>
      <c r="P180" s="77" t="s"/>
      <c r="Q180" s="77" t="s"/>
      <c r="R180" s="77" t="s"/>
      <c r="S180" s="77" t="s"/>
      <c r="T180" s="77" t="s"/>
      <c r="U180" s="77" t="s"/>
      <c r="V180" s="77" t="s"/>
      <c r="W180" s="77" t="s"/>
      <c r="X180" s="77" t="s"/>
      <c r="Y180" s="77" t="s"/>
      <c r="Z180" s="77" t="s"/>
      <c r="AA180" s="77" t="s"/>
    </row>
  </sheetData>
</worksheet>
</file>

<file path=xl/worksheets/sheet7.xml><?xml version="1.0" encoding="utf-8"?>
<worksheet xmlns="http://schemas.openxmlformats.org/spreadsheetml/2006/main">
  <sheetPr codeName="核心业务盘点">
    <tabColor/>
  </sheetPr>
  <dimension ref="N24"/>
  <sheetViews>
    <sheetView showGridLines="true" workbookViewId="0">
      <pane xSplit="1" ySplit="2" topLeftCell="B3" state="frozen"/>
    </sheetView>
  </sheetViews>
  <sheetFormatPr baseColWidth="13" defaultRowHeight="18" customHeight="true"/>
  <cols>
    <col min="1" max="1" width="13.6094" customWidth="true"/>
    <col min="2" max="2" width="8.70312" customWidth="true"/>
    <col min="3" max="3" width="8.83203" customWidth="true"/>
    <col min="4" max="4" width="9.20312" customWidth="true"/>
    <col min="5" max="5" width="7.60156" customWidth="true"/>
    <col min="6" max="6" width="9.32031" customWidth="true"/>
    <col min="7" max="7" width="9.69141" customWidth="true"/>
    <col min="8" max="8" width="10.9102" customWidth="true"/>
    <col min="9" max="9" width="8.08984" customWidth="true"/>
    <col min="10" max="10" width="10.1797" customWidth="true"/>
    <col min="11" max="13" width="10.9102" customWidth="true"/>
    <col min="14" max="18" width="8.70312" customWidth="true"/>
    <col min="21" max="21" width="18.7109" customWidth="true"/>
    <col min="22" max="22" width="12.3828" customWidth="true"/>
    <col min="23" max="24" width="18.7109" customWidth="true"/>
  </cols>
  <sheetData>
    <row r="1" spans="2:21">
      <c r="B1" s="211" t="s">
        <v>626</v>
      </c>
      <c r="C1" s="115" t="s"/>
      <c r="D1" s="115" t="s"/>
      <c r="E1" s="115" t="s"/>
      <c r="F1" s="115" t="s"/>
      <c r="G1" s="211" t="s">
        <v>627</v>
      </c>
      <c r="H1" s="115" t="s"/>
      <c r="I1" s="115" t="s"/>
      <c r="J1" s="212" t="s"/>
      <c r="K1" s="211" t="s">
        <v>628</v>
      </c>
      <c r="L1" s="115" t="s"/>
      <c r="M1" s="212" t="s"/>
      <c r="N1" s="211" t="s">
        <v>629</v>
      </c>
      <c r="O1" s="212" t="s"/>
      <c r="P1" s="213" t="s"/>
      <c r="Q1" s="214" t="s">
        <v>630</v>
      </c>
      <c r="R1" s="212" t="s"/>
      <c r="S1" s="211" t="s">
        <v>631</v>
      </c>
      <c r="T1" s="215" t="s">
        <v>632</v>
      </c>
      <c r="U1" s="215" t="s">
        <v>555</v>
      </c>
    </row>
    <row r="2" spans="1:21">
      <c r="A2" s="216" t="s">
        <v>633</v>
      </c>
      <c r="B2" s="217" t="s">
        <v>634</v>
      </c>
      <c r="C2" s="217" t="s">
        <v>635</v>
      </c>
      <c r="D2" s="218" t="s">
        <v>636</v>
      </c>
      <c r="E2" s="219" t="s">
        <v>637</v>
      </c>
      <c r="F2" s="219" t="s">
        <v>638</v>
      </c>
      <c r="G2" s="216" t="s">
        <v>639</v>
      </c>
      <c r="H2" s="218" t="s">
        <v>640</v>
      </c>
      <c r="I2" s="216" t="s">
        <v>641</v>
      </c>
      <c r="J2" s="218" t="s">
        <v>642</v>
      </c>
      <c r="K2" s="219" t="s">
        <v>643</v>
      </c>
      <c r="L2" s="216" t="s">
        <v>644</v>
      </c>
      <c r="M2" s="216" t="s">
        <v>645</v>
      </c>
      <c r="N2" s="216" t="s">
        <v>646</v>
      </c>
      <c r="O2" s="216" t="s">
        <v>647</v>
      </c>
      <c r="P2" s="216" t="s">
        <v>648</v>
      </c>
      <c r="Q2" s="220" t="s">
        <v>649</v>
      </c>
      <c r="R2" s="220" t="s">
        <v>650</v>
      </c>
      <c r="S2" s="216" t="s">
        <v>631</v>
      </c>
      <c r="T2" s="221" t="s">
        <v>651</v>
      </c>
      <c r="U2" s="221" t="s">
        <v>555</v>
      </c>
    </row>
    <row r="3" spans="1:21">
      <c r="A3" s="222" t="s">
        <v>275</v>
      </c>
      <c r="B3" s="223" t="s"/>
      <c r="C3" s="223" t="s"/>
      <c r="D3" s="223" t="s"/>
      <c r="E3" s="223" t="s"/>
      <c r="F3" s="223" t="s"/>
      <c r="G3" s="223" t="s"/>
      <c r="H3" s="223" t="s"/>
      <c r="I3" s="223" t="s"/>
      <c r="J3" s="223" t="s"/>
      <c r="K3" s="223" t="s"/>
      <c r="L3" s="223" t="s"/>
      <c r="M3" s="223" t="s"/>
      <c r="N3" s="223" t="s"/>
      <c r="O3" s="223" t="s"/>
      <c r="P3" s="223" t="s"/>
      <c r="Q3" s="80" t="s"/>
      <c r="R3" s="80" t="s"/>
      <c r="S3" s="80" t="s"/>
      <c r="T3" s="80" t="s"/>
      <c r="U3" s="80" t="s"/>
    </row>
    <row r="4" spans="1:23">
      <c r="A4" s="224" t="s">
        <v>215</v>
      </c>
      <c r="B4" s="223" t="s"/>
      <c r="C4" s="223" t="s"/>
      <c r="D4" s="223" t="s"/>
      <c r="E4" s="223" t="s"/>
      <c r="F4" s="223" t="s"/>
      <c r="G4" s="225" t="s"/>
      <c r="H4" s="225" t="s"/>
      <c r="I4" s="225" t="s"/>
      <c r="J4" s="225" t="s"/>
      <c r="K4" s="223" t="s"/>
      <c r="L4" s="223" t="s"/>
      <c r="M4" s="223" t="s"/>
      <c r="N4" s="223" t="s"/>
      <c r="O4" s="223" t="s"/>
      <c r="P4" s="223" t="s"/>
      <c r="Q4" s="80" t="s"/>
      <c r="R4" s="80" t="s"/>
      <c r="S4" s="80" t="s"/>
      <c r="T4" s="80" t="s"/>
      <c r="U4" s="80" t="s"/>
      <c r="V4" s="225" t="s"/>
      <c r="W4" t="s">
        <v>652</v>
      </c>
    </row>
    <row r="5" spans="1:23">
      <c r="A5" s="226" t="s">
        <v>176</v>
      </c>
      <c r="B5" s="225" t="s"/>
      <c r="C5" s="225" t="s"/>
      <c r="D5" s="225" t="s"/>
      <c r="E5" s="225" t="s"/>
      <c r="F5" s="225" t="s"/>
      <c r="G5" s="80" t="s"/>
      <c r="H5" s="80" t="s"/>
      <c r="I5" s="80" t="s"/>
      <c r="J5" s="80" t="s"/>
      <c r="K5" s="80" t="s"/>
      <c r="L5" s="80" t="s"/>
      <c r="M5" s="80" t="s"/>
      <c r="N5" s="80" t="s"/>
      <c r="O5" s="80" t="s"/>
      <c r="P5" s="80" t="s"/>
      <c r="Q5" s="80" t="s"/>
      <c r="R5" s="80" t="s"/>
      <c r="S5" s="80" t="s"/>
      <c r="T5" s="80" t="s"/>
      <c r="U5" s="80" t="s"/>
      <c r="V5" s="227" t="s"/>
      <c r="W5" t="s">
        <v>653</v>
      </c>
    </row>
    <row r="6" spans="1:23">
      <c r="A6" s="226" t="s">
        <v>159</v>
      </c>
      <c r="B6" s="80" t="s"/>
      <c r="C6" s="80" t="s"/>
      <c r="D6" s="80" t="s"/>
      <c r="E6" s="80" t="s"/>
      <c r="F6" s="80" t="s"/>
      <c r="G6" s="80" t="s"/>
      <c r="H6" s="80" t="s"/>
      <c r="I6" s="80" t="s"/>
      <c r="J6" s="80" t="s"/>
      <c r="K6" s="225" t="s"/>
      <c r="L6" s="225" t="s"/>
      <c r="M6" s="225" t="s"/>
      <c r="N6" s="80" t="s"/>
      <c r="O6" s="80" t="s"/>
      <c r="P6" s="80" t="s"/>
      <c r="Q6" s="80" t="s"/>
      <c r="R6" s="80" t="s"/>
      <c r="S6" s="80" t="s"/>
      <c r="T6" s="80" t="s"/>
      <c r="U6" s="80" t="s"/>
      <c r="V6" s="223" t="s"/>
      <c r="W6" t="s">
        <v>654</v>
      </c>
    </row>
    <row r="7" spans="1:21">
      <c r="A7" s="228" t="s">
        <v>167</v>
      </c>
      <c r="B7" s="130" t="s"/>
      <c r="C7" s="130" t="s"/>
      <c r="D7" s="130" t="s"/>
      <c r="E7" s="130" t="s"/>
      <c r="F7" s="130" t="s"/>
      <c r="G7" s="130" t="s"/>
      <c r="H7" s="130" t="s"/>
      <c r="I7" s="130" t="s"/>
      <c r="J7" s="130" t="s"/>
      <c r="K7" s="130" t="s"/>
      <c r="L7" s="130" t="s"/>
      <c r="M7" s="130" t="s"/>
      <c r="N7" s="229" t="s"/>
      <c r="O7" s="229" t="s"/>
      <c r="P7" s="229" t="s"/>
      <c r="Q7" s="130" t="s"/>
      <c r="R7" s="130" t="s"/>
      <c r="S7" s="130" t="s"/>
      <c r="T7" s="130" t="s"/>
      <c r="U7" s="130" t="s"/>
    </row>
    <row r="8" spans="1:21">
      <c r="A8" s="230" t="s">
        <v>203</v>
      </c>
      <c r="B8" s="225" t="s"/>
      <c r="C8" s="225" t="s"/>
      <c r="D8" s="225" t="s"/>
      <c r="E8" s="80" t="s"/>
      <c r="F8" s="80" t="s"/>
      <c r="G8" s="80" t="s"/>
      <c r="H8" s="80" t="s"/>
      <c r="I8" s="80" t="s"/>
      <c r="J8" s="80" t="s"/>
      <c r="K8" s="80" t="s"/>
      <c r="L8" s="80" t="s"/>
      <c r="M8" s="80" t="s"/>
      <c r="N8" s="80" t="s"/>
      <c r="O8" s="80" t="s"/>
      <c r="P8" s="80" t="s"/>
      <c r="Q8" s="80" t="s"/>
      <c r="R8" s="80" t="s"/>
      <c r="S8" s="80" t="s"/>
      <c r="T8" s="80" t="s"/>
      <c r="U8" s="80" t="s"/>
    </row>
    <row r="9" spans="1:21">
      <c r="A9" s="230" t="s">
        <v>197</v>
      </c>
      <c r="B9" s="80" t="s"/>
      <c r="C9" s="80" t="s"/>
      <c r="D9" s="80" t="s"/>
      <c r="E9" s="80" t="s"/>
      <c r="G9" s="80" t="s"/>
      <c r="H9" s="80" t="s"/>
      <c r="I9" s="80" t="s"/>
      <c r="J9" s="80" t="s"/>
      <c r="K9" s="225" t="s"/>
      <c r="L9" s="80" t="s"/>
      <c r="M9" s="80" t="s"/>
      <c r="N9" s="80" t="s"/>
      <c r="O9" s="80" t="s"/>
      <c r="P9" s="80" t="s"/>
      <c r="Q9" s="80" t="s"/>
      <c r="R9" s="80" t="s"/>
      <c r="S9" s="80" t="s"/>
      <c r="T9" s="80" t="s"/>
      <c r="U9" s="80" t="s"/>
    </row>
    <row r="10" spans="1:21">
      <c r="A10" s="230" t="s">
        <v>200</v>
      </c>
      <c r="B10" s="80" t="s"/>
      <c r="C10" s="80" t="s"/>
      <c r="D10" s="80" t="s"/>
      <c r="E10" s="80" t="s"/>
      <c r="F10" s="80" t="s"/>
      <c r="G10" s="225" t="s"/>
      <c r="H10" s="225" t="s"/>
      <c r="I10" s="80" t="s"/>
      <c r="J10" s="80" t="s"/>
      <c r="K10" s="80" t="s"/>
      <c r="L10" s="80" t="s"/>
      <c r="M10" s="80" t="s"/>
      <c r="N10" s="80" t="s"/>
      <c r="O10" s="80" t="s"/>
      <c r="P10" s="80" t="s"/>
      <c r="Q10" s="80" t="s"/>
      <c r="R10" s="80" t="s"/>
      <c r="S10" s="80" t="s"/>
      <c r="T10" s="80" t="s"/>
      <c r="U10" s="80" t="s"/>
    </row>
    <row r="11" spans="1:21">
      <c r="A11" s="230" t="s">
        <v>370</v>
      </c>
      <c r="B11" s="80" t="s"/>
      <c r="C11" s="80" t="s"/>
      <c r="D11" s="80" t="s"/>
      <c r="E11" s="80" t="s"/>
      <c r="F11" s="80" t="s"/>
      <c r="G11" s="80" t="s"/>
      <c r="H11" s="80" t="s"/>
      <c r="I11" s="225" t="s"/>
      <c r="J11" s="225" t="s"/>
      <c r="K11" s="80" t="s"/>
      <c r="L11" s="80" t="s"/>
      <c r="M11" s="80" t="s"/>
      <c r="N11" s="80" t="s"/>
      <c r="O11" s="80" t="s"/>
      <c r="P11" s="80" t="s"/>
      <c r="Q11" s="80" t="s"/>
      <c r="R11" s="80" t="s"/>
      <c r="S11" s="80" t="s"/>
      <c r="T11" s="80" t="s"/>
      <c r="U11" s="80" t="s"/>
    </row>
    <row r="12" spans="1:21">
      <c r="A12" s="230" t="s">
        <v>206</v>
      </c>
      <c r="B12" s="80" t="s"/>
      <c r="C12" s="80" t="s"/>
      <c r="D12" s="80" t="s"/>
      <c r="E12" s="225" t="s"/>
      <c r="F12" s="225" t="s"/>
      <c r="G12" s="80" t="s"/>
      <c r="H12" s="80" t="s"/>
      <c r="I12" s="80" t="s"/>
      <c r="J12" s="80" t="s"/>
      <c r="L12" s="80" t="s"/>
      <c r="M12" s="80" t="s"/>
      <c r="N12" s="80" t="s"/>
      <c r="O12" s="80" t="s"/>
      <c r="P12" s="80" t="s"/>
      <c r="Q12" s="227" t="s"/>
      <c r="R12" s="227" t="s"/>
      <c r="S12" s="80" t="s"/>
      <c r="T12" s="80" t="s"/>
      <c r="U12" s="80" t="s"/>
    </row>
    <row r="13" spans="1:21">
      <c r="A13" s="230" t="s">
        <v>189</v>
      </c>
      <c r="B13" s="80" t="s"/>
      <c r="C13" s="80" t="s"/>
      <c r="D13" s="80" t="s"/>
      <c r="E13" s="80" t="s"/>
      <c r="F13" s="80" t="s"/>
      <c r="G13" s="80" t="s"/>
      <c r="H13" s="80" t="s"/>
      <c r="I13" s="80" t="s"/>
      <c r="J13" s="80" t="s"/>
      <c r="K13" s="80" t="s"/>
      <c r="L13" s="225" t="s"/>
      <c r="M13" s="225" t="s"/>
      <c r="N13" s="80" t="s"/>
      <c r="O13" s="80" t="s"/>
      <c r="P13" s="80" t="s"/>
      <c r="Q13" s="80" t="s"/>
      <c r="R13" s="80" t="s"/>
      <c r="S13" s="80" t="s"/>
      <c r="T13" s="80" t="s"/>
      <c r="U13" s="80" t="s"/>
    </row>
    <row r="14" spans="1:21">
      <c r="A14" s="231" t="s">
        <v>153</v>
      </c>
      <c r="B14" s="130" t="s"/>
      <c r="C14" s="130" t="s"/>
      <c r="D14" s="130" t="s"/>
      <c r="E14" s="130" t="s"/>
      <c r="F14" s="130" t="s"/>
      <c r="G14" s="130" t="s"/>
      <c r="H14" s="130" t="s"/>
      <c r="I14" s="130" t="s"/>
      <c r="J14" s="130" t="s"/>
      <c r="K14" s="130" t="s"/>
      <c r="L14" s="130" t="s"/>
      <c r="M14" s="130" t="s"/>
      <c r="N14" s="225" t="s"/>
      <c r="O14" s="225" t="s"/>
      <c r="P14" s="225" t="s"/>
      <c r="Q14" s="80" t="s"/>
      <c r="R14" s="80" t="s"/>
      <c r="S14" s="80" t="s"/>
      <c r="T14" s="80" t="s"/>
      <c r="U14" s="80" t="s"/>
    </row>
    <row r="15" spans="1:16">
      <c r="A15" s="127" t="s">
        <v>655</v>
      </c>
      <c r="B15" s="232" t="s">
        <v>775</v>
      </c>
      <c r="C15" s="80" t="s"/>
      <c r="D15" s="80" t="s"/>
      <c r="E15" s="80" t="s"/>
      <c r="F15" s="80" t="s"/>
      <c r="G15" s="80" t="s"/>
      <c r="H15" s="80" t="s"/>
      <c r="I15" s="80" t="s"/>
      <c r="J15" s="80" t="s"/>
      <c r="K15" s="80" t="s"/>
      <c r="L15" s="79" t="s"/>
      <c r="M15" s="79" t="s"/>
      <c r="N15" s="80" t="s"/>
      <c r="O15" s="233" t="s"/>
      <c r="P15" s="233" t="s"/>
    </row>
    <row r="16" spans="1:16">
      <c r="A16" s="80" t="s"/>
      <c r="B16" s="80" t="s"/>
      <c r="C16" s="80" t="s"/>
      <c r="D16" s="80" t="s"/>
      <c r="E16" s="80" t="s"/>
      <c r="F16" s="80" t="s"/>
      <c r="G16" s="80" t="s"/>
      <c r="H16" s="80" t="s"/>
      <c r="I16" s="80" t="s"/>
      <c r="J16" s="80" t="s"/>
      <c r="K16" s="80" t="s"/>
      <c r="L16" s="79" t="s"/>
      <c r="M16" s="79" t="s"/>
      <c r="N16" s="80" t="s"/>
      <c r="O16" s="233" t="s"/>
      <c r="P16" s="233" t="s"/>
    </row>
    <row r="17" spans="1:16" ht="454.5" customHeight="true">
      <c r="A17" s="80" t="s"/>
      <c r="B17" s="80" t="s"/>
      <c r="C17" s="80" t="s"/>
      <c r="D17" s="80" t="s"/>
      <c r="E17" s="80" t="s"/>
      <c r="F17" s="80" t="s"/>
      <c r="G17" s="80" t="s"/>
      <c r="H17" s="80" t="s"/>
      <c r="I17" s="80" t="s"/>
      <c r="J17" s="80" t="s"/>
      <c r="K17" s="80" t="s"/>
      <c r="L17" s="79" t="s"/>
      <c r="M17" s="79" t="s"/>
      <c r="N17" s="80" t="s"/>
      <c r="O17" s="233" t="s"/>
      <c r="P17" s="233" t="s"/>
    </row>
    <row r="18" spans="1:16" ht="30" customHeight="true">
      <c r="A18" s="129" t="s">
        <v>656</v>
      </c>
      <c r="B18" s="234" t="s">
        <v>657</v>
      </c>
      <c r="C18" s="130" t="s"/>
      <c r="D18" s="130" t="s"/>
      <c r="E18" s="130" t="s"/>
      <c r="F18" s="130" t="s"/>
      <c r="G18" s="130" t="s"/>
      <c r="H18" s="130" t="s"/>
      <c r="I18" s="130" t="s"/>
      <c r="J18" s="130" t="s"/>
      <c r="K18" s="130" t="s"/>
      <c r="L18" s="130" t="s"/>
      <c r="M18" s="130" t="s"/>
      <c r="N18" s="130" t="s"/>
      <c r="O18" s="235" t="s"/>
      <c r="P18" s="235" t="s"/>
    </row>
    <row r="19" spans="1:14">
      <c r="A19" s="78" t="s">
        <v>658</v>
      </c>
      <c r="B19" s="79" t="s">
        <v>659</v>
      </c>
      <c r="C19" s="80" t="s"/>
      <c r="D19" s="80" t="s"/>
      <c r="E19" s="80" t="s"/>
      <c r="F19" s="80" t="s"/>
      <c r="G19" s="80" t="s"/>
      <c r="H19" s="80" t="s"/>
      <c r="I19" s="80" t="s"/>
      <c r="J19" s="80" t="s"/>
      <c r="K19" s="80" t="s"/>
      <c r="L19" s="80" t="s"/>
      <c r="M19" s="80" t="s"/>
      <c r="N19" s="80" t="s"/>
    </row>
    <row r="20" spans="1:14">
      <c r="A20" s="80" t="s"/>
      <c r="B20" s="80" t="s"/>
      <c r="C20" s="80" t="s"/>
      <c r="D20" s="80" t="s"/>
      <c r="E20" s="80" t="s"/>
      <c r="F20" s="80" t="s"/>
      <c r="G20" s="80" t="s"/>
      <c r="H20" s="80" t="s"/>
      <c r="I20" s="80" t="s"/>
      <c r="J20" s="80" t="s"/>
      <c r="K20" s="80" t="s"/>
      <c r="L20" s="80" t="s"/>
      <c r="M20" s="80" t="s"/>
      <c r="N20" s="80" t="s"/>
    </row>
    <row r="21" spans="1:14">
      <c r="A21" s="80" t="s"/>
      <c r="B21" s="80" t="s"/>
      <c r="C21" s="80" t="s"/>
      <c r="D21" s="80" t="s"/>
      <c r="E21" s="80" t="s"/>
      <c r="F21" s="80" t="s"/>
      <c r="G21" s="80" t="s"/>
      <c r="H21" s="80" t="s"/>
      <c r="I21" s="80" t="s"/>
      <c r="J21" s="80" t="s"/>
      <c r="K21" s="80" t="s"/>
      <c r="L21" s="80" t="s"/>
      <c r="M21" s="80" t="s"/>
      <c r="N21" s="80" t="s"/>
    </row>
    <row r="22" spans="1:14">
      <c r="A22" s="80" t="s"/>
      <c r="B22" s="80" t="s"/>
      <c r="C22" s="80" t="s"/>
      <c r="D22" s="80" t="s"/>
      <c r="E22" s="80" t="s"/>
      <c r="F22" s="80" t="s"/>
      <c r="G22" s="80" t="s"/>
      <c r="H22" s="80" t="s"/>
      <c r="I22" s="80" t="s"/>
      <c r="J22" s="80" t="s"/>
      <c r="K22" s="80" t="s"/>
      <c r="L22" s="80" t="s"/>
      <c r="M22" s="80" t="s"/>
      <c r="N22" s="80" t="s"/>
    </row>
    <row r="23" spans="1:14">
      <c r="A23" s="80" t="s"/>
      <c r="B23" s="80" t="s"/>
      <c r="C23" s="80" t="s"/>
      <c r="D23" s="80" t="s"/>
      <c r="E23" s="80" t="s"/>
      <c r="F23" s="80" t="s"/>
      <c r="G23" s="80" t="s"/>
      <c r="H23" s="80" t="s"/>
      <c r="I23" s="80" t="s"/>
      <c r="J23" s="80" t="s"/>
      <c r="K23" s="80" t="s"/>
      <c r="L23" s="80" t="s"/>
      <c r="M23" s="80" t="s"/>
      <c r="N23" s="80" t="s"/>
    </row>
    <row r="24" spans="1:14" hidden="true">
      <c r="A24" s="80" t="s"/>
      <c r="B24" s="80" t="s"/>
      <c r="C24" s="80" t="s"/>
      <c r="D24" s="80" t="s"/>
      <c r="E24" s="80" t="s"/>
      <c r="F24" s="80" t="s"/>
      <c r="G24" s="80" t="s"/>
      <c r="H24" s="80" t="s"/>
      <c r="I24" s="80" t="s"/>
      <c r="J24" s="80" t="s"/>
      <c r="K24" s="80" t="s"/>
      <c r="L24" s="80" t="s"/>
      <c r="M24" s="80" t="s"/>
      <c r="N24" s="80" t="s"/>
    </row>
  </sheetData>
  <mergeCells count="10">
    <mergeCell ref="Q1:R1"/>
    <mergeCell ref="N1:O1"/>
    <mergeCell ref="K1:M1"/>
    <mergeCell ref="B1:F1"/>
    <mergeCell ref="G1:J1"/>
    <mergeCell ref="A15:A17"/>
    <mergeCell ref="B15:N17"/>
    <mergeCell ref="B18:N18"/>
    <mergeCell ref="A19:A24"/>
    <mergeCell ref="B19:N24"/>
  </mergeCells>
</worksheet>
</file>

<file path=xl/worksheets/sheet8.xml><?xml version="1.0" encoding="utf-8"?>
<worksheet xmlns="http://schemas.openxmlformats.org/spreadsheetml/2006/main">
  <sheetPr/>
  <dimension ref="Z49"/>
  <sheetViews>
    <sheetView showGridLines="true" topLeftCell="A1" zoomScale="115" zoomScaleNormal="115" workbookViewId="0">
      <pane xSplit="2" ySplit="2" topLeftCell="J9" activePane="bottomRight" state="frozen"/>
    </sheetView>
  </sheetViews>
  <sheetFormatPr defaultColWidth="9.235" defaultRowHeight="13.5"/>
  <cols>
    <col min="1" max="2" width="9.25" style="383"/>
    <col min="3" max="4" width="12.625" style="383" customWidth="true"/>
    <col min="5" max="5" width="14.625" style="383" customWidth="true"/>
    <col min="6" max="6" width="21.625" style="383" customWidth="true"/>
    <col min="7" max="7" width="14.625" style="385" customWidth="true"/>
    <col min="8" max="8" width="12.125" style="383" customWidth="true"/>
    <col min="9" max="9" width="13.5" style="383" customWidth="true"/>
    <col min="10" max="10" width="18.25" style="383" customWidth="true"/>
    <col min="11" max="11" width="16" style="383" customWidth="true"/>
    <col min="12" max="12" width="15.375" style="383" customWidth="true"/>
    <col min="13" max="13" width="17.375" style="383" customWidth="true"/>
    <col min="14" max="15" width="15.875" style="383" customWidth="true"/>
    <col min="16" max="16" width="17.625" style="383" customWidth="true"/>
    <col min="17" max="17" width="11.1602" style="383" customWidth="true"/>
    <col min="18" max="18" width="15.332" style="383" customWidth="true"/>
    <col min="19" max="19" width="13.4922" style="383" customWidth="true"/>
    <col min="20" max="20" width="12.75" style="383" customWidth="true"/>
    <col min="21" max="21" width="13.8594" style="383" customWidth="true"/>
    <col min="22" max="26" width="9.25" style="383"/>
    <col min="27" max="27" width="9.25" style="384"/>
  </cols>
  <sheetData>
    <row r="1" spans="1:11" s="383" customFormat="true" ht="39" customHeight="true">
      <c r="A1" s="369" t="s">
        <v>736</v>
      </c>
      <c r="B1" s="370" t="s"/>
      <c r="C1" s="370" t="s"/>
      <c r="D1" s="370" t="s"/>
      <c r="E1" s="370" t="s"/>
      <c r="F1" s="370" t="s"/>
      <c r="G1" s="370" t="s"/>
      <c r="H1" s="370" t="s"/>
      <c r="I1" s="370" t="s"/>
      <c r="J1" s="370" t="s"/>
      <c r="K1" s="370" t="s"/>
    </row>
    <row r="2" spans="1:27" s="383" customFormat="true" ht="16" customHeight="true">
      <c r="A2" s="4" t="s">
        <v>1</v>
      </c>
      <c r="B2" s="4" t="s">
        <v>2</v>
      </c>
      <c r="C2" s="4" t="s">
        <v>3</v>
      </c>
      <c r="D2" s="4" t="s">
        <v>4</v>
      </c>
      <c r="E2" s="4" t="s">
        <v>5</v>
      </c>
      <c r="F2" s="4" t="s">
        <v>6</v>
      </c>
      <c r="G2" s="4" t="s">
        <v>7</v>
      </c>
      <c r="H2" s="4" t="s">
        <v>8</v>
      </c>
      <c r="I2" s="5" t="s">
        <v>9</v>
      </c>
      <c r="J2" s="371" t="s">
        <v>737</v>
      </c>
      <c r="K2" s="371" t="s">
        <v>738</v>
      </c>
      <c r="L2" s="371" t="s">
        <v>739</v>
      </c>
      <c r="M2" s="371" t="s">
        <v>740</v>
      </c>
      <c r="N2" s="371" t="s">
        <v>741</v>
      </c>
      <c r="O2" s="371" t="s">
        <v>742</v>
      </c>
      <c r="P2" s="371" t="s">
        <v>743</v>
      </c>
      <c r="Q2" s="372" t="s">
        <v>358</v>
      </c>
      <c r="R2" s="371" t="s">
        <v>744</v>
      </c>
      <c r="S2" s="371" t="s">
        <v>745</v>
      </c>
      <c r="T2" s="371" t="s">
        <v>746</v>
      </c>
      <c r="U2" s="371" t="s">
        <v>747</v>
      </c>
      <c r="V2" s="373" t="s">
        <v>748</v>
      </c>
      <c r="W2" s="373" t="s">
        <v>738</v>
      </c>
      <c r="X2" s="373" t="s">
        <v>739</v>
      </c>
      <c r="Y2" s="373" t="s">
        <v>740</v>
      </c>
      <c r="Z2" s="373" t="s">
        <v>741</v>
      </c>
      <c r="AA2" s="374" t="s">
        <v>742</v>
      </c>
    </row>
    <row r="3" spans="1:18" s="383" customFormat="true" ht="16" customHeight="true">
      <c r="A3" s="10">
        <v>12383</v>
      </c>
      <c r="B3" s="10" t="s">
        <v>167</v>
      </c>
      <c r="C3" s="10" t="s">
        <v>66</v>
      </c>
      <c r="D3" s="10" t="s">
        <v>31</v>
      </c>
      <c r="E3" s="10" t="s">
        <v>32</v>
      </c>
      <c r="F3" s="10" t="s">
        <v>33</v>
      </c>
      <c r="G3" s="10" t="s"/>
      <c r="H3" s="10" t="s">
        <v>44</v>
      </c>
      <c r="I3" s="11">
        <v>44627</v>
      </c>
      <c r="J3" s="70" t="s">
        <v>46</v>
      </c>
      <c r="K3" s="70" t="s">
        <v>46</v>
      </c>
      <c r="L3" s="70" t="s">
        <v>749</v>
      </c>
      <c r="M3" s="70" t="s">
        <v>749</v>
      </c>
      <c r="N3" s="70" t="s">
        <v>749</v>
      </c>
      <c r="O3" s="70" t="s">
        <v>749</v>
      </c>
      <c r="P3" s="70" t="s">
        <v>749</v>
      </c>
      <c r="Q3" s="70" t="s">
        <v>358</v>
      </c>
      <c r="R3" s="70" t="s">
        <v>358</v>
      </c>
    </row>
    <row r="4" spans="1:18" s="384" customFormat="true" ht="16" customHeight="true">
      <c r="A4" s="375">
        <v>72205</v>
      </c>
      <c r="B4" s="375" t="s">
        <v>367</v>
      </c>
      <c r="C4" s="10" t="s"/>
      <c r="D4" s="10" t="s"/>
      <c r="E4" s="10" t="s"/>
      <c r="F4" s="10" t="s"/>
      <c r="G4" s="10" t="s"/>
      <c r="H4" s="10" t="s"/>
      <c r="I4" s="11" t="s"/>
      <c r="J4" s="70" t="s"/>
      <c r="K4" s="70" t="s"/>
      <c r="L4" s="70" t="s"/>
      <c r="M4" s="70" t="s"/>
      <c r="N4" s="70" t="s"/>
      <c r="O4" s="70" t="s"/>
      <c r="P4" s="70" t="s"/>
      <c r="Q4" s="70" t="s">
        <v>358</v>
      </c>
      <c r="R4" s="70" t="s">
        <v>358</v>
      </c>
    </row>
    <row r="5" spans="1:18" s="384" customFormat="true" ht="16" customHeight="true">
      <c r="A5" s="375">
        <v>77303</v>
      </c>
      <c r="B5" s="375" t="s">
        <v>374</v>
      </c>
      <c r="C5" s="10" t="s"/>
      <c r="D5" s="10" t="s"/>
      <c r="E5" s="10" t="s"/>
      <c r="F5" s="10" t="s"/>
      <c r="G5" s="10" t="s"/>
      <c r="H5" s="10" t="s"/>
      <c r="I5" s="11" t="s"/>
      <c r="J5" s="70" t="s"/>
      <c r="K5" s="70" t="s"/>
      <c r="L5" s="70" t="s"/>
      <c r="M5" s="70" t="s"/>
      <c r="N5" s="70" t="s"/>
      <c r="O5" s="70" t="s"/>
      <c r="P5" s="70" t="s"/>
      <c r="Q5" s="70" t="s">
        <v>358</v>
      </c>
      <c r="R5" s="70" t="s">
        <v>358</v>
      </c>
    </row>
    <row r="6" spans="1:18" s="384" customFormat="true" ht="16" customHeight="true">
      <c r="A6" s="168">
        <v>37791</v>
      </c>
      <c r="B6" s="168" t="s">
        <v>356</v>
      </c>
      <c r="C6" s="10" t="s"/>
      <c r="D6" s="10" t="s"/>
      <c r="E6" s="10" t="s"/>
      <c r="F6" s="10" t="s"/>
      <c r="G6" s="10" t="s"/>
      <c r="H6" s="10" t="s"/>
      <c r="I6" s="11" t="s"/>
      <c r="J6" s="70" t="s"/>
      <c r="K6" s="70" t="s"/>
      <c r="L6" s="70" t="s"/>
      <c r="M6" s="70" t="s"/>
      <c r="N6" s="70" t="s"/>
      <c r="O6" s="70" t="s"/>
      <c r="P6" s="70" t="s"/>
      <c r="Q6" s="70" t="s">
        <v>358</v>
      </c>
      <c r="R6" s="70" t="s">
        <v>358</v>
      </c>
    </row>
    <row r="7" spans="1:18" s="384" customFormat="true" ht="16" customHeight="true">
      <c r="A7" s="376">
        <v>71199</v>
      </c>
      <c r="B7" s="376" t="s">
        <v>750</v>
      </c>
      <c r="C7" s="10" t="s"/>
      <c r="D7" s="10" t="s"/>
      <c r="E7" s="10" t="s"/>
      <c r="F7" s="10" t="s"/>
      <c r="G7" s="10" t="s"/>
      <c r="H7" s="10" t="s"/>
      <c r="I7" s="11" t="s"/>
      <c r="J7" s="70" t="s"/>
      <c r="K7" s="70" t="s"/>
      <c r="L7" s="70" t="s"/>
      <c r="M7" s="70" t="s"/>
      <c r="N7" s="70" t="s"/>
      <c r="O7" s="70" t="s"/>
      <c r="P7" s="70" t="s"/>
      <c r="Q7" s="70" t="s">
        <v>358</v>
      </c>
      <c r="R7" s="70" t="s">
        <v>358</v>
      </c>
    </row>
    <row r="8" spans="1:21" s="383" customFormat="true" ht="16" customHeight="true">
      <c r="A8" s="10">
        <v>17795</v>
      </c>
      <c r="B8" s="10" t="s">
        <v>189</v>
      </c>
      <c r="C8" s="10" t="s">
        <v>43</v>
      </c>
      <c r="D8" s="10" t="s">
        <v>31</v>
      </c>
      <c r="E8" s="10" t="s">
        <v>32</v>
      </c>
      <c r="F8" s="10" t="s">
        <v>33</v>
      </c>
      <c r="G8" s="10" t="s"/>
      <c r="H8" s="10" t="s">
        <v>44</v>
      </c>
      <c r="I8" s="11">
        <v>43245</v>
      </c>
      <c r="J8" s="70" t="s">
        <v>751</v>
      </c>
      <c r="K8" s="70" t="s">
        <v>751</v>
      </c>
      <c r="L8" s="70" t="s">
        <v>752</v>
      </c>
      <c r="M8" s="70" t="s">
        <v>752</v>
      </c>
      <c r="N8" s="70" t="s">
        <v>752</v>
      </c>
      <c r="O8" s="70" t="s">
        <v>752</v>
      </c>
      <c r="P8" s="70" t="s">
        <v>752</v>
      </c>
      <c r="Q8" s="70" t="s">
        <v>347</v>
      </c>
      <c r="R8" s="70" t="s">
        <v>347</v>
      </c>
      <c r="S8" s="377" t="s">
        <v>347</v>
      </c>
      <c r="T8" s="377" t="s">
        <v>347</v>
      </c>
      <c r="U8" s="377" t="s">
        <v>347</v>
      </c>
    </row>
    <row r="9" spans="1:18" s="383" customFormat="true" ht="16" customHeight="true">
      <c r="A9" s="10">
        <v>23418</v>
      </c>
      <c r="B9" s="10" t="s">
        <v>163</v>
      </c>
      <c r="C9" s="10" t="s">
        <v>30</v>
      </c>
      <c r="D9" s="10" t="s">
        <v>31</v>
      </c>
      <c r="E9" s="10" t="s">
        <v>32</v>
      </c>
      <c r="F9" s="10" t="s">
        <v>33</v>
      </c>
      <c r="G9" s="10" t="s">
        <v>267</v>
      </c>
      <c r="H9" s="10" t="s">
        <v>44</v>
      </c>
      <c r="I9" s="95">
        <v>45362</v>
      </c>
      <c r="J9" s="70" t="s">
        <v>751</v>
      </c>
      <c r="K9" s="70" t="s">
        <v>753</v>
      </c>
      <c r="L9" s="70" t="s">
        <v>57</v>
      </c>
      <c r="M9" s="70" t="s">
        <v>57</v>
      </c>
      <c r="N9" s="70" t="s">
        <v>57</v>
      </c>
      <c r="O9" s="70" t="s">
        <v>57</v>
      </c>
      <c r="P9" s="70" t="s">
        <v>57</v>
      </c>
      <c r="Q9" s="70" t="s">
        <v>57</v>
      </c>
      <c r="R9" s="70" t="s">
        <v>57</v>
      </c>
    </row>
    <row r="10" spans="1:19" s="383" customFormat="true" ht="16" customHeight="true">
      <c r="A10" s="10">
        <v>29050</v>
      </c>
      <c r="B10" s="10" t="s">
        <v>203</v>
      </c>
      <c r="C10" s="10" t="s">
        <v>66</v>
      </c>
      <c r="D10" s="10" t="s">
        <v>31</v>
      </c>
      <c r="E10" s="10" t="s">
        <v>32</v>
      </c>
      <c r="F10" s="10" t="s">
        <v>33</v>
      </c>
      <c r="G10" s="10" t="s"/>
      <c r="H10" s="10" t="s">
        <v>44</v>
      </c>
      <c r="I10" s="11">
        <v>43291</v>
      </c>
      <c r="J10" s="70" t="s">
        <v>754</v>
      </c>
      <c r="K10" s="70" t="s">
        <v>749</v>
      </c>
      <c r="L10" s="70" t="s">
        <v>749</v>
      </c>
      <c r="M10" s="70" t="s">
        <v>749</v>
      </c>
      <c r="N10" s="70" t="s">
        <v>749</v>
      </c>
      <c r="O10" s="70" t="s">
        <v>749</v>
      </c>
      <c r="P10" s="70" t="s">
        <v>749</v>
      </c>
      <c r="Q10" s="70" t="s">
        <v>347</v>
      </c>
      <c r="R10" s="70" t="s">
        <v>347</v>
      </c>
      <c r="S10" s="377" t="s">
        <v>347</v>
      </c>
    </row>
    <row r="11" spans="1:19" s="383" customFormat="true" ht="16" customHeight="true">
      <c r="A11" s="10">
        <v>54477</v>
      </c>
      <c r="B11" s="10" t="s">
        <v>159</v>
      </c>
      <c r="C11" s="10" t="s">
        <v>43</v>
      </c>
      <c r="D11" s="10" t="s">
        <v>249</v>
      </c>
      <c r="E11" s="10" t="s">
        <v>32</v>
      </c>
      <c r="F11" s="10" t="s">
        <v>33</v>
      </c>
      <c r="G11" s="10" t="s"/>
      <c r="H11" s="10" t="s">
        <v>44</v>
      </c>
      <c r="I11" s="11">
        <v>42552</v>
      </c>
      <c r="J11" s="70" t="s">
        <v>751</v>
      </c>
      <c r="K11" s="70" t="s">
        <v>751</v>
      </c>
      <c r="L11" s="70" t="s">
        <v>749</v>
      </c>
      <c r="M11" s="70" t="s">
        <v>749</v>
      </c>
      <c r="N11" s="70" t="s">
        <v>749</v>
      </c>
      <c r="O11" s="70" t="s">
        <v>749</v>
      </c>
      <c r="P11" s="70" t="s">
        <v>749</v>
      </c>
      <c r="Q11" s="70" t="s">
        <v>347</v>
      </c>
      <c r="R11" s="70" t="s">
        <v>347</v>
      </c>
      <c r="S11" s="377" t="s">
        <v>347</v>
      </c>
    </row>
    <row r="12" spans="1:19" s="383" customFormat="true" ht="16" customHeight="true">
      <c r="A12" s="10">
        <v>62555</v>
      </c>
      <c r="B12" s="10" t="s">
        <v>365</v>
      </c>
      <c r="C12" s="10" t="s">
        <v>30</v>
      </c>
      <c r="D12" s="10" t="s">
        <v>31</v>
      </c>
      <c r="E12" s="10" t="s">
        <v>32</v>
      </c>
      <c r="F12" s="10" t="s">
        <v>33</v>
      </c>
      <c r="G12" s="10" t="s"/>
      <c r="H12" s="10" t="s">
        <v>44</v>
      </c>
      <c r="I12" s="11">
        <v>45840</v>
      </c>
      <c r="J12" s="70" t="s">
        <v>751</v>
      </c>
      <c r="K12" s="70" t="s">
        <v>751</v>
      </c>
      <c r="L12" s="70" t="s">
        <v>752</v>
      </c>
      <c r="M12" s="70" t="s">
        <v>752</v>
      </c>
      <c r="N12" s="70" t="s">
        <v>752</v>
      </c>
      <c r="O12" s="70" t="s">
        <v>752</v>
      </c>
      <c r="P12" s="70" t="s">
        <v>752</v>
      </c>
      <c r="Q12" s="70" t="s">
        <v>347</v>
      </c>
      <c r="R12" s="70" t="s">
        <v>347</v>
      </c>
      <c r="S12" s="377" t="s">
        <v>347</v>
      </c>
    </row>
    <row r="13" spans="1:18" s="383" customFormat="true" ht="16" customHeight="true">
      <c r="A13" s="10">
        <v>56862</v>
      </c>
      <c r="B13" s="10" t="s">
        <v>363</v>
      </c>
      <c r="C13" s="10" t="s">
        <v>30</v>
      </c>
      <c r="D13" s="10" t="s">
        <v>31</v>
      </c>
      <c r="E13" s="10" t="s">
        <v>32</v>
      </c>
      <c r="F13" s="10" t="s">
        <v>33</v>
      </c>
      <c r="G13" s="10" t="s"/>
      <c r="H13" s="10" t="s"/>
      <c r="I13" s="11" t="s"/>
      <c r="L13" s="70" t="s">
        <v>752</v>
      </c>
      <c r="M13" s="70" t="s">
        <v>752</v>
      </c>
      <c r="N13" s="70" t="s">
        <v>752</v>
      </c>
      <c r="O13" s="70" t="s">
        <v>752</v>
      </c>
      <c r="P13" s="70" t="s">
        <v>752</v>
      </c>
      <c r="Q13" s="70" t="s">
        <v>752</v>
      </c>
      <c r="R13" s="70" t="s">
        <v>752</v>
      </c>
    </row>
    <row r="14" spans="1:18" s="383" customFormat="true" ht="16" customHeight="true">
      <c r="A14" s="10">
        <v>72479</v>
      </c>
      <c r="B14" s="10" t="s">
        <v>368</v>
      </c>
      <c r="C14" s="10" t="s">
        <v>30</v>
      </c>
      <c r="D14" s="10" t="s">
        <v>31</v>
      </c>
      <c r="E14" s="10" t="s">
        <v>32</v>
      </c>
      <c r="F14" s="10" t="s">
        <v>33</v>
      </c>
      <c r="G14" s="10" t="s"/>
      <c r="H14" s="10" t="s">
        <v>44</v>
      </c>
      <c r="I14" s="11">
        <v>45840</v>
      </c>
      <c r="J14" s="70" t="s">
        <v>751</v>
      </c>
      <c r="K14" s="70" t="s">
        <v>751</v>
      </c>
      <c r="L14" s="70" t="s">
        <v>749</v>
      </c>
      <c r="M14" s="70" t="s">
        <v>749</v>
      </c>
      <c r="N14" s="70" t="s">
        <v>749</v>
      </c>
      <c r="O14" s="70" t="s">
        <v>749</v>
      </c>
      <c r="P14" s="70" t="s">
        <v>749</v>
      </c>
      <c r="Q14" s="70" t="s">
        <v>358</v>
      </c>
      <c r="R14" s="70" t="s">
        <v>358</v>
      </c>
    </row>
    <row r="15" spans="1:19" s="383" customFormat="true" ht="16" customHeight="true">
      <c r="A15" s="10">
        <v>81343</v>
      </c>
      <c r="B15" s="10" t="s">
        <v>376</v>
      </c>
      <c r="C15" s="10" t="s">
        <v>30</v>
      </c>
      <c r="D15" s="10" t="s">
        <v>31</v>
      </c>
      <c r="E15" s="10" t="s">
        <v>32</v>
      </c>
      <c r="F15" s="10" t="s">
        <v>33</v>
      </c>
      <c r="G15" s="10" t="s"/>
      <c r="H15" s="10" t="s">
        <v>44</v>
      </c>
      <c r="I15" s="11">
        <v>45840</v>
      </c>
      <c r="J15" s="70" t="s">
        <v>751</v>
      </c>
      <c r="K15" s="70" t="s">
        <v>751</v>
      </c>
      <c r="L15" s="70" t="s">
        <v>749</v>
      </c>
      <c r="M15" s="70" t="s">
        <v>749</v>
      </c>
      <c r="N15" s="70" t="s">
        <v>749</v>
      </c>
      <c r="O15" s="70" t="s">
        <v>749</v>
      </c>
      <c r="P15" s="70" t="s">
        <v>749</v>
      </c>
      <c r="Q15" s="70" t="s">
        <v>347</v>
      </c>
      <c r="R15" s="70" t="s">
        <v>347</v>
      </c>
      <c r="S15" s="377" t="s">
        <v>347</v>
      </c>
    </row>
    <row r="16" spans="1:18" s="383" customFormat="true" ht="16" customHeight="true">
      <c r="A16" s="10">
        <v>96634</v>
      </c>
      <c r="B16" s="10" t="s">
        <v>379</v>
      </c>
      <c r="C16" s="10" t="s">
        <v>30</v>
      </c>
      <c r="D16" s="10" t="s">
        <v>31</v>
      </c>
      <c r="E16" s="10" t="s">
        <v>32</v>
      </c>
      <c r="F16" s="10" t="s">
        <v>33</v>
      </c>
      <c r="G16" s="10" t="s"/>
      <c r="H16" s="10" t="s">
        <v>44</v>
      </c>
      <c r="I16" s="11">
        <v>45840</v>
      </c>
      <c r="J16" s="70" t="s">
        <v>751</v>
      </c>
      <c r="K16" s="70" t="s">
        <v>751</v>
      </c>
      <c r="L16" s="70" t="s">
        <v>749</v>
      </c>
      <c r="M16" s="70" t="s">
        <v>749</v>
      </c>
      <c r="N16" s="70" t="s">
        <v>749</v>
      </c>
      <c r="O16" s="70" t="s">
        <v>749</v>
      </c>
      <c r="P16" s="70" t="s">
        <v>749</v>
      </c>
      <c r="Q16" s="70" t="s">
        <v>358</v>
      </c>
      <c r="R16" s="70" t="s">
        <v>358</v>
      </c>
    </row>
    <row r="17" spans="1:21" s="383" customFormat="true" ht="16" customHeight="true">
      <c r="A17" s="10">
        <v>72949</v>
      </c>
      <c r="B17" s="10" t="s">
        <v>370</v>
      </c>
      <c r="C17" s="10" t="s">
        <v>177</v>
      </c>
      <c r="D17" s="10" t="s">
        <v>31</v>
      </c>
      <c r="E17" s="10" t="s">
        <v>32</v>
      </c>
      <c r="F17" s="10" t="s">
        <v>33</v>
      </c>
      <c r="G17" s="10" t="s"/>
      <c r="H17" s="10" t="s"/>
      <c r="I17" s="11" t="s"/>
      <c r="J17" s="70" t="s">
        <v>238</v>
      </c>
      <c r="K17" s="70" t="s">
        <v>749</v>
      </c>
      <c r="L17" s="70" t="s">
        <v>749</v>
      </c>
      <c r="M17" s="70" t="s">
        <v>749</v>
      </c>
      <c r="N17" s="70" t="s">
        <v>749</v>
      </c>
      <c r="O17" s="70" t="s">
        <v>749</v>
      </c>
      <c r="P17" s="70" t="s">
        <v>749</v>
      </c>
      <c r="Q17" s="70" t="s">
        <v>347</v>
      </c>
      <c r="R17" s="70" t="s">
        <v>347</v>
      </c>
      <c r="S17" s="377" t="s">
        <v>347</v>
      </c>
      <c r="T17" s="377" t="s">
        <v>347</v>
      </c>
      <c r="U17" s="377" t="s">
        <v>347</v>
      </c>
    </row>
    <row r="18" spans="1:18" s="383" customFormat="true" ht="16" customHeight="true">
      <c r="A18" s="10">
        <v>97224</v>
      </c>
      <c r="B18" s="10" t="s">
        <v>381</v>
      </c>
      <c r="C18" s="10" t="s">
        <v>30</v>
      </c>
      <c r="D18" s="10" t="s">
        <v>31</v>
      </c>
      <c r="E18" s="10" t="s">
        <v>32</v>
      </c>
      <c r="F18" s="10" t="s">
        <v>33</v>
      </c>
      <c r="G18" s="10" t="s"/>
      <c r="H18" s="10" t="s"/>
      <c r="I18" s="11" t="s"/>
      <c r="J18" s="70" t="s">
        <v>406</v>
      </c>
      <c r="K18" s="70" t="s">
        <v>406</v>
      </c>
      <c r="L18" s="70" t="s">
        <v>752</v>
      </c>
      <c r="M18" s="70" t="s">
        <v>752</v>
      </c>
      <c r="N18" s="70" t="s">
        <v>752</v>
      </c>
      <c r="O18" s="70" t="s">
        <v>752</v>
      </c>
      <c r="P18" s="70" t="s">
        <v>752</v>
      </c>
      <c r="Q18" s="70" t="s">
        <v>752</v>
      </c>
      <c r="R18" s="70" t="s">
        <v>752</v>
      </c>
    </row>
    <row r="19" spans="1:18" s="383" customFormat="true" ht="16" customHeight="true">
      <c r="A19" s="10">
        <v>19083</v>
      </c>
      <c r="B19" s="10" t="s">
        <v>181</v>
      </c>
      <c r="C19" s="10" t="s">
        <v>66</v>
      </c>
      <c r="D19" s="10" t="s">
        <v>31</v>
      </c>
      <c r="E19" s="10" t="s">
        <v>32</v>
      </c>
      <c r="F19" s="10" t="s">
        <v>33</v>
      </c>
      <c r="G19" s="10" t="s"/>
      <c r="H19" s="10" t="s">
        <v>44</v>
      </c>
      <c r="I19" s="11">
        <v>44193</v>
      </c>
      <c r="J19" s="70" t="s">
        <v>172</v>
      </c>
      <c r="K19" s="70" t="s">
        <v>172</v>
      </c>
      <c r="L19" s="70" t="s">
        <v>172</v>
      </c>
      <c r="M19" s="70" t="s">
        <v>172</v>
      </c>
      <c r="N19" s="70" t="s">
        <v>172</v>
      </c>
      <c r="O19" s="70" t="s">
        <v>172</v>
      </c>
      <c r="P19" s="70" t="s">
        <v>172</v>
      </c>
      <c r="Q19" s="70" t="s">
        <v>172</v>
      </c>
      <c r="R19" s="70" t="s">
        <v>172</v>
      </c>
    </row>
    <row r="20" spans="1:18" s="383" customFormat="true" ht="16" customHeight="true">
      <c r="A20" s="10">
        <v>76442</v>
      </c>
      <c r="B20" s="10" t="s">
        <v>176</v>
      </c>
      <c r="C20" s="10" t="s">
        <v>177</v>
      </c>
      <c r="D20" s="10" t="s">
        <v>31</v>
      </c>
      <c r="E20" s="10" t="s">
        <v>32</v>
      </c>
      <c r="F20" s="10" t="s">
        <v>33</v>
      </c>
      <c r="G20" s="10" t="s"/>
      <c r="H20" s="10" t="s">
        <v>44</v>
      </c>
      <c r="I20" s="11">
        <v>42184</v>
      </c>
      <c r="J20" s="70" t="s">
        <v>749</v>
      </c>
      <c r="K20" s="70" t="s">
        <v>749</v>
      </c>
      <c r="L20" s="70" t="s">
        <v>749</v>
      </c>
      <c r="M20" s="70" t="s">
        <v>749</v>
      </c>
      <c r="N20" s="70" t="s">
        <v>749</v>
      </c>
      <c r="O20" s="70" t="s">
        <v>749</v>
      </c>
      <c r="P20" s="70" t="s">
        <v>749</v>
      </c>
      <c r="Q20" s="70" t="s">
        <v>358</v>
      </c>
      <c r="R20" s="70" t="s">
        <v>358</v>
      </c>
    </row>
    <row r="21" spans="1:18" s="383" customFormat="true" ht="16" customHeight="true">
      <c r="A21" s="10">
        <v>12944</v>
      </c>
      <c r="B21" s="10" t="s">
        <v>153</v>
      </c>
      <c r="C21" s="10" t="s">
        <v>68</v>
      </c>
      <c r="D21" s="10" t="s">
        <v>31</v>
      </c>
      <c r="E21" s="10" t="s">
        <v>32</v>
      </c>
      <c r="F21" s="10" t="s">
        <v>33</v>
      </c>
      <c r="G21" s="10" t="s"/>
      <c r="H21" s="10" t="s">
        <v>44</v>
      </c>
      <c r="I21" s="11">
        <v>44440</v>
      </c>
      <c r="J21" s="70" t="s">
        <v>755</v>
      </c>
      <c r="K21" s="378" t="s">
        <v>755</v>
      </c>
      <c r="L21" s="378" t="s">
        <v>755</v>
      </c>
      <c r="M21" s="378" t="s">
        <v>755</v>
      </c>
      <c r="N21" s="378" t="s">
        <v>756</v>
      </c>
      <c r="O21" s="378" t="s"/>
      <c r="P21" s="378" t="s"/>
      <c r="Q21" s="70" t="s">
        <v>358</v>
      </c>
      <c r="R21" s="70" t="s">
        <v>358</v>
      </c>
    </row>
    <row r="22" spans="1:19" s="383" customFormat="true" ht="16" customHeight="true">
      <c r="A22" s="10">
        <v>20811</v>
      </c>
      <c r="B22" s="10" t="s">
        <v>197</v>
      </c>
      <c r="C22" s="10" t="s">
        <v>66</v>
      </c>
      <c r="D22" s="10" t="s">
        <v>31</v>
      </c>
      <c r="E22" s="10" t="s">
        <v>32</v>
      </c>
      <c r="F22" s="10" t="s">
        <v>33</v>
      </c>
      <c r="G22" s="10" t="s"/>
      <c r="H22" s="10" t="s">
        <v>44</v>
      </c>
      <c r="I22" s="11">
        <v>43983</v>
      </c>
      <c r="J22" s="70" t="s">
        <v>757</v>
      </c>
      <c r="K22" s="70" t="s">
        <v>758</v>
      </c>
      <c r="L22" s="70" t="s">
        <v>759</v>
      </c>
      <c r="M22" s="70" t="s">
        <v>759</v>
      </c>
      <c r="N22" s="70" t="s">
        <v>759</v>
      </c>
      <c r="O22" s="70" t="s">
        <v>759</v>
      </c>
      <c r="P22" s="70" t="s">
        <v>759</v>
      </c>
      <c r="Q22" s="70" t="s">
        <v>760</v>
      </c>
      <c r="R22" s="70" t="s">
        <v>760</v>
      </c>
      <c r="S22" s="70" t="s">
        <v>760</v>
      </c>
    </row>
    <row r="23" spans="1:21" s="383" customFormat="true" ht="16" customHeight="true">
      <c r="A23" s="10">
        <v>77251</v>
      </c>
      <c r="B23" s="10" t="s">
        <v>215</v>
      </c>
      <c r="C23" s="10" t="s">
        <v>177</v>
      </c>
      <c r="D23" s="10" t="s">
        <v>31</v>
      </c>
      <c r="E23" s="10" t="s">
        <v>32</v>
      </c>
      <c r="F23" s="10" t="s">
        <v>33</v>
      </c>
      <c r="G23" s="10" t="s"/>
      <c r="H23" s="10" t="s">
        <v>44</v>
      </c>
      <c r="I23" s="11">
        <v>41099</v>
      </c>
      <c r="J23" s="70" t="s">
        <v>749</v>
      </c>
      <c r="K23" s="70" t="s">
        <v>749</v>
      </c>
      <c r="L23" s="70" t="s">
        <v>749</v>
      </c>
      <c r="M23" s="70" t="s">
        <v>749</v>
      </c>
      <c r="N23" s="70" t="s">
        <v>749</v>
      </c>
      <c r="O23" s="70" t="s">
        <v>749</v>
      </c>
      <c r="P23" s="70" t="s">
        <v>749</v>
      </c>
      <c r="Q23" s="70" t="s">
        <v>347</v>
      </c>
      <c r="R23" s="70" t="s">
        <v>347</v>
      </c>
      <c r="S23" s="377" t="s">
        <v>347</v>
      </c>
      <c r="T23" s="377" t="s">
        <v>347</v>
      </c>
      <c r="U23" s="377" t="s">
        <v>347</v>
      </c>
    </row>
    <row r="24" spans="1:19" s="383" customFormat="true" ht="16" customHeight="true">
      <c r="A24" s="10">
        <v>92042</v>
      </c>
      <c r="B24" s="10" t="s">
        <v>212</v>
      </c>
      <c r="C24" s="10" t="s">
        <v>43</v>
      </c>
      <c r="D24" s="10" t="s">
        <v>31</v>
      </c>
      <c r="E24" s="10" t="s">
        <v>32</v>
      </c>
      <c r="F24" s="10" t="s">
        <v>33</v>
      </c>
      <c r="G24" s="10" t="s">
        <v>267</v>
      </c>
      <c r="H24" s="10" t="s">
        <v>44</v>
      </c>
      <c r="I24" s="95">
        <v>43077</v>
      </c>
      <c r="J24" s="70" t="s">
        <v>761</v>
      </c>
      <c r="K24" s="70" t="s">
        <v>749</v>
      </c>
      <c r="L24" s="70" t="s">
        <v>749</v>
      </c>
      <c r="M24" s="70" t="s">
        <v>749</v>
      </c>
      <c r="N24" s="70" t="s">
        <v>749</v>
      </c>
      <c r="O24" s="70" t="s">
        <v>749</v>
      </c>
      <c r="P24" s="70" t="s">
        <v>749</v>
      </c>
      <c r="Q24" s="70" t="s">
        <v>347</v>
      </c>
      <c r="R24" s="70" t="s">
        <v>347</v>
      </c>
      <c r="S24" s="377" t="s">
        <v>347</v>
      </c>
    </row>
    <row r="25" spans="1:18" s="383" customFormat="true" ht="16" customHeight="true">
      <c r="A25" s="10">
        <v>91418</v>
      </c>
      <c r="B25" s="10" t="s">
        <v>200</v>
      </c>
      <c r="C25" s="10" t="s">
        <v>30</v>
      </c>
      <c r="D25" s="10" t="s">
        <v>31</v>
      </c>
      <c r="E25" s="10" t="s">
        <v>32</v>
      </c>
      <c r="F25" s="10" t="s">
        <v>33</v>
      </c>
      <c r="G25" s="10" t="s"/>
      <c r="H25" s="10" t="s">
        <v>44</v>
      </c>
      <c r="I25" s="11">
        <v>44984</v>
      </c>
      <c r="J25" s="70" t="s">
        <v>172</v>
      </c>
      <c r="K25" s="70" t="s">
        <v>172</v>
      </c>
      <c r="L25" s="70" t="s">
        <v>172</v>
      </c>
      <c r="M25" s="70" t="s">
        <v>172</v>
      </c>
      <c r="N25" s="70" t="s">
        <v>172</v>
      </c>
      <c r="O25" s="70" t="s">
        <v>172</v>
      </c>
      <c r="P25" s="70" t="s">
        <v>172</v>
      </c>
      <c r="Q25" s="70" t="s">
        <v>172</v>
      </c>
      <c r="R25" s="70" t="s">
        <v>172</v>
      </c>
    </row>
    <row r="26" spans="1:18" s="383" customFormat="true" ht="16" customHeight="true">
      <c r="A26" s="10">
        <v>96208</v>
      </c>
      <c r="B26" s="10" t="s">
        <v>206</v>
      </c>
      <c r="C26" s="10" t="s">
        <v>177</v>
      </c>
      <c r="D26" s="10" t="s">
        <v>31</v>
      </c>
      <c r="E26" s="10" t="s">
        <v>32</v>
      </c>
      <c r="F26" s="10" t="s">
        <v>33</v>
      </c>
      <c r="G26" s="10" t="s"/>
      <c r="H26" s="10" t="s">
        <v>44</v>
      </c>
      <c r="I26" s="11">
        <v>42191</v>
      </c>
      <c r="J26" s="70" t="s">
        <v>172</v>
      </c>
      <c r="K26" s="70" t="s">
        <v>172</v>
      </c>
      <c r="L26" s="70" t="s">
        <v>172</v>
      </c>
      <c r="M26" s="70" t="s">
        <v>172</v>
      </c>
      <c r="N26" s="70" t="s">
        <v>172</v>
      </c>
      <c r="O26" s="70" t="s">
        <v>172</v>
      </c>
      <c r="P26" s="70" t="s">
        <v>172</v>
      </c>
      <c r="Q26" s="70" t="s">
        <v>172</v>
      </c>
      <c r="R26" s="70" t="s">
        <v>172</v>
      </c>
    </row>
    <row r="27" spans="1:18" s="383" customFormat="true" ht="16" customHeight="true">
      <c r="A27" s="10">
        <v>53558</v>
      </c>
      <c r="B27" s="10" t="s">
        <v>209</v>
      </c>
      <c r="C27" s="10" t="s">
        <v>66</v>
      </c>
      <c r="D27" s="10" t="s">
        <v>31</v>
      </c>
      <c r="E27" s="10" t="s">
        <v>32</v>
      </c>
      <c r="F27" s="10" t="s">
        <v>33</v>
      </c>
      <c r="G27" s="10" t="s"/>
      <c r="H27" s="10" t="s">
        <v>44</v>
      </c>
      <c r="I27" s="11">
        <v>42919</v>
      </c>
      <c r="J27" s="70" t="s">
        <v>753</v>
      </c>
      <c r="K27" s="70" t="s">
        <v>759</v>
      </c>
      <c r="L27" s="70" t="s">
        <v>759</v>
      </c>
      <c r="M27" s="378" t="s">
        <v>762</v>
      </c>
      <c r="N27" s="378" t="s">
        <v>762</v>
      </c>
      <c r="O27" s="378" t="s">
        <v>762</v>
      </c>
      <c r="P27" s="70" t="s">
        <v>763</v>
      </c>
      <c r="Q27" s="70" t="s">
        <v>358</v>
      </c>
      <c r="R27" s="70" t="s">
        <v>358</v>
      </c>
    </row>
    <row r="28" spans="1:18" s="383" customFormat="true" ht="16" customHeight="true">
      <c r="A28" s="10">
        <v>52012</v>
      </c>
      <c r="B28" s="10" t="s">
        <v>194</v>
      </c>
      <c r="C28" s="10" t="s">
        <v>30</v>
      </c>
      <c r="D28" s="10" t="s">
        <v>31</v>
      </c>
      <c r="E28" s="10" t="s">
        <v>32</v>
      </c>
      <c r="F28" s="10" t="s">
        <v>33</v>
      </c>
      <c r="G28" s="10" t="s"/>
      <c r="H28" s="10" t="s">
        <v>44</v>
      </c>
      <c r="I28" s="11">
        <v>45110</v>
      </c>
      <c r="J28" s="70" t="s">
        <v>57</v>
      </c>
      <c r="K28" s="70" t="s">
        <v>57</v>
      </c>
      <c r="L28" s="70" t="s">
        <v>57</v>
      </c>
      <c r="M28" s="70" t="s">
        <v>57</v>
      </c>
      <c r="N28" s="70" t="s">
        <v>57</v>
      </c>
      <c r="O28" s="70" t="s">
        <v>57</v>
      </c>
      <c r="P28" s="70" t="s">
        <v>57</v>
      </c>
      <c r="Q28" s="70" t="s">
        <v>57</v>
      </c>
      <c r="R28" s="70" t="s">
        <v>57</v>
      </c>
    </row>
    <row r="29" spans="1:19" s="383" customFormat="true" ht="16" customHeight="true">
      <c r="A29" s="10">
        <v>99812</v>
      </c>
      <c r="B29" s="10" t="s">
        <v>171</v>
      </c>
      <c r="C29" s="10" t="s">
        <v>30</v>
      </c>
      <c r="D29" s="10" t="s">
        <v>31</v>
      </c>
      <c r="E29" s="10" t="s">
        <v>32</v>
      </c>
      <c r="F29" s="10" t="s">
        <v>33</v>
      </c>
      <c r="G29" s="10" t="s"/>
      <c r="H29" s="10" t="s">
        <v>44</v>
      </c>
      <c r="I29" s="11">
        <v>44746</v>
      </c>
      <c r="J29" s="70" t="s">
        <v>753</v>
      </c>
      <c r="K29" s="70" t="s">
        <v>753</v>
      </c>
      <c r="L29" s="70" t="s">
        <v>749</v>
      </c>
      <c r="M29" s="70" t="s">
        <v>749</v>
      </c>
      <c r="N29" s="70" t="s">
        <v>749</v>
      </c>
      <c r="O29" s="70" t="s">
        <v>749</v>
      </c>
      <c r="P29" s="70" t="s">
        <v>749</v>
      </c>
      <c r="Q29" s="70" t="s">
        <v>347</v>
      </c>
      <c r="R29" s="70" t="s">
        <v>347</v>
      </c>
      <c r="S29" s="377" t="s">
        <v>347</v>
      </c>
    </row>
    <row r="30" spans="1:18" s="383" customFormat="true" ht="16" customHeight="true">
      <c r="A30" s="10">
        <v>22026</v>
      </c>
      <c r="B30" s="10" t="s">
        <v>275</v>
      </c>
      <c r="C30" s="10" t="s"/>
      <c r="D30" s="10" t="s">
        <v>31</v>
      </c>
      <c r="E30" s="10" t="s">
        <v>32</v>
      </c>
      <c r="F30" s="10" t="s">
        <v>33</v>
      </c>
      <c r="G30" s="10" t="s"/>
      <c r="H30" s="10" t="s">
        <v>44</v>
      </c>
      <c r="I30" s="11">
        <v>42561</v>
      </c>
      <c r="J30" s="70" t="s">
        <v>52</v>
      </c>
      <c r="K30" s="70" t="s">
        <v>52</v>
      </c>
      <c r="L30" s="70" t="s">
        <v>52</v>
      </c>
      <c r="M30" s="70" t="s">
        <v>52</v>
      </c>
      <c r="N30" s="70" t="s">
        <v>52</v>
      </c>
      <c r="O30" s="70" t="s">
        <v>52</v>
      </c>
      <c r="P30" s="70" t="s">
        <v>52</v>
      </c>
      <c r="Q30" s="70" t="s">
        <v>52</v>
      </c>
      <c r="R30" s="70" t="s">
        <v>52</v>
      </c>
    </row>
    <row r="31" spans="1:16" s="383" customFormat="true" ht="16" customHeight="true">
      <c r="A31" s="18">
        <v>65248</v>
      </c>
      <c r="B31" s="19" t="s">
        <v>125</v>
      </c>
      <c r="C31" s="18" t="s">
        <v>43</v>
      </c>
      <c r="D31" s="18" t="s">
        <v>31</v>
      </c>
      <c r="E31" s="18" t="s">
        <v>32</v>
      </c>
      <c r="F31" s="18" t="s">
        <v>64</v>
      </c>
      <c r="G31" s="18" t="s"/>
      <c r="H31" s="18" t="s">
        <v>44</v>
      </c>
      <c r="I31" s="20">
        <v>43672</v>
      </c>
      <c r="J31" s="70" t="s">
        <v>753</v>
      </c>
      <c r="K31" s="70" t="s">
        <v>753</v>
      </c>
      <c r="L31" s="70" t="s">
        <v>764</v>
      </c>
      <c r="M31" s="70" t="s">
        <v>764</v>
      </c>
      <c r="N31" s="70" t="s">
        <v>764</v>
      </c>
      <c r="O31" s="70" t="s">
        <v>764</v>
      </c>
      <c r="P31" s="70" t="s">
        <v>764</v>
      </c>
    </row>
    <row r="32" spans="1:16" s="383" customFormat="true" ht="16" customHeight="true">
      <c r="A32" s="18">
        <v>14659</v>
      </c>
      <c r="B32" s="19" t="s">
        <v>98</v>
      </c>
      <c r="C32" s="18" t="s">
        <v>66</v>
      </c>
      <c r="D32" s="18" t="s">
        <v>31</v>
      </c>
      <c r="E32" s="18" t="s">
        <v>32</v>
      </c>
      <c r="F32" s="18" t="s">
        <v>60</v>
      </c>
      <c r="G32" s="18" t="s"/>
      <c r="H32" s="18" t="s">
        <v>44</v>
      </c>
      <c r="I32" s="20">
        <v>44265</v>
      </c>
      <c r="J32" s="70" t="s">
        <v>753</v>
      </c>
      <c r="K32" s="70" t="s">
        <v>753</v>
      </c>
      <c r="L32" s="70" t="s">
        <v>764</v>
      </c>
      <c r="M32" s="70" t="s">
        <v>764</v>
      </c>
      <c r="N32" s="70" t="s">
        <v>764</v>
      </c>
      <c r="O32" s="70" t="s">
        <v>764</v>
      </c>
      <c r="P32" s="70" t="s">
        <v>764</v>
      </c>
    </row>
    <row r="33" spans="1:16" s="383" customFormat="true" ht="16" customHeight="true">
      <c r="A33" s="18">
        <v>70568</v>
      </c>
      <c r="B33" s="19" t="s">
        <v>139</v>
      </c>
      <c r="C33" s="18" t="s">
        <v>397</v>
      </c>
      <c r="D33" s="18" t="s">
        <v>31</v>
      </c>
      <c r="E33" s="18" t="s">
        <v>32</v>
      </c>
      <c r="F33" s="18" t="s">
        <v>64</v>
      </c>
      <c r="G33" s="18" t="s"/>
      <c r="H33" s="18" t="s">
        <v>44</v>
      </c>
      <c r="I33" s="20">
        <v>42499</v>
      </c>
      <c r="J33" s="70" t="s">
        <v>753</v>
      </c>
      <c r="K33" s="70" t="s">
        <v>753</v>
      </c>
      <c r="L33" s="70" t="s">
        <v>764</v>
      </c>
      <c r="M33" s="70" t="s">
        <v>764</v>
      </c>
      <c r="N33" s="70" t="s">
        <v>764</v>
      </c>
      <c r="O33" s="70" t="s">
        <v>764</v>
      </c>
      <c r="P33" s="70" t="s">
        <v>764</v>
      </c>
    </row>
    <row r="34" spans="1:16" s="383" customFormat="true" ht="16" customHeight="true">
      <c r="A34" s="18">
        <v>93622</v>
      </c>
      <c r="B34" s="19" t="s">
        <v>112</v>
      </c>
      <c r="C34" s="18" t="s">
        <v>66</v>
      </c>
      <c r="D34" s="18" t="s">
        <v>31</v>
      </c>
      <c r="E34" s="18" t="s">
        <v>32</v>
      </c>
      <c r="F34" s="18" t="s">
        <v>64</v>
      </c>
      <c r="G34" s="18" t="s"/>
      <c r="H34" s="18" t="s">
        <v>44</v>
      </c>
      <c r="I34" s="20">
        <v>42880</v>
      </c>
      <c r="J34" s="70" t="s">
        <v>765</v>
      </c>
      <c r="K34" s="70" t="s">
        <v>765</v>
      </c>
      <c r="L34" s="70" t="s">
        <v>766</v>
      </c>
      <c r="M34" s="70" t="s">
        <v>766</v>
      </c>
      <c r="N34" s="70" t="s">
        <v>766</v>
      </c>
      <c r="O34" s="70" t="s">
        <v>766</v>
      </c>
      <c r="P34" s="70" t="s">
        <v>766</v>
      </c>
    </row>
    <row r="35" spans="1:16" s="383" customFormat="true" ht="16" customHeight="true">
      <c r="A35" s="18">
        <v>37038</v>
      </c>
      <c r="B35" s="19" t="s">
        <v>115</v>
      </c>
      <c r="C35" s="18" t="s">
        <v>66</v>
      </c>
      <c r="D35" s="18" t="s">
        <v>31</v>
      </c>
      <c r="E35" s="18" t="s">
        <v>32</v>
      </c>
      <c r="F35" s="18" t="s">
        <v>60</v>
      </c>
      <c r="G35" s="18" t="s"/>
      <c r="H35" s="18" t="s">
        <v>44</v>
      </c>
      <c r="I35" s="20">
        <v>42552</v>
      </c>
      <c r="J35" s="70" t="s">
        <v>765</v>
      </c>
      <c r="K35" s="70" t="s">
        <v>765</v>
      </c>
      <c r="L35" s="70" t="s">
        <v>766</v>
      </c>
      <c r="M35" s="70" t="s">
        <v>766</v>
      </c>
      <c r="N35" s="70" t="s">
        <v>766</v>
      </c>
      <c r="O35" s="70" t="s">
        <v>766</v>
      </c>
      <c r="P35" s="70" t="s">
        <v>766</v>
      </c>
    </row>
    <row r="36" spans="1:16" s="384" customFormat="true" ht="16" customHeight="true">
      <c r="A36" s="18">
        <v>17220</v>
      </c>
      <c r="B36" s="19" t="s">
        <v>146</v>
      </c>
      <c r="C36" s="18" t="s">
        <v>66</v>
      </c>
      <c r="D36" s="18" t="s">
        <v>31</v>
      </c>
      <c r="E36" s="18" t="s">
        <v>32</v>
      </c>
      <c r="F36" s="18" t="s">
        <v>64</v>
      </c>
      <c r="G36" s="18" t="s"/>
      <c r="H36" s="18" t="s">
        <v>44</v>
      </c>
      <c r="I36" s="20">
        <v>42459</v>
      </c>
      <c r="J36" s="70" t="s">
        <v>765</v>
      </c>
      <c r="K36" s="70" t="s">
        <v>765</v>
      </c>
      <c r="L36" s="70" t="s">
        <v>766</v>
      </c>
      <c r="M36" s="70" t="s">
        <v>766</v>
      </c>
      <c r="N36" s="70" t="s">
        <v>766</v>
      </c>
      <c r="O36" s="70" t="s">
        <v>766</v>
      </c>
      <c r="P36" s="70" t="s">
        <v>766</v>
      </c>
    </row>
    <row r="37" spans="1:16" s="383" customFormat="true" ht="16" customHeight="true">
      <c r="A37" s="18">
        <v>89973</v>
      </c>
      <c r="B37" s="19" t="s">
        <v>134</v>
      </c>
      <c r="C37" s="18" t="s">
        <v>43</v>
      </c>
      <c r="D37" s="18" t="s">
        <v>31</v>
      </c>
      <c r="E37" s="18" t="s">
        <v>32</v>
      </c>
      <c r="F37" s="18" t="s">
        <v>64</v>
      </c>
      <c r="G37" s="18" t="s"/>
      <c r="H37" s="18" t="s">
        <v>44</v>
      </c>
      <c r="I37" s="20">
        <v>43675</v>
      </c>
      <c r="J37" s="70" t="s">
        <v>767</v>
      </c>
      <c r="K37" s="70" t="s">
        <v>767</v>
      </c>
      <c r="L37" s="70" t="s">
        <v>767</v>
      </c>
      <c r="M37" s="70" t="s">
        <v>767</v>
      </c>
      <c r="N37" s="70" t="s">
        <v>767</v>
      </c>
      <c r="O37" s="70" t="s">
        <v>767</v>
      </c>
      <c r="P37" s="70" t="s">
        <v>767</v>
      </c>
    </row>
    <row r="38" spans="1:16" s="383" customFormat="true" ht="16" customHeight="true">
      <c r="A38" s="18">
        <v>23167</v>
      </c>
      <c r="B38" s="19" t="s">
        <v>107</v>
      </c>
      <c r="C38" s="18" t="s">
        <v>63</v>
      </c>
      <c r="D38" s="18" t="s">
        <v>31</v>
      </c>
      <c r="E38" s="18" t="s">
        <v>32</v>
      </c>
      <c r="F38" s="18" t="s">
        <v>60</v>
      </c>
      <c r="G38" s="18" t="s"/>
      <c r="H38" s="18" t="s">
        <v>44</v>
      </c>
      <c r="I38" s="20">
        <v>43068</v>
      </c>
      <c r="J38" s="70" t="s">
        <v>767</v>
      </c>
      <c r="K38" s="70" t="s">
        <v>767</v>
      </c>
      <c r="L38" s="70" t="s">
        <v>767</v>
      </c>
      <c r="M38" s="70" t="s">
        <v>767</v>
      </c>
      <c r="N38" s="70" t="s">
        <v>767</v>
      </c>
      <c r="O38" s="70" t="s">
        <v>767</v>
      </c>
      <c r="P38" s="70" t="s">
        <v>767</v>
      </c>
    </row>
    <row r="39" spans="1:16" s="383" customFormat="true" ht="16" customHeight="true">
      <c r="A39" s="18">
        <v>75912</v>
      </c>
      <c r="B39" s="19" t="s">
        <v>119</v>
      </c>
      <c r="C39" s="18" t="s">
        <v>393</v>
      </c>
      <c r="D39" s="18" t="s">
        <v>31</v>
      </c>
      <c r="E39" s="18" t="s">
        <v>32</v>
      </c>
      <c r="F39" s="18" t="s">
        <v>267</v>
      </c>
      <c r="G39" s="18" t="s"/>
      <c r="H39" s="18" t="s">
        <v>44</v>
      </c>
      <c r="I39" s="20">
        <v>39639</v>
      </c>
      <c r="J39" s="70" t="s">
        <v>308</v>
      </c>
      <c r="K39" s="70" t="s">
        <v>308</v>
      </c>
      <c r="L39" s="70" t="s">
        <v>308</v>
      </c>
      <c r="M39" s="70" t="s">
        <v>308</v>
      </c>
      <c r="N39" s="70" t="s">
        <v>308</v>
      </c>
      <c r="O39" s="70" t="s">
        <v>308</v>
      </c>
      <c r="P39" s="70" t="s">
        <v>308</v>
      </c>
    </row>
    <row r="40" spans="1:16" s="383" customFormat="true" ht="16" customHeight="true">
      <c r="A40" s="18">
        <v>29586</v>
      </c>
      <c r="B40" s="19" t="s">
        <v>143</v>
      </c>
      <c r="C40" s="18" t="s">
        <v>388</v>
      </c>
      <c r="D40" s="18" t="s">
        <v>31</v>
      </c>
      <c r="E40" s="18" t="s">
        <v>32</v>
      </c>
      <c r="F40" s="18" t="s">
        <v>267</v>
      </c>
      <c r="G40" s="18" t="s"/>
      <c r="H40" s="18" t="s">
        <v>44</v>
      </c>
      <c r="I40" s="20">
        <v>43035</v>
      </c>
      <c r="J40" s="70" t="s">
        <v>310</v>
      </c>
      <c r="K40" s="70" t="s">
        <v>310</v>
      </c>
      <c r="L40" s="70" t="s">
        <v>310</v>
      </c>
      <c r="M40" s="70" t="s">
        <v>310</v>
      </c>
      <c r="N40" s="70" t="s">
        <v>310</v>
      </c>
      <c r="O40" s="70" t="s">
        <v>310</v>
      </c>
      <c r="P40" s="70" t="s">
        <v>310</v>
      </c>
    </row>
    <row r="41" spans="1:16" s="383" customFormat="true" ht="16" customHeight="true">
      <c r="A41" s="18">
        <v>49087</v>
      </c>
      <c r="B41" s="19" t="s">
        <v>103</v>
      </c>
      <c r="C41" s="18" t="s">
        <v>177</v>
      </c>
      <c r="D41" s="18" t="s">
        <v>31</v>
      </c>
      <c r="E41" s="18" t="s">
        <v>32</v>
      </c>
      <c r="F41" s="18" t="s">
        <v>267</v>
      </c>
      <c r="G41" s="18" t="s"/>
      <c r="H41" s="18" t="s">
        <v>44</v>
      </c>
      <c r="I41" s="20">
        <v>41099</v>
      </c>
      <c r="J41" s="70" t="s">
        <v>138</v>
      </c>
      <c r="K41" s="70" t="s">
        <v>138</v>
      </c>
      <c r="L41" s="70" t="s">
        <v>138</v>
      </c>
      <c r="M41" s="70" t="s">
        <v>138</v>
      </c>
      <c r="N41" s="70" t="s">
        <v>138</v>
      </c>
      <c r="O41" s="70" t="s">
        <v>138</v>
      </c>
      <c r="P41" s="70" t="s">
        <v>138</v>
      </c>
    </row>
    <row r="42" spans="1:16" ht="13.5">
      <c r="A42" s="18">
        <v>46032</v>
      </c>
      <c r="B42" s="18" t="s">
        <v>400</v>
      </c>
      <c r="C42" s="18" t="s">
        <v>30</v>
      </c>
      <c r="D42" s="18" t="s">
        <v>31</v>
      </c>
      <c r="E42" s="18" t="s">
        <v>32</v>
      </c>
      <c r="F42" s="18" t="s">
        <v>267</v>
      </c>
      <c r="G42" s="18" t="s"/>
      <c r="H42" s="18" t="s"/>
      <c r="I42" s="18" t="s"/>
      <c r="L42" s="70" t="s">
        <v>764</v>
      </c>
      <c r="M42" s="70" t="s">
        <v>764</v>
      </c>
      <c r="N42" s="70" t="s">
        <v>764</v>
      </c>
      <c r="O42" s="70" t="s">
        <v>764</v>
      </c>
      <c r="P42" s="70" t="s">
        <v>764</v>
      </c>
    </row>
    <row r="43" spans="1:16" ht="13.5">
      <c r="A43" s="379">
        <v>62340</v>
      </c>
      <c r="B43" s="380" t="s">
        <v>398</v>
      </c>
      <c r="C43" s="381" t="s"/>
      <c r="D43" s="381" t="s"/>
      <c r="E43" s="381" t="s"/>
      <c r="F43" s="381" t="s"/>
      <c r="G43" s="381" t="s"/>
      <c r="H43" s="381" t="s"/>
      <c r="I43" s="381" t="s"/>
      <c r="L43" s="70" t="s"/>
      <c r="M43" s="70" t="s"/>
      <c r="N43" s="70" t="s"/>
      <c r="O43" s="70" t="s"/>
      <c r="P43" s="70" t="s"/>
    </row>
    <row r="44" spans="1:2">
      <c r="A44" s="382">
        <v>49066</v>
      </c>
      <c r="B44" s="382" t="s">
        <v>581</v>
      </c>
    </row>
    <row r="45" spans="1:16">
      <c r="A45" s="379">
        <v>60993</v>
      </c>
      <c r="B45" s="379" t="s">
        <v>129</v>
      </c>
      <c r="C45" s="10" t="s">
        <v>68</v>
      </c>
      <c r="D45" s="10" t="s">
        <v>31</v>
      </c>
      <c r="E45" s="10" t="s">
        <v>32</v>
      </c>
      <c r="F45" s="10" t="s">
        <v>60</v>
      </c>
      <c r="G45" s="10" t="s"/>
      <c r="H45" s="10" t="s">
        <v>44</v>
      </c>
      <c r="I45" s="10">
        <v>44746</v>
      </c>
      <c r="J45" s="70" t="s">
        <v>753</v>
      </c>
      <c r="K45" s="70" t="s">
        <v>753</v>
      </c>
      <c r="L45" s="70" t="s">
        <v>752</v>
      </c>
      <c r="M45" s="70" t="s">
        <v>752</v>
      </c>
      <c r="N45" s="70" t="s">
        <v>768</v>
      </c>
      <c r="O45" s="70" t="s">
        <v>768</v>
      </c>
      <c r="P45" s="70" t="s">
        <v>768</v>
      </c>
    </row>
    <row r="49" spans="1:27" ht="19" customHeight="true"/>
  </sheetData>
  <mergeCells count="1">
    <mergeCell ref="A1:K1"/>
  </mergeCells>
  <pageMargins left="0.75" right="0.75" top="1" bottom="1" header="0.5" footer="0.5"/>
  <pageSetup orientation="portrait"/>
</worksheet>
</file>

<file path=xl/worksheets/sheet9.xml><?xml version="1.0" encoding="utf-8"?>
<worksheet xmlns:r="http://schemas.openxmlformats.org/officeDocument/2006/relationships" xmlns="http://schemas.openxmlformats.org/spreadsheetml/2006/main">
  <sheetPr/>
  <dimension ref="P38"/>
  <sheetViews>
    <sheetView showGridLines="true" topLeftCell="A1" workbookViewId="0">
      <pane xSplit="2" ySplit="1" topLeftCell="I2" activePane="bottomRight" state="frozen"/>
    </sheetView>
  </sheetViews>
  <sheetFormatPr defaultColWidth="9.235" defaultRowHeight="13.5"/>
  <cols>
    <col min="3" max="3" width="12.625" customWidth="true"/>
    <col min="4" max="4" width="14.625" customWidth="true"/>
    <col min="5" max="5" width="21.625" customWidth="true"/>
    <col min="6" max="6" width="14.625" style="385" customWidth="true"/>
    <col min="7" max="7" width="12.125" customWidth="true"/>
    <col min="8" max="8" width="13.5" customWidth="true"/>
    <col min="9" max="11" width="14.625"/>
    <col min="12" max="12" width="16" customWidth="true"/>
    <col min="13" max="13" width="14.625"/>
    <col min="14" max="14" width="16" customWidth="true"/>
    <col min="15" max="15" width="14.625"/>
    <col min="16" max="16" width="16" customWidth="true"/>
  </cols>
  <sheetData>
    <row r="1" spans="1:16" s="383" customFormat="true" ht="16" customHeight="true">
      <c r="A1" s="4" t="s">
        <v>1</v>
      </c>
      <c r="B1" s="4" t="s">
        <v>2</v>
      </c>
      <c r="C1" s="4" t="s">
        <v>4</v>
      </c>
      <c r="D1" s="4" t="s">
        <v>5</v>
      </c>
      <c r="E1" s="4" t="s">
        <v>6</v>
      </c>
      <c r="F1" s="4" t="s">
        <v>7</v>
      </c>
      <c r="G1" s="4" t="s">
        <v>8</v>
      </c>
      <c r="H1" s="5" t="s">
        <v>9</v>
      </c>
      <c r="I1" s="7" t="s">
        <v>11</v>
      </c>
      <c r="J1" s="7" t="s">
        <v>12</v>
      </c>
      <c r="K1" s="8" t="s">
        <v>13</v>
      </c>
      <c r="L1" s="9" t="s"/>
      <c r="M1" s="8" t="s">
        <v>14</v>
      </c>
      <c r="N1" s="9" t="s"/>
      <c r="O1" s="90" t="s">
        <v>15</v>
      </c>
      <c r="P1" s="91" t="s"/>
    </row>
    <row r="2" spans="1:16" ht="16" customHeight="true">
      <c r="A2" s="10">
        <v>12383</v>
      </c>
      <c r="B2" s="10" t="s">
        <v>167</v>
      </c>
      <c r="C2" s="10" t="s">
        <v>31</v>
      </c>
      <c r="D2" s="10" t="s">
        <v>32</v>
      </c>
      <c r="E2" s="10" t="s">
        <v>33</v>
      </c>
      <c r="F2" s="10" t="s"/>
      <c r="G2" s="10" t="s">
        <v>44</v>
      </c>
      <c r="H2" s="11">
        <v>44627</v>
      </c>
      <c r="I2" s="13" t="s">
        <v>46</v>
      </c>
      <c r="J2" s="13" t="s">
        <v>46</v>
      </c>
      <c r="K2" s="14" t="s">
        <v>36</v>
      </c>
      <c r="L2" s="14" t="s">
        <v>47</v>
      </c>
      <c r="M2" s="14" t="s">
        <v>36</v>
      </c>
      <c r="N2" s="14" t="s">
        <v>47</v>
      </c>
      <c r="O2" s="14" t="s"/>
      <c r="P2" s="14" t="s"/>
    </row>
    <row r="3" spans="1:16" ht="16" customHeight="true">
      <c r="A3" s="10">
        <v>12944</v>
      </c>
      <c r="B3" s="10" t="s">
        <v>153</v>
      </c>
      <c r="C3" s="10" t="s">
        <v>31</v>
      </c>
      <c r="D3" s="10" t="s">
        <v>32</v>
      </c>
      <c r="E3" s="10" t="s">
        <v>33</v>
      </c>
      <c r="F3" s="10" t="s"/>
      <c r="G3" s="10" t="s">
        <v>44</v>
      </c>
      <c r="H3" s="11">
        <v>44440</v>
      </c>
      <c r="I3" s="13" t="s">
        <v>46</v>
      </c>
      <c r="J3" s="13" t="s">
        <v>242</v>
      </c>
      <c r="K3" s="13" t="s">
        <v>36</v>
      </c>
      <c r="L3" s="13" t="s">
        <v>53</v>
      </c>
      <c r="M3" s="13" t="s">
        <v>36</v>
      </c>
      <c r="N3" s="13" t="s">
        <v>53</v>
      </c>
      <c r="O3" s="13" t="s"/>
      <c r="P3" s="13" t="s"/>
    </row>
    <row r="4" spans="1:16" ht="16" customHeight="true">
      <c r="A4" s="10">
        <v>16761</v>
      </c>
      <c r="B4" s="10" t="s">
        <v>67</v>
      </c>
      <c r="C4" s="10" t="s">
        <v>31</v>
      </c>
      <c r="D4" s="10" t="s">
        <v>32</v>
      </c>
      <c r="E4" s="10" t="s">
        <v>33</v>
      </c>
      <c r="F4" s="10" t="s"/>
      <c r="G4" s="10" t="s">
        <v>44</v>
      </c>
      <c r="H4" s="11">
        <v>44382</v>
      </c>
      <c r="I4" s="13" t="s">
        <v>243</v>
      </c>
      <c r="J4" s="13" t="s">
        <v>244</v>
      </c>
      <c r="K4" s="13" t="s">
        <v>57</v>
      </c>
      <c r="L4" s="13" t="s">
        <v>245</v>
      </c>
      <c r="M4" s="13" t="s">
        <v>48</v>
      </c>
      <c r="N4" s="13" t="s">
        <v>49</v>
      </c>
      <c r="O4" s="13" t="s"/>
      <c r="P4" s="13" t="s"/>
    </row>
    <row r="5" spans="1:16" s="383" customFormat="true" ht="16" customHeight="true">
      <c r="A5" s="10">
        <v>29050</v>
      </c>
      <c r="B5" s="10" t="s">
        <v>203</v>
      </c>
      <c r="C5" s="10" t="s">
        <v>31</v>
      </c>
      <c r="D5" s="10" t="s">
        <v>32</v>
      </c>
      <c r="E5" s="10" t="s">
        <v>33</v>
      </c>
      <c r="F5" s="10" t="s"/>
      <c r="G5" s="10" t="s">
        <v>44</v>
      </c>
      <c r="H5" s="11">
        <v>43291</v>
      </c>
      <c r="I5" s="13" t="s">
        <v>243</v>
      </c>
      <c r="J5" s="13" t="s">
        <v>246</v>
      </c>
      <c r="K5" s="13" t="s">
        <v>57</v>
      </c>
      <c r="L5" s="13" t="s">
        <v>247</v>
      </c>
      <c r="M5" s="13" t="s">
        <v>36</v>
      </c>
      <c r="N5" s="13" t="s">
        <v>248</v>
      </c>
      <c r="O5" s="13" t="s"/>
      <c r="P5" s="13" t="s"/>
    </row>
    <row r="6" spans="1:16" s="383" customFormat="true" ht="16" customHeight="true">
      <c r="A6" s="10">
        <v>54477</v>
      </c>
      <c r="B6" s="10" t="s">
        <v>159</v>
      </c>
      <c r="C6" s="10" t="s">
        <v>249</v>
      </c>
      <c r="D6" s="10" t="s">
        <v>32</v>
      </c>
      <c r="E6" s="10" t="s">
        <v>33</v>
      </c>
      <c r="F6" s="10" t="s"/>
      <c r="G6" s="10" t="s">
        <v>44</v>
      </c>
      <c r="H6" s="11">
        <v>42552</v>
      </c>
      <c r="I6" s="13" t="s">
        <v>250</v>
      </c>
      <c r="J6" s="13" t="s">
        <v>243</v>
      </c>
      <c r="K6" s="13" t="s">
        <v>36</v>
      </c>
      <c r="L6" s="13" t="s">
        <v>251</v>
      </c>
      <c r="M6" s="13" t="s">
        <v>57</v>
      </c>
      <c r="N6" s="13" t="s">
        <v>252</v>
      </c>
      <c r="O6" s="13" t="s"/>
      <c r="P6" s="13" t="s"/>
    </row>
    <row r="7" spans="1:16" ht="16" customHeight="true">
      <c r="A7" s="10">
        <v>57305</v>
      </c>
      <c r="B7" s="10" t="s">
        <v>42</v>
      </c>
      <c r="C7" s="10" t="s">
        <v>31</v>
      </c>
      <c r="D7" s="10" t="s">
        <v>32</v>
      </c>
      <c r="E7" s="10" t="s">
        <v>33</v>
      </c>
      <c r="F7" s="10" t="s"/>
      <c r="G7" s="10" t="s">
        <v>44</v>
      </c>
      <c r="H7" s="11">
        <v>43934</v>
      </c>
      <c r="I7" s="13" t="s">
        <v>46</v>
      </c>
      <c r="J7" s="13" t="s">
        <v>46</v>
      </c>
      <c r="K7" s="14" t="s">
        <v>36</v>
      </c>
      <c r="L7" s="14" t="s">
        <v>47</v>
      </c>
      <c r="M7" s="13" t="s">
        <v>48</v>
      </c>
      <c r="N7" s="13" t="s">
        <v>49</v>
      </c>
      <c r="O7" s="13" t="s"/>
      <c r="P7" s="13" t="s"/>
    </row>
    <row r="8" spans="1:16" ht="16" customHeight="true">
      <c r="A8" s="10">
        <v>76442</v>
      </c>
      <c r="B8" s="10" t="s">
        <v>176</v>
      </c>
      <c r="C8" s="10" t="s">
        <v>31</v>
      </c>
      <c r="D8" s="10" t="s">
        <v>32</v>
      </c>
      <c r="E8" s="10" t="s">
        <v>33</v>
      </c>
      <c r="F8" s="10" t="s"/>
      <c r="G8" s="10" t="s">
        <v>44</v>
      </c>
      <c r="H8" s="11">
        <v>42184</v>
      </c>
      <c r="I8" s="13" t="s">
        <v>253</v>
      </c>
      <c r="J8" s="13" t="s">
        <v>254</v>
      </c>
      <c r="K8" s="13" t="s">
        <v>255</v>
      </c>
      <c r="L8" s="13" t="s">
        <v>254</v>
      </c>
      <c r="M8" s="13" t="s">
        <v>255</v>
      </c>
      <c r="N8" s="13" t="s">
        <v>254</v>
      </c>
      <c r="O8" s="13" t="s"/>
      <c r="P8" s="13" t="s"/>
    </row>
    <row r="9" spans="1:16" ht="16" customHeight="true">
      <c r="A9" s="10">
        <v>77251</v>
      </c>
      <c r="B9" s="10" t="s">
        <v>215</v>
      </c>
      <c r="C9" s="10" t="s">
        <v>31</v>
      </c>
      <c r="D9" s="10" t="s">
        <v>32</v>
      </c>
      <c r="E9" s="10" t="s">
        <v>33</v>
      </c>
      <c r="F9" s="10" t="s"/>
      <c r="G9" s="10" t="s">
        <v>44</v>
      </c>
      <c r="H9" s="11">
        <v>41099</v>
      </c>
      <c r="I9" s="13" t="s">
        <v>242</v>
      </c>
      <c r="J9" s="13" t="s">
        <v>256</v>
      </c>
      <c r="K9" s="13" t="s">
        <v>36</v>
      </c>
      <c r="L9" s="13" t="s">
        <v>53</v>
      </c>
      <c r="M9" s="13" t="s">
        <v>36</v>
      </c>
      <c r="N9" s="13" t="s">
        <v>53</v>
      </c>
      <c r="O9" s="13" t="s"/>
      <c r="P9" s="13" t="s"/>
    </row>
    <row r="10" spans="1:16" ht="16" customHeight="true">
      <c r="A10" s="10">
        <v>95220</v>
      </c>
      <c r="B10" s="10" t="s">
        <v>186</v>
      </c>
      <c r="C10" s="10" t="s">
        <v>31</v>
      </c>
      <c r="D10" s="10" t="s">
        <v>32</v>
      </c>
      <c r="E10" s="10" t="s">
        <v>33</v>
      </c>
      <c r="F10" s="10" t="s"/>
      <c r="G10" s="10" t="s">
        <v>44</v>
      </c>
      <c r="H10" s="11">
        <v>44440</v>
      </c>
      <c r="I10" s="13" t="s">
        <v>246</v>
      </c>
      <c r="J10" s="13" t="s">
        <v>246</v>
      </c>
      <c r="K10" s="13" t="s">
        <v>257</v>
      </c>
      <c r="L10" s="13" t="s">
        <v>246</v>
      </c>
      <c r="M10" s="13" t="s">
        <v>257</v>
      </c>
      <c r="N10" s="13" t="s">
        <v>246</v>
      </c>
      <c r="O10" s="13" t="s"/>
      <c r="P10" s="13" t="s"/>
    </row>
    <row r="11" spans="1:16" s="383" customFormat="true" ht="16" customHeight="true">
      <c r="A11" s="10">
        <v>20811</v>
      </c>
      <c r="B11" s="10" t="s">
        <v>197</v>
      </c>
      <c r="C11" s="10" t="s">
        <v>31</v>
      </c>
      <c r="D11" s="10" t="s">
        <v>32</v>
      </c>
      <c r="E11" s="10" t="s">
        <v>33</v>
      </c>
      <c r="F11" s="10" t="s"/>
      <c r="G11" s="10" t="s">
        <v>44</v>
      </c>
      <c r="H11" s="11">
        <v>43983</v>
      </c>
      <c r="I11" s="92" t="s">
        <v>258</v>
      </c>
      <c r="J11" s="92" t="s">
        <v>259</v>
      </c>
      <c r="K11" s="92" t="s">
        <v>260</v>
      </c>
      <c r="L11" s="92" t="s">
        <v>260</v>
      </c>
      <c r="M11" s="13" t="s">
        <v>261</v>
      </c>
      <c r="N11" s="16" t="s">
        <v>262</v>
      </c>
      <c r="O11" s="13" t="s"/>
      <c r="P11" s="13" t="s"/>
    </row>
    <row r="12" spans="1:16" ht="16" customHeight="true">
      <c r="A12" s="10">
        <v>40226</v>
      </c>
      <c r="B12" s="10" t="s">
        <v>263</v>
      </c>
      <c r="C12" s="10" t="s">
        <v>31</v>
      </c>
      <c r="D12" s="10" t="s">
        <v>32</v>
      </c>
      <c r="E12" s="10" t="s">
        <v>33</v>
      </c>
      <c r="F12" s="10" t="s"/>
      <c r="G12" s="10" t="s">
        <v>44</v>
      </c>
      <c r="H12" s="11">
        <v>43934</v>
      </c>
      <c r="I12" s="13" t="s">
        <v>264</v>
      </c>
      <c r="J12" s="13" t="s">
        <v>264</v>
      </c>
      <c r="K12" s="13" t="s">
        <v>36</v>
      </c>
      <c r="L12" s="13" t="s">
        <v>264</v>
      </c>
      <c r="M12" s="13" t="s">
        <v>36</v>
      </c>
      <c r="N12" s="13" t="s">
        <v>265</v>
      </c>
      <c r="O12" s="93" t="s">
        <v>266</v>
      </c>
      <c r="P12" s="94" t="s"/>
    </row>
    <row r="13" spans="1:16" s="383" customFormat="true" ht="16" customHeight="true">
      <c r="A13" s="10">
        <v>23418</v>
      </c>
      <c r="B13" s="10" t="s">
        <v>163</v>
      </c>
      <c r="C13" s="10" t="s">
        <v>31</v>
      </c>
      <c r="D13" s="10" t="s">
        <v>32</v>
      </c>
      <c r="E13" s="10" t="s">
        <v>33</v>
      </c>
      <c r="F13" s="10" t="s">
        <v>267</v>
      </c>
      <c r="G13" s="10" t="s">
        <v>44</v>
      </c>
      <c r="H13" s="95">
        <v>45362</v>
      </c>
      <c r="I13" s="13" t="s">
        <v>268</v>
      </c>
      <c r="J13" s="13" t="s">
        <v>268</v>
      </c>
      <c r="K13" s="13" t="s">
        <v>57</v>
      </c>
      <c r="L13" s="13" t="s">
        <v>269</v>
      </c>
      <c r="M13" s="13" t="s">
        <v>48</v>
      </c>
      <c r="N13" s="13" t="s">
        <v>270</v>
      </c>
      <c r="O13" s="13" t="s"/>
      <c r="P13" s="13" t="s"/>
    </row>
    <row r="14" spans="1:16" s="383" customFormat="true" ht="16" customHeight="true">
      <c r="A14" s="10">
        <v>92042</v>
      </c>
      <c r="B14" s="10" t="s">
        <v>212</v>
      </c>
      <c r="C14" s="10" t="s">
        <v>31</v>
      </c>
      <c r="D14" s="10" t="s">
        <v>32</v>
      </c>
      <c r="E14" s="10" t="s">
        <v>33</v>
      </c>
      <c r="F14" s="10" t="s">
        <v>267</v>
      </c>
      <c r="G14" s="10" t="s">
        <v>44</v>
      </c>
      <c r="H14" s="95">
        <v>43077</v>
      </c>
      <c r="I14" s="13" t="s">
        <v>268</v>
      </c>
      <c r="J14" s="13" t="s">
        <v>243</v>
      </c>
      <c r="K14" s="13" t="s">
        <v>57</v>
      </c>
      <c r="L14" s="13" t="s">
        <v>271</v>
      </c>
      <c r="M14" s="13" t="s">
        <v>36</v>
      </c>
      <c r="N14" s="13" t="s">
        <v>272</v>
      </c>
      <c r="O14" s="13" t="s"/>
      <c r="P14" s="13" t="s"/>
    </row>
    <row r="15" spans="1:16" ht="16" customHeight="true">
      <c r="A15" s="10">
        <v>91418</v>
      </c>
      <c r="B15" s="10" t="s">
        <v>200</v>
      </c>
      <c r="C15" s="10" t="s">
        <v>31</v>
      </c>
      <c r="D15" s="10" t="s">
        <v>32</v>
      </c>
      <c r="E15" s="10" t="s">
        <v>33</v>
      </c>
      <c r="F15" s="10" t="s"/>
      <c r="G15" s="10" t="s">
        <v>44</v>
      </c>
      <c r="H15" s="11">
        <v>44984</v>
      </c>
      <c r="I15" s="13" t="s">
        <v>243</v>
      </c>
      <c r="J15" s="13" t="s">
        <v>243</v>
      </c>
      <c r="K15" s="13" t="s">
        <v>57</v>
      </c>
      <c r="L15" s="13" t="s">
        <v>273</v>
      </c>
      <c r="M15" s="13" t="s">
        <v>172</v>
      </c>
      <c r="N15" s="13" t="s">
        <v>172</v>
      </c>
      <c r="O15" s="13" t="s"/>
      <c r="P15" s="13" t="s"/>
    </row>
    <row r="16" spans="1:16" ht="16" customHeight="true">
      <c r="A16" s="10">
        <v>96208</v>
      </c>
      <c r="B16" s="10" t="s">
        <v>206</v>
      </c>
      <c r="C16" s="10" t="s">
        <v>31</v>
      </c>
      <c r="D16" s="10" t="s">
        <v>32</v>
      </c>
      <c r="E16" s="10" t="s">
        <v>33</v>
      </c>
      <c r="F16" s="10" t="s"/>
      <c r="G16" s="10" t="s">
        <v>44</v>
      </c>
      <c r="H16" s="11">
        <v>42191</v>
      </c>
      <c r="I16" s="13" t="s">
        <v>172</v>
      </c>
      <c r="J16" s="13" t="s">
        <v>172</v>
      </c>
      <c r="K16" s="13" t="s">
        <v>257</v>
      </c>
      <c r="L16" s="13" t="s">
        <v>172</v>
      </c>
      <c r="M16" s="13" t="s">
        <v>257</v>
      </c>
      <c r="N16" s="13" t="s">
        <v>172</v>
      </c>
      <c r="O16" s="13" t="s"/>
      <c r="P16" s="13" t="s"/>
    </row>
    <row r="17" spans="1:16" s="383" customFormat="true" ht="16" customHeight="true">
      <c r="A17" s="10">
        <v>53558</v>
      </c>
      <c r="B17" s="10" t="s">
        <v>209</v>
      </c>
      <c r="C17" s="10" t="s">
        <v>31</v>
      </c>
      <c r="D17" s="10" t="s">
        <v>32</v>
      </c>
      <c r="E17" s="10" t="s">
        <v>33</v>
      </c>
      <c r="F17" s="10" t="s"/>
      <c r="G17" s="10" t="s">
        <v>44</v>
      </c>
      <c r="H17" s="11">
        <v>42919</v>
      </c>
      <c r="I17" s="13" t="s">
        <v>172</v>
      </c>
      <c r="J17" s="13" t="s">
        <v>172</v>
      </c>
      <c r="K17" s="13" t="s">
        <v>257</v>
      </c>
      <c r="L17" s="13" t="s">
        <v>172</v>
      </c>
      <c r="M17" s="13" t="s">
        <v>257</v>
      </c>
      <c r="N17" s="13" t="s">
        <v>172</v>
      </c>
      <c r="O17" s="13" t="s"/>
      <c r="P17" s="13" t="s"/>
    </row>
    <row r="18" spans="1:16" ht="16" customHeight="true">
      <c r="A18" s="10">
        <v>19083</v>
      </c>
      <c r="B18" s="10" t="s">
        <v>181</v>
      </c>
      <c r="C18" s="10" t="s">
        <v>31</v>
      </c>
      <c r="D18" s="10" t="s">
        <v>32</v>
      </c>
      <c r="E18" s="10" t="s">
        <v>33</v>
      </c>
      <c r="F18" s="10" t="s"/>
      <c r="G18" s="10" t="s">
        <v>44</v>
      </c>
      <c r="H18" s="11">
        <v>44193</v>
      </c>
      <c r="I18" s="13" t="s">
        <v>242</v>
      </c>
      <c r="J18" s="13" t="s">
        <v>242</v>
      </c>
      <c r="K18" s="13" t="s">
        <v>36</v>
      </c>
      <c r="L18" s="13" t="s">
        <v>53</v>
      </c>
      <c r="M18" s="13" t="s">
        <v>36</v>
      </c>
      <c r="N18" s="13" t="s">
        <v>53</v>
      </c>
      <c r="O18" s="13" t="s"/>
      <c r="P18" s="13" t="s"/>
    </row>
    <row r="19" spans="1:16" ht="16" customHeight="true">
      <c r="A19" s="10">
        <v>17795</v>
      </c>
      <c r="B19" s="10" t="s">
        <v>189</v>
      </c>
      <c r="C19" s="10" t="s">
        <v>31</v>
      </c>
      <c r="D19" s="10" t="s">
        <v>32</v>
      </c>
      <c r="E19" s="10" t="s">
        <v>33</v>
      </c>
      <c r="F19" s="10" t="s"/>
      <c r="G19" s="10" t="s">
        <v>44</v>
      </c>
      <c r="H19" s="11">
        <v>43245</v>
      </c>
      <c r="I19" s="13" t="s">
        <v>243</v>
      </c>
      <c r="J19" s="13" t="s">
        <v>243</v>
      </c>
      <c r="K19" s="13" t="s">
        <v>57</v>
      </c>
      <c r="L19" s="13" t="s">
        <v>273</v>
      </c>
      <c r="M19" s="13" t="s">
        <v>36</v>
      </c>
      <c r="N19" s="13" t="s">
        <v>274</v>
      </c>
      <c r="O19" s="13" t="s"/>
      <c r="P19" s="13" t="s"/>
    </row>
    <row r="20" spans="1:16" ht="16" customHeight="true">
      <c r="A20" s="10">
        <v>40624</v>
      </c>
      <c r="B20" s="10" t="s">
        <v>56</v>
      </c>
      <c r="C20" s="10" t="s">
        <v>31</v>
      </c>
      <c r="D20" s="10" t="s">
        <v>32</v>
      </c>
      <c r="E20" s="10" t="s">
        <v>33</v>
      </c>
      <c r="F20" s="10" t="s"/>
      <c r="G20" s="10" t="s">
        <v>44</v>
      </c>
      <c r="H20" s="11">
        <v>44746</v>
      </c>
      <c r="I20" s="13" t="s">
        <v>57</v>
      </c>
      <c r="J20" s="13" t="s">
        <v>57</v>
      </c>
      <c r="K20" s="13" t="s">
        <v>57</v>
      </c>
      <c r="L20" s="13" t="s">
        <v>58</v>
      </c>
      <c r="M20" s="13" t="s">
        <v>57</v>
      </c>
      <c r="N20" s="13" t="s">
        <v>57</v>
      </c>
      <c r="O20" s="13" t="s"/>
      <c r="P20" s="13" t="s"/>
    </row>
    <row r="21" spans="1:16" ht="16" customHeight="true">
      <c r="A21" s="10">
        <v>52012</v>
      </c>
      <c r="B21" s="10" t="s">
        <v>194</v>
      </c>
      <c r="C21" s="10" t="s">
        <v>31</v>
      </c>
      <c r="D21" s="10" t="s">
        <v>32</v>
      </c>
      <c r="E21" s="10" t="s">
        <v>33</v>
      </c>
      <c r="F21" s="10" t="s"/>
      <c r="G21" s="10" t="s">
        <v>44</v>
      </c>
      <c r="H21" s="11">
        <v>45110</v>
      </c>
      <c r="I21" s="13" t="s">
        <v>57</v>
      </c>
      <c r="J21" s="13" t="s">
        <v>57</v>
      </c>
      <c r="K21" s="13" t="s">
        <v>57</v>
      </c>
      <c r="L21" s="13" t="s">
        <v>58</v>
      </c>
      <c r="M21" s="13" t="s">
        <v>57</v>
      </c>
      <c r="N21" s="13" t="s">
        <v>57</v>
      </c>
      <c r="O21" s="13" t="s"/>
      <c r="P21" s="13" t="s"/>
    </row>
    <row r="22" spans="1:16" s="383" customFormat="true" ht="16" customHeight="true">
      <c r="A22" s="10">
        <v>99812</v>
      </c>
      <c r="B22" s="10" t="s">
        <v>171</v>
      </c>
      <c r="C22" s="10" t="s">
        <v>31</v>
      </c>
      <c r="D22" s="10" t="s">
        <v>32</v>
      </c>
      <c r="E22" s="10" t="s">
        <v>33</v>
      </c>
      <c r="F22" s="10" t="s"/>
      <c r="G22" s="10" t="s">
        <v>44</v>
      </c>
      <c r="H22" s="11">
        <v>44746</v>
      </c>
      <c r="I22" s="13" t="s">
        <v>57</v>
      </c>
      <c r="J22" s="13" t="s">
        <v>57</v>
      </c>
      <c r="K22" s="13" t="s">
        <v>57</v>
      </c>
      <c r="L22" s="13" t="s">
        <v>58</v>
      </c>
      <c r="M22" s="13" t="s">
        <v>57</v>
      </c>
      <c r="N22" s="13" t="s">
        <v>57</v>
      </c>
      <c r="O22" s="13" t="s"/>
      <c r="P22" s="13" t="s"/>
    </row>
    <row r="23" spans="1:16" s="383" customFormat="true" ht="16" customHeight="true">
      <c r="A23" s="10">
        <v>28062</v>
      </c>
      <c r="B23" s="10" t="s">
        <v>50</v>
      </c>
      <c r="C23" s="10" t="s">
        <v>31</v>
      </c>
      <c r="D23" s="10" t="s">
        <v>32</v>
      </c>
      <c r="E23" s="10" t="s">
        <v>33</v>
      </c>
      <c r="F23" s="10" t="s"/>
      <c r="G23" s="10" t="s">
        <v>44</v>
      </c>
      <c r="H23" s="11">
        <v>41827</v>
      </c>
      <c r="I23" s="13" t="s">
        <v>52</v>
      </c>
      <c r="J23" s="13" t="s">
        <v>52</v>
      </c>
      <c r="K23" s="13" t="s">
        <v>36</v>
      </c>
      <c r="L23" s="13" t="s">
        <v>53</v>
      </c>
      <c r="M23" s="13" t="s">
        <v>36</v>
      </c>
      <c r="N23" s="13" t="s">
        <v>53</v>
      </c>
      <c r="O23" s="13" t="s"/>
      <c r="P23" s="13" t="s"/>
    </row>
    <row r="24" spans="1:16" s="383" customFormat="true" ht="16" customHeight="true">
      <c r="A24" s="10">
        <v>22026</v>
      </c>
      <c r="B24" s="10" t="s">
        <v>275</v>
      </c>
      <c r="C24" s="10" t="s">
        <v>31</v>
      </c>
      <c r="D24" s="10" t="s">
        <v>32</v>
      </c>
      <c r="E24" s="10" t="s">
        <v>33</v>
      </c>
      <c r="F24" s="10" t="s"/>
      <c r="G24" s="10" t="s">
        <v>44</v>
      </c>
      <c r="H24" s="11">
        <v>42561</v>
      </c>
      <c r="I24" s="13" t="s">
        <v>52</v>
      </c>
      <c r="J24" s="13" t="s">
        <v>52</v>
      </c>
      <c r="K24" s="13" t="s">
        <v>52</v>
      </c>
      <c r="L24" s="13" t="s">
        <v>52</v>
      </c>
      <c r="M24" s="13" t="s">
        <v>52</v>
      </c>
      <c r="N24" s="13" t="s">
        <v>52</v>
      </c>
      <c r="O24" s="13" t="s"/>
      <c r="P24" s="13" t="s"/>
    </row>
    <row r="25" spans="1:16" ht="16" customHeight="true">
      <c r="A25" s="18">
        <v>93622</v>
      </c>
      <c r="B25" s="18" t="s">
        <v>276</v>
      </c>
      <c r="C25" s="18" t="s">
        <v>31</v>
      </c>
      <c r="D25" s="18" t="s">
        <v>32</v>
      </c>
      <c r="E25" s="18" t="s">
        <v>267</v>
      </c>
      <c r="F25" s="18" t="s"/>
      <c r="G25" s="18" t="s">
        <v>44</v>
      </c>
      <c r="H25" s="20">
        <v>42880</v>
      </c>
      <c r="I25" s="13" t="s">
        <v>277</v>
      </c>
      <c r="J25" s="13" t="s">
        <v>277</v>
      </c>
      <c r="K25" s="13" t="s">
        <v>36</v>
      </c>
      <c r="L25" s="13" t="s">
        <v>278</v>
      </c>
      <c r="M25" s="13" t="s">
        <v>36</v>
      </c>
      <c r="N25" s="13" t="s">
        <v>279</v>
      </c>
      <c r="O25" s="13" t="s"/>
      <c r="P25" s="13" t="s"/>
    </row>
    <row r="26" spans="1:16" ht="16" customHeight="true">
      <c r="A26" s="18">
        <v>65248</v>
      </c>
      <c r="B26" s="18" t="s">
        <v>280</v>
      </c>
      <c r="C26" s="18" t="s">
        <v>31</v>
      </c>
      <c r="D26" s="18" t="s">
        <v>32</v>
      </c>
      <c r="E26" s="18" t="s">
        <v>267</v>
      </c>
      <c r="F26" s="18" t="s"/>
      <c r="G26" s="18" t="s">
        <v>44</v>
      </c>
      <c r="H26" s="20">
        <v>43672</v>
      </c>
      <c r="I26" s="13" t="s">
        <v>243</v>
      </c>
      <c r="J26" s="13" t="s">
        <v>243</v>
      </c>
      <c r="K26" s="13" t="s">
        <v>57</v>
      </c>
      <c r="L26" s="13" t="s">
        <v>281</v>
      </c>
      <c r="M26" s="13" t="s">
        <v>57</v>
      </c>
      <c r="N26" s="13" t="s">
        <v>282</v>
      </c>
      <c r="O26" s="13" t="s"/>
      <c r="P26" s="13" t="s"/>
    </row>
    <row r="27" spans="1:16" ht="16" customHeight="true">
      <c r="A27" s="18">
        <v>14659</v>
      </c>
      <c r="B27" s="18" t="s">
        <v>283</v>
      </c>
      <c r="C27" s="18" t="s">
        <v>31</v>
      </c>
      <c r="D27" s="18" t="s">
        <v>32</v>
      </c>
      <c r="E27" s="18" t="s">
        <v>267</v>
      </c>
      <c r="F27" s="18" t="s"/>
      <c r="G27" s="18" t="s">
        <v>44</v>
      </c>
      <c r="H27" s="20">
        <v>44265</v>
      </c>
      <c r="I27" s="13" t="s">
        <v>243</v>
      </c>
      <c r="J27" s="13" t="s">
        <v>243</v>
      </c>
      <c r="K27" s="13" t="s">
        <v>255</v>
      </c>
      <c r="L27" s="16" t="s">
        <v>284</v>
      </c>
      <c r="M27" s="13" t="s">
        <v>255</v>
      </c>
      <c r="N27" s="13" t="s">
        <v>285</v>
      </c>
      <c r="O27" s="13" t="s"/>
      <c r="P27" s="13" t="s"/>
    </row>
    <row r="28" spans="1:16" ht="16" customHeight="true">
      <c r="A28" s="18">
        <v>17855</v>
      </c>
      <c r="B28" s="18" t="s">
        <v>286</v>
      </c>
      <c r="C28" s="18" t="s">
        <v>31</v>
      </c>
      <c r="D28" s="18" t="s">
        <v>32</v>
      </c>
      <c r="E28" s="18" t="s">
        <v>267</v>
      </c>
      <c r="F28" s="18" t="s"/>
      <c r="G28" s="18" t="s">
        <v>44</v>
      </c>
      <c r="H28" s="20">
        <v>43752</v>
      </c>
      <c r="I28" s="13" t="s">
        <v>287</v>
      </c>
      <c r="J28" s="13" t="s">
        <v>287</v>
      </c>
      <c r="K28" s="13" t="s">
        <v>288</v>
      </c>
      <c r="L28" s="13" t="s">
        <v>289</v>
      </c>
      <c r="M28" s="13" t="s">
        <v>290</v>
      </c>
      <c r="N28" s="13" t="s">
        <v>291</v>
      </c>
      <c r="O28" s="13" t="s"/>
      <c r="P28" s="13" t="s"/>
    </row>
    <row r="29" spans="1:16" ht="16" customHeight="true">
      <c r="A29" s="18">
        <v>70568</v>
      </c>
      <c r="B29" s="18" t="s">
        <v>292</v>
      </c>
      <c r="C29" s="18" t="s">
        <v>31</v>
      </c>
      <c r="D29" s="18" t="s">
        <v>32</v>
      </c>
      <c r="E29" s="18" t="s">
        <v>267</v>
      </c>
      <c r="F29" s="18" t="s"/>
      <c r="G29" s="18" t="s">
        <v>44</v>
      </c>
      <c r="H29" s="20">
        <v>42499</v>
      </c>
      <c r="I29" s="13" t="s">
        <v>250</v>
      </c>
      <c r="J29" s="13" t="s">
        <v>250</v>
      </c>
      <c r="K29" s="13" t="s">
        <v>255</v>
      </c>
      <c r="L29" s="13" t="s">
        <v>293</v>
      </c>
      <c r="M29" s="13" t="s">
        <v>255</v>
      </c>
      <c r="N29" s="13" t="s">
        <v>285</v>
      </c>
      <c r="O29" s="13" t="s"/>
      <c r="P29" s="13" t="s"/>
    </row>
    <row r="30" spans="1:16" ht="16" customHeight="true">
      <c r="A30" s="18">
        <v>37038</v>
      </c>
      <c r="B30" s="18" t="s">
        <v>294</v>
      </c>
      <c r="C30" s="18" t="s">
        <v>31</v>
      </c>
      <c r="D30" s="18" t="s">
        <v>32</v>
      </c>
      <c r="E30" s="18" t="s">
        <v>267</v>
      </c>
      <c r="F30" s="18" t="s"/>
      <c r="G30" s="18" t="s">
        <v>44</v>
      </c>
      <c r="H30" s="20">
        <v>42552</v>
      </c>
      <c r="I30" s="13" t="s">
        <v>287</v>
      </c>
      <c r="J30" s="13" t="s">
        <v>287</v>
      </c>
      <c r="K30" s="13" t="s">
        <v>48</v>
      </c>
      <c r="L30" s="13" t="s">
        <v>295</v>
      </c>
      <c r="M30" s="13" t="s">
        <v>48</v>
      </c>
      <c r="N30" s="13" t="s">
        <v>296</v>
      </c>
      <c r="O30" s="13" t="s"/>
      <c r="P30" s="13" t="s"/>
    </row>
    <row r="31" spans="1:16" ht="16" customHeight="true">
      <c r="A31" s="18">
        <v>32629</v>
      </c>
      <c r="B31" s="18" t="s">
        <v>297</v>
      </c>
      <c r="C31" s="18" t="s">
        <v>31</v>
      </c>
      <c r="D31" s="18" t="s">
        <v>32</v>
      </c>
      <c r="E31" s="18" t="s">
        <v>267</v>
      </c>
      <c r="F31" s="18" t="s"/>
      <c r="G31" s="18" t="s">
        <v>44</v>
      </c>
      <c r="H31" s="20">
        <v>44125</v>
      </c>
      <c r="I31" s="13" t="s">
        <v>243</v>
      </c>
      <c r="J31" s="13" t="s">
        <v>243</v>
      </c>
      <c r="K31" s="13" t="s">
        <v>48</v>
      </c>
      <c r="L31" s="13" t="s">
        <v>49</v>
      </c>
      <c r="M31" s="13" t="s">
        <v>48</v>
      </c>
      <c r="N31" s="13" t="s">
        <v>49</v>
      </c>
      <c r="O31" s="13" t="s"/>
      <c r="P31" s="13" t="s"/>
    </row>
    <row r="32" spans="1:16" ht="16" customHeight="true">
      <c r="A32" s="18">
        <v>89973</v>
      </c>
      <c r="B32" s="18" t="s">
        <v>298</v>
      </c>
      <c r="C32" s="18" t="s">
        <v>31</v>
      </c>
      <c r="D32" s="18" t="s">
        <v>32</v>
      </c>
      <c r="E32" s="18" t="s">
        <v>267</v>
      </c>
      <c r="F32" s="18" t="s"/>
      <c r="G32" s="18" t="s">
        <v>44</v>
      </c>
      <c r="H32" s="20">
        <v>43675</v>
      </c>
      <c r="I32" s="13" t="s">
        <v>172</v>
      </c>
      <c r="J32" s="13" t="s">
        <v>172</v>
      </c>
      <c r="K32" s="13" t="s">
        <v>290</v>
      </c>
      <c r="L32" s="13" t="s">
        <v>299</v>
      </c>
      <c r="M32" s="13" t="s">
        <v>257</v>
      </c>
      <c r="N32" s="13" t="s">
        <v>299</v>
      </c>
      <c r="O32" s="13" t="s"/>
      <c r="P32" s="13" t="s"/>
    </row>
    <row r="33" spans="1:16" ht="16" customHeight="true">
      <c r="A33" s="18">
        <v>17220</v>
      </c>
      <c r="B33" s="18" t="s">
        <v>300</v>
      </c>
      <c r="C33" s="18" t="s">
        <v>31</v>
      </c>
      <c r="D33" s="18" t="s">
        <v>32</v>
      </c>
      <c r="E33" s="18" t="s">
        <v>267</v>
      </c>
      <c r="F33" s="18" t="s"/>
      <c r="G33" s="18" t="s">
        <v>44</v>
      </c>
      <c r="H33" s="20">
        <v>42459</v>
      </c>
      <c r="I33" s="13" t="s">
        <v>253</v>
      </c>
      <c r="J33" s="13" t="s">
        <v>253</v>
      </c>
      <c r="K33" s="13" t="s">
        <v>48</v>
      </c>
      <c r="L33" s="13" t="s">
        <v>295</v>
      </c>
      <c r="M33" s="13" t="s">
        <v>48</v>
      </c>
      <c r="N33" s="13" t="s">
        <v>296</v>
      </c>
      <c r="O33" s="13" t="s"/>
      <c r="P33" s="13" t="s"/>
    </row>
    <row r="34" spans="1:16" ht="16" customHeight="true">
      <c r="A34" s="18">
        <v>23167</v>
      </c>
      <c r="B34" s="18" t="s">
        <v>301</v>
      </c>
      <c r="C34" s="18" t="s">
        <v>31</v>
      </c>
      <c r="D34" s="18" t="s">
        <v>32</v>
      </c>
      <c r="E34" s="18" t="s">
        <v>267</v>
      </c>
      <c r="F34" s="18" t="s"/>
      <c r="G34" s="18" t="s">
        <v>44</v>
      </c>
      <c r="H34" s="20">
        <v>43068</v>
      </c>
      <c r="I34" s="13" t="s">
        <v>172</v>
      </c>
      <c r="J34" s="13" t="s">
        <v>172</v>
      </c>
      <c r="K34" s="13" t="s">
        <v>302</v>
      </c>
      <c r="L34" s="13" t="s">
        <v>303</v>
      </c>
      <c r="M34" s="13" t="s">
        <v>302</v>
      </c>
      <c r="N34" s="13" t="s">
        <v>303</v>
      </c>
      <c r="O34" s="13" t="s"/>
      <c r="P34" s="13" t="s"/>
    </row>
    <row r="35" spans="1:16" ht="16" customHeight="true">
      <c r="A35" s="18">
        <v>60993</v>
      </c>
      <c r="B35" s="18" t="s">
        <v>304</v>
      </c>
      <c r="C35" s="18" t="s">
        <v>31</v>
      </c>
      <c r="D35" s="18" t="s">
        <v>32</v>
      </c>
      <c r="E35" s="18" t="s">
        <v>267</v>
      </c>
      <c r="F35" s="18" t="s"/>
      <c r="G35" s="18" t="s">
        <v>44</v>
      </c>
      <c r="H35" s="20">
        <v>44746</v>
      </c>
      <c r="I35" s="13" t="s">
        <v>172</v>
      </c>
      <c r="J35" s="13" t="s">
        <v>172</v>
      </c>
      <c r="K35" s="13" t="s">
        <v>305</v>
      </c>
      <c r="L35" s="13" t="s">
        <v>306</v>
      </c>
      <c r="M35" s="13" t="s">
        <v>255</v>
      </c>
      <c r="N35" s="13" t="s">
        <v>307</v>
      </c>
      <c r="O35" s="13" t="s"/>
      <c r="P35" s="13" t="s"/>
    </row>
    <row r="36" spans="1:16" s="383" customFormat="true" ht="16" customHeight="true">
      <c r="A36" s="18">
        <v>75912</v>
      </c>
      <c r="B36" s="18" t="s">
        <v>119</v>
      </c>
      <c r="C36" s="18" t="s">
        <v>31</v>
      </c>
      <c r="D36" s="18" t="s">
        <v>32</v>
      </c>
      <c r="E36" s="18" t="s">
        <v>267</v>
      </c>
      <c r="F36" s="18" t="s"/>
      <c r="G36" s="18" t="s">
        <v>44</v>
      </c>
      <c r="H36" s="20">
        <v>39639</v>
      </c>
      <c r="I36" s="13" t="s">
        <v>308</v>
      </c>
      <c r="J36" s="13" t="s">
        <v>308</v>
      </c>
      <c r="K36" s="13" t="s">
        <v>308</v>
      </c>
      <c r="L36" s="13" t="s">
        <v>309</v>
      </c>
      <c r="M36" s="13" t="s">
        <v>308</v>
      </c>
      <c r="N36" s="13" t="s">
        <v>296</v>
      </c>
      <c r="O36" s="13" t="s"/>
      <c r="P36" s="13" t="s"/>
    </row>
    <row r="37" spans="1:16" s="383" customFormat="true" ht="16" customHeight="true">
      <c r="A37" s="18">
        <v>29586</v>
      </c>
      <c r="B37" s="18" t="s">
        <v>143</v>
      </c>
      <c r="C37" s="18" t="s">
        <v>31</v>
      </c>
      <c r="D37" s="18" t="s">
        <v>32</v>
      </c>
      <c r="E37" s="18" t="s">
        <v>267</v>
      </c>
      <c r="F37" s="18" t="s"/>
      <c r="G37" s="18" t="s">
        <v>44</v>
      </c>
      <c r="H37" s="20">
        <v>43035</v>
      </c>
      <c r="I37" s="13" t="s">
        <v>310</v>
      </c>
      <c r="J37" s="13" t="s">
        <v>310</v>
      </c>
      <c r="K37" s="13" t="s">
        <v>310</v>
      </c>
      <c r="L37" s="13" t="s">
        <v>311</v>
      </c>
      <c r="M37" s="13" t="s">
        <v>310</v>
      </c>
      <c r="N37" s="13" t="s">
        <v>312</v>
      </c>
      <c r="O37" s="13" t="s"/>
      <c r="P37" s="13" t="s"/>
    </row>
    <row r="38" spans="1:16" ht="16" customHeight="true">
      <c r="A38" s="18">
        <v>49087</v>
      </c>
      <c r="B38" s="18" t="s">
        <v>103</v>
      </c>
      <c r="C38" s="18" t="s">
        <v>31</v>
      </c>
      <c r="D38" s="18" t="s">
        <v>32</v>
      </c>
      <c r="E38" s="18" t="s">
        <v>267</v>
      </c>
      <c r="F38" s="18" t="s"/>
      <c r="G38" s="18" t="s">
        <v>44</v>
      </c>
      <c r="H38" s="20">
        <v>41099</v>
      </c>
      <c r="I38" s="13" t="s">
        <v>52</v>
      </c>
      <c r="J38" s="13" t="s">
        <v>52</v>
      </c>
      <c r="K38" s="13" t="s">
        <v>52</v>
      </c>
      <c r="L38" s="13" t="s">
        <v>52</v>
      </c>
      <c r="M38" s="13" t="s">
        <v>52</v>
      </c>
      <c r="N38" s="13" t="s">
        <v>52</v>
      </c>
      <c r="O38" s="13" t="s"/>
      <c r="P38" s="13" t="s"/>
    </row>
  </sheetData>
  <autoFilter ref="A1:J38"/>
  <mergeCells count="4">
    <mergeCell ref="K1:L1"/>
    <mergeCell ref="M1:N1"/>
    <mergeCell ref="O1:P1"/>
    <mergeCell ref="O12:P12"/>
  </mergeCells>
  <pageMargins left="0.75" right="0.75" top="1" bottom="1" header="0.5" footer="0.5"/>
  <pageSetup orientation="portrait"/>
  <legacyDrawing r:id="rId0"/>
</worksheet>
</file>

<file path=xl/worksheets/sheet10.xml><?xml version="1.0" encoding="utf-8"?>
<worksheet xmlns="http://schemas.openxmlformats.org/spreadsheetml/2006/main">
  <sheetPr/>
  <dimension ref="I48"/>
  <sheetViews>
    <sheetView showGridLines="true" topLeftCell="A1" zoomScale="115" zoomScaleNormal="115" workbookViewId="0"/>
  </sheetViews>
  <sheetFormatPr defaultColWidth="9.235" defaultRowHeight="13.5"/>
  <cols>
    <col min="3" max="3" width="12.625" customWidth="true"/>
    <col min="4" max="4" width="14.625" customWidth="true"/>
    <col min="5" max="5" width="21.625" customWidth="true"/>
    <col min="6" max="6" width="14.625" style="385" customWidth="true"/>
    <col min="7" max="7" width="12.125" customWidth="true"/>
    <col min="8" max="8" width="13.5" customWidth="true"/>
    <col min="9" max="9" width="14.625"/>
  </cols>
  <sheetData>
    <row r="1" spans="1:9" s="383" customFormat="true" ht="13.5">
      <c r="A1" s="4" t="s">
        <v>1</v>
      </c>
      <c r="B1" s="4" t="s">
        <v>2</v>
      </c>
      <c r="C1" s="4" t="s">
        <v>4</v>
      </c>
      <c r="D1" s="4" t="s">
        <v>5</v>
      </c>
      <c r="E1" s="4" t="s">
        <v>6</v>
      </c>
      <c r="F1" s="4" t="s">
        <v>660</v>
      </c>
      <c r="G1" s="4" t="s">
        <v>8</v>
      </c>
      <c r="H1" s="236" t="s">
        <v>9</v>
      </c>
      <c r="I1" s="7">
        <v>25.02</v>
      </c>
    </row>
    <row r="2" spans="1:8" ht="13.5">
      <c r="A2" s="237">
        <v>12383</v>
      </c>
      <c r="B2" s="237" t="s">
        <v>167</v>
      </c>
      <c r="C2" s="237" t="s">
        <v>31</v>
      </c>
      <c r="D2" s="237" t="s">
        <v>32</v>
      </c>
      <c r="E2" s="237" t="s">
        <v>33</v>
      </c>
      <c r="F2" s="237" t="s"/>
      <c r="G2" s="237" t="s">
        <v>44</v>
      </c>
      <c r="H2" s="238">
        <v>44627</v>
      </c>
    </row>
    <row r="3" spans="1:8" ht="13.5">
      <c r="A3" s="237">
        <v>19288</v>
      </c>
      <c r="B3" s="237" t="s">
        <v>661</v>
      </c>
      <c r="C3" s="237" t="s">
        <v>31</v>
      </c>
      <c r="D3" s="237" t="s">
        <v>32</v>
      </c>
      <c r="E3" s="237" t="s">
        <v>33</v>
      </c>
      <c r="F3" s="237" t="s">
        <v>240</v>
      </c>
      <c r="G3" s="237" t="s">
        <v>44</v>
      </c>
      <c r="H3" s="238">
        <v>44382</v>
      </c>
    </row>
    <row r="4" spans="1:8" ht="13.5">
      <c r="A4" s="237">
        <v>10899</v>
      </c>
      <c r="B4" s="237" t="s">
        <v>662</v>
      </c>
      <c r="C4" s="237" t="s">
        <v>31</v>
      </c>
      <c r="D4" s="237" t="s">
        <v>32</v>
      </c>
      <c r="E4" s="237" t="s">
        <v>33</v>
      </c>
      <c r="F4" s="237" t="s">
        <v>238</v>
      </c>
      <c r="G4" s="237" t="s">
        <v>44</v>
      </c>
      <c r="H4" s="238">
        <v>44067</v>
      </c>
    </row>
    <row r="5" spans="1:8" ht="13.5">
      <c r="A5" s="237">
        <v>91418</v>
      </c>
      <c r="B5" s="237" t="s">
        <v>200</v>
      </c>
      <c r="C5" s="237" t="s">
        <v>31</v>
      </c>
      <c r="D5" s="237" t="s">
        <v>32</v>
      </c>
      <c r="E5" s="237" t="s">
        <v>33</v>
      </c>
      <c r="F5" s="237" t="s"/>
      <c r="G5" s="237" t="s">
        <v>44</v>
      </c>
      <c r="H5" s="238">
        <v>44984</v>
      </c>
    </row>
    <row r="6" spans="1:8" ht="13.5">
      <c r="A6" s="237">
        <v>95220</v>
      </c>
      <c r="B6" s="237" t="s">
        <v>186</v>
      </c>
      <c r="C6" s="237" t="s">
        <v>31</v>
      </c>
      <c r="D6" s="237" t="s">
        <v>32</v>
      </c>
      <c r="E6" s="237" t="s">
        <v>33</v>
      </c>
      <c r="F6" s="237" t="s"/>
      <c r="G6" s="237" t="s">
        <v>44</v>
      </c>
      <c r="H6" s="238">
        <v>44440</v>
      </c>
    </row>
    <row r="7" spans="1:8" ht="13.5">
      <c r="A7" s="237">
        <v>22026</v>
      </c>
      <c r="B7" s="237" t="s">
        <v>275</v>
      </c>
      <c r="C7" s="237" t="s">
        <v>31</v>
      </c>
      <c r="D7" s="237" t="s">
        <v>32</v>
      </c>
      <c r="E7" s="237" t="s">
        <v>33</v>
      </c>
      <c r="F7" s="237" t="s"/>
      <c r="G7" s="237" t="s">
        <v>44</v>
      </c>
      <c r="H7" s="238">
        <v>42561</v>
      </c>
    </row>
    <row r="8" spans="1:8" ht="13.5">
      <c r="A8" s="237">
        <v>28062</v>
      </c>
      <c r="B8" s="237" t="s">
        <v>50</v>
      </c>
      <c r="C8" s="237" t="s">
        <v>31</v>
      </c>
      <c r="D8" s="237" t="s">
        <v>32</v>
      </c>
      <c r="E8" s="237" t="s">
        <v>33</v>
      </c>
      <c r="F8" s="237" t="s"/>
      <c r="G8" s="237" t="s">
        <v>44</v>
      </c>
      <c r="H8" s="238">
        <v>41827</v>
      </c>
    </row>
    <row r="9" spans="1:8" ht="13.5">
      <c r="A9" s="237">
        <v>47808</v>
      </c>
      <c r="B9" s="237" t="s">
        <v>663</v>
      </c>
      <c r="C9" s="237" t="s">
        <v>31</v>
      </c>
      <c r="D9" s="237" t="s">
        <v>32</v>
      </c>
      <c r="E9" s="237" t="s">
        <v>33</v>
      </c>
      <c r="F9" s="237" t="s">
        <v>327</v>
      </c>
      <c r="G9" s="237" t="s">
        <v>44</v>
      </c>
      <c r="H9" s="238">
        <v>42569</v>
      </c>
    </row>
    <row r="10" spans="1:8" ht="13.5">
      <c r="A10" s="237">
        <v>50221</v>
      </c>
      <c r="B10" s="237" t="s">
        <v>664</v>
      </c>
      <c r="C10" s="237" t="s">
        <v>31</v>
      </c>
      <c r="D10" s="237" t="s">
        <v>32</v>
      </c>
      <c r="E10" s="237" t="s">
        <v>33</v>
      </c>
      <c r="F10" s="237" t="s">
        <v>665</v>
      </c>
      <c r="G10" s="237" t="s">
        <v>44</v>
      </c>
      <c r="H10" s="238">
        <v>42562</v>
      </c>
    </row>
    <row r="11" spans="1:8" ht="13.5">
      <c r="A11" s="237">
        <v>24934</v>
      </c>
      <c r="B11" s="237" t="s">
        <v>331</v>
      </c>
      <c r="C11" s="237" t="s">
        <v>31</v>
      </c>
      <c r="D11" s="237" t="s">
        <v>32</v>
      </c>
      <c r="E11" s="237" t="s">
        <v>33</v>
      </c>
      <c r="F11" s="237" t="s">
        <v>406</v>
      </c>
      <c r="G11" s="237" t="s">
        <v>666</v>
      </c>
      <c r="H11" s="238">
        <v>41071</v>
      </c>
    </row>
    <row r="12" spans="1:8" ht="13.5">
      <c r="A12" s="237">
        <v>57305</v>
      </c>
      <c r="B12" s="237" t="s">
        <v>42</v>
      </c>
      <c r="C12" s="237" t="s">
        <v>31</v>
      </c>
      <c r="D12" s="237" t="s">
        <v>32</v>
      </c>
      <c r="E12" s="237" t="s">
        <v>33</v>
      </c>
      <c r="F12" s="237" t="s"/>
      <c r="G12" s="237" t="s">
        <v>44</v>
      </c>
      <c r="H12" s="238">
        <v>43934</v>
      </c>
    </row>
    <row r="13" spans="1:8" ht="13.5">
      <c r="A13" s="237">
        <v>12944</v>
      </c>
      <c r="B13" s="237" t="s">
        <v>153</v>
      </c>
      <c r="C13" s="237" t="s">
        <v>31</v>
      </c>
      <c r="D13" s="237" t="s">
        <v>32</v>
      </c>
      <c r="E13" s="237" t="s">
        <v>33</v>
      </c>
      <c r="F13" s="237" t="s"/>
      <c r="G13" s="237" t="s">
        <v>44</v>
      </c>
      <c r="H13" s="238">
        <v>44440</v>
      </c>
    </row>
    <row r="14" spans="1:8" ht="13.5">
      <c r="A14" s="237">
        <v>40226</v>
      </c>
      <c r="B14" s="237" t="s">
        <v>263</v>
      </c>
      <c r="C14" s="237" t="s">
        <v>31</v>
      </c>
      <c r="D14" s="237" t="s">
        <v>32</v>
      </c>
      <c r="E14" s="237" t="s">
        <v>33</v>
      </c>
      <c r="F14" s="237" t="s"/>
      <c r="G14" s="237" t="s">
        <v>44</v>
      </c>
      <c r="H14" s="238">
        <v>43934</v>
      </c>
    </row>
    <row r="15" spans="1:8" ht="13.5">
      <c r="A15" s="237">
        <v>19083</v>
      </c>
      <c r="B15" s="237" t="s">
        <v>181</v>
      </c>
      <c r="C15" s="237" t="s">
        <v>31</v>
      </c>
      <c r="D15" s="237" t="s">
        <v>32</v>
      </c>
      <c r="E15" s="237" t="s">
        <v>33</v>
      </c>
      <c r="F15" s="237" t="s"/>
      <c r="G15" s="237" t="s">
        <v>44</v>
      </c>
      <c r="H15" s="238">
        <v>44193</v>
      </c>
    </row>
    <row r="16" spans="1:8" ht="13.5">
      <c r="A16" s="237">
        <v>19906</v>
      </c>
      <c r="B16" s="237" t="s">
        <v>667</v>
      </c>
      <c r="C16" s="237" t="s">
        <v>31</v>
      </c>
      <c r="D16" s="237" t="s">
        <v>32</v>
      </c>
      <c r="E16" s="237" t="s">
        <v>33</v>
      </c>
      <c r="F16" s="237" t="s">
        <v>240</v>
      </c>
      <c r="G16" s="237" t="s">
        <v>44</v>
      </c>
      <c r="H16" s="238">
        <v>44648</v>
      </c>
    </row>
    <row r="17" spans="1:8" ht="13.5">
      <c r="A17" s="237">
        <v>76442</v>
      </c>
      <c r="B17" s="237" t="s">
        <v>176</v>
      </c>
      <c r="C17" s="237" t="s">
        <v>31</v>
      </c>
      <c r="D17" s="237" t="s">
        <v>32</v>
      </c>
      <c r="E17" s="237" t="s">
        <v>33</v>
      </c>
      <c r="F17" s="237" t="s"/>
      <c r="G17" s="237" t="s">
        <v>44</v>
      </c>
      <c r="H17" s="238">
        <v>42184</v>
      </c>
    </row>
    <row r="18" spans="1:8" ht="13.5">
      <c r="A18" s="237">
        <v>75912</v>
      </c>
      <c r="B18" s="237" t="s">
        <v>119</v>
      </c>
      <c r="C18" s="237" t="s">
        <v>31</v>
      </c>
      <c r="D18" s="237" t="s">
        <v>32</v>
      </c>
      <c r="E18" s="237" t="s">
        <v>267</v>
      </c>
      <c r="F18" s="237" t="s"/>
      <c r="G18" s="237" t="s">
        <v>44</v>
      </c>
      <c r="H18" s="238">
        <v>39639</v>
      </c>
    </row>
    <row r="19" spans="1:8" ht="13.5">
      <c r="A19" s="237">
        <v>96208</v>
      </c>
      <c r="B19" s="237" t="s">
        <v>206</v>
      </c>
      <c r="C19" s="237" t="s">
        <v>31</v>
      </c>
      <c r="D19" s="237" t="s">
        <v>32</v>
      </c>
      <c r="E19" s="237" t="s">
        <v>33</v>
      </c>
      <c r="F19" s="237" t="s"/>
      <c r="G19" s="237" t="s">
        <v>44</v>
      </c>
      <c r="H19" s="238">
        <v>42191</v>
      </c>
    </row>
    <row r="20" spans="1:8" ht="13.5">
      <c r="A20" s="237">
        <v>16761</v>
      </c>
      <c r="B20" s="237" t="s">
        <v>67</v>
      </c>
      <c r="C20" s="237" t="s">
        <v>31</v>
      </c>
      <c r="D20" s="237" t="s">
        <v>32</v>
      </c>
      <c r="E20" s="237" t="s">
        <v>33</v>
      </c>
      <c r="F20" s="237" t="s"/>
      <c r="G20" s="237" t="s">
        <v>44</v>
      </c>
      <c r="H20" s="238">
        <v>44382</v>
      </c>
    </row>
    <row r="21" spans="1:8" ht="13.5">
      <c r="A21" s="237">
        <v>17385</v>
      </c>
      <c r="B21" s="237" t="s">
        <v>668</v>
      </c>
      <c r="C21" s="237" t="s">
        <v>31</v>
      </c>
      <c r="D21" s="237" t="s">
        <v>32</v>
      </c>
      <c r="E21" s="237" t="s">
        <v>33</v>
      </c>
      <c r="F21" s="237" t="s">
        <v>238</v>
      </c>
      <c r="G21" s="237" t="s">
        <v>44</v>
      </c>
      <c r="H21" s="238">
        <v>42919</v>
      </c>
    </row>
    <row r="22" spans="1:8" ht="13.5">
      <c r="A22" s="237">
        <v>17795</v>
      </c>
      <c r="B22" s="237" t="s">
        <v>189</v>
      </c>
      <c r="C22" s="237" t="s">
        <v>31</v>
      </c>
      <c r="D22" s="237" t="s">
        <v>32</v>
      </c>
      <c r="E22" s="237" t="s">
        <v>33</v>
      </c>
      <c r="F22" s="237" t="s"/>
      <c r="G22" s="237" t="s">
        <v>44</v>
      </c>
      <c r="H22" s="238">
        <v>43245</v>
      </c>
    </row>
    <row r="23" spans="1:8" s="383" customFormat="true" ht="13.5">
      <c r="A23" s="237">
        <v>18483</v>
      </c>
      <c r="B23" s="237" t="s">
        <v>428</v>
      </c>
      <c r="C23" s="237" t="s">
        <v>31</v>
      </c>
      <c r="D23" s="237" t="s">
        <v>32</v>
      </c>
      <c r="E23" s="237" t="s">
        <v>33</v>
      </c>
      <c r="F23" s="237" t="s">
        <v>406</v>
      </c>
      <c r="G23" s="237" t="s">
        <v>44</v>
      </c>
      <c r="H23" s="238">
        <v>43915</v>
      </c>
    </row>
    <row r="24" spans="1:8" s="383" customFormat="true" ht="13.5">
      <c r="A24" s="237">
        <v>77251</v>
      </c>
      <c r="B24" s="237" t="s">
        <v>215</v>
      </c>
      <c r="C24" s="237" t="s">
        <v>31</v>
      </c>
      <c r="D24" s="237" t="s">
        <v>32</v>
      </c>
      <c r="E24" s="237" t="s">
        <v>33</v>
      </c>
      <c r="F24" s="237" t="s"/>
      <c r="G24" s="237" t="s">
        <v>44</v>
      </c>
      <c r="H24" s="238">
        <v>41099</v>
      </c>
    </row>
    <row r="25" spans="1:8" s="383" customFormat="true" ht="13.5">
      <c r="A25" s="237">
        <v>20811</v>
      </c>
      <c r="B25" s="237" t="s">
        <v>197</v>
      </c>
      <c r="C25" s="237" t="s">
        <v>31</v>
      </c>
      <c r="D25" s="237" t="s">
        <v>32</v>
      </c>
      <c r="E25" s="237" t="s">
        <v>33</v>
      </c>
      <c r="F25" s="237" t="s"/>
      <c r="G25" s="237" t="s">
        <v>44</v>
      </c>
      <c r="H25" s="238">
        <v>43983</v>
      </c>
    </row>
    <row r="26" spans="1:8" s="383" customFormat="true" ht="13.5">
      <c r="A26" s="237">
        <v>29050</v>
      </c>
      <c r="B26" s="237" t="s">
        <v>203</v>
      </c>
      <c r="C26" s="237" t="s">
        <v>31</v>
      </c>
      <c r="D26" s="237" t="s">
        <v>32</v>
      </c>
      <c r="E26" s="237" t="s">
        <v>33</v>
      </c>
      <c r="F26" s="237" t="s"/>
      <c r="G26" s="237" t="s">
        <v>44</v>
      </c>
      <c r="H26" s="238">
        <v>43291</v>
      </c>
    </row>
    <row r="27" spans="1:8" s="383" customFormat="true" ht="13.5">
      <c r="A27" s="237">
        <v>29586</v>
      </c>
      <c r="B27" s="237" t="s">
        <v>143</v>
      </c>
      <c r="C27" s="237" t="s">
        <v>31</v>
      </c>
      <c r="D27" s="237" t="s">
        <v>32</v>
      </c>
      <c r="E27" s="237" t="s">
        <v>267</v>
      </c>
      <c r="F27" s="237" t="s"/>
      <c r="G27" s="237" t="s">
        <v>44</v>
      </c>
      <c r="H27" s="238">
        <v>43035</v>
      </c>
    </row>
    <row r="28" spans="1:8" s="383" customFormat="true" ht="13.5">
      <c r="A28" s="237">
        <v>31255</v>
      </c>
      <c r="B28" s="237" t="s">
        <v>669</v>
      </c>
      <c r="C28" s="237" t="s">
        <v>31</v>
      </c>
      <c r="D28" s="237" t="s">
        <v>32</v>
      </c>
      <c r="E28" s="237" t="s">
        <v>33</v>
      </c>
      <c r="F28" s="237" t="s">
        <v>240</v>
      </c>
      <c r="G28" s="237" t="s">
        <v>44</v>
      </c>
      <c r="H28" s="238">
        <v>44018</v>
      </c>
    </row>
    <row r="29" spans="1:8" s="383" customFormat="true" ht="13.5">
      <c r="A29" s="237">
        <v>40624</v>
      </c>
      <c r="B29" s="237" t="s">
        <v>56</v>
      </c>
      <c r="C29" s="237" t="s">
        <v>31</v>
      </c>
      <c r="D29" s="237" t="s">
        <v>32</v>
      </c>
      <c r="E29" s="237" t="s">
        <v>33</v>
      </c>
      <c r="F29" s="237" t="s"/>
      <c r="G29" s="237" t="s">
        <v>44</v>
      </c>
      <c r="H29" s="238">
        <v>44746</v>
      </c>
    </row>
    <row r="30" spans="1:8" s="383" customFormat="true" ht="13.5">
      <c r="A30" s="237">
        <v>52012</v>
      </c>
      <c r="B30" s="237" t="s">
        <v>194</v>
      </c>
      <c r="C30" s="237" t="s">
        <v>31</v>
      </c>
      <c r="D30" s="237" t="s">
        <v>32</v>
      </c>
      <c r="E30" s="237" t="s">
        <v>33</v>
      </c>
      <c r="F30" s="237" t="s"/>
      <c r="G30" s="237" t="s">
        <v>44</v>
      </c>
      <c r="H30" s="238">
        <v>45110</v>
      </c>
    </row>
    <row r="31" spans="1:8" s="383" customFormat="true" ht="13.5">
      <c r="A31" s="237">
        <v>53558</v>
      </c>
      <c r="B31" s="237" t="s">
        <v>209</v>
      </c>
      <c r="C31" s="237" t="s">
        <v>31</v>
      </c>
      <c r="D31" s="237" t="s">
        <v>32</v>
      </c>
      <c r="E31" s="237" t="s">
        <v>33</v>
      </c>
      <c r="F31" s="237" t="s"/>
      <c r="G31" s="237" t="s">
        <v>44</v>
      </c>
      <c r="H31" s="238">
        <v>42919</v>
      </c>
    </row>
    <row r="32" spans="1:8" s="383" customFormat="true" ht="13.5">
      <c r="A32" s="237">
        <v>54477</v>
      </c>
      <c r="B32" s="237" t="s">
        <v>159</v>
      </c>
      <c r="C32" s="237" t="s">
        <v>31</v>
      </c>
      <c r="D32" s="237" t="s">
        <v>32</v>
      </c>
      <c r="E32" s="237" t="s">
        <v>267</v>
      </c>
      <c r="F32" s="237" t="s"/>
      <c r="G32" s="237" t="s">
        <v>44</v>
      </c>
      <c r="H32" s="238">
        <v>42555</v>
      </c>
    </row>
    <row r="33" spans="1:8" s="383" customFormat="true" ht="13.5">
      <c r="A33" s="237">
        <v>70568</v>
      </c>
      <c r="B33" s="237" t="s">
        <v>139</v>
      </c>
      <c r="C33" s="237" t="s">
        <v>31</v>
      </c>
      <c r="D33" s="237" t="s">
        <v>32</v>
      </c>
      <c r="E33" s="237" t="s">
        <v>267</v>
      </c>
      <c r="F33" s="237" t="s"/>
      <c r="G33" s="237" t="s">
        <v>44</v>
      </c>
      <c r="H33" s="238">
        <v>42499</v>
      </c>
    </row>
    <row r="34" spans="1:8" s="383" customFormat="true" ht="13.5">
      <c r="A34" s="237">
        <v>99812</v>
      </c>
      <c r="B34" s="237" t="s">
        <v>171</v>
      </c>
      <c r="C34" s="237" t="s">
        <v>31</v>
      </c>
      <c r="D34" s="237" t="s">
        <v>32</v>
      </c>
      <c r="E34" s="237" t="s">
        <v>33</v>
      </c>
      <c r="F34" s="237" t="s"/>
      <c r="G34" s="237" t="s">
        <v>44</v>
      </c>
      <c r="H34" s="238">
        <v>44746</v>
      </c>
    </row>
    <row r="35" spans="1:8" ht="13.5">
      <c r="A35" s="237">
        <v>32629</v>
      </c>
      <c r="B35" s="237" t="s">
        <v>62</v>
      </c>
      <c r="C35" s="237" t="s">
        <v>31</v>
      </c>
      <c r="D35" s="237" t="s">
        <v>32</v>
      </c>
      <c r="E35" s="237" t="s">
        <v>267</v>
      </c>
      <c r="F35" s="237" t="s"/>
      <c r="G35" s="237" t="s">
        <v>44</v>
      </c>
      <c r="H35" s="238">
        <v>44125</v>
      </c>
    </row>
    <row r="36" spans="1:8" ht="13.5">
      <c r="A36" s="237">
        <v>65248</v>
      </c>
      <c r="B36" s="237" t="s">
        <v>125</v>
      </c>
      <c r="C36" s="237" t="s">
        <v>31</v>
      </c>
      <c r="D36" s="237" t="s">
        <v>32</v>
      </c>
      <c r="E36" s="237" t="s">
        <v>267</v>
      </c>
      <c r="F36" s="237" t="s"/>
      <c r="G36" s="237" t="s">
        <v>44</v>
      </c>
      <c r="H36" s="238">
        <v>43672</v>
      </c>
    </row>
    <row r="37" spans="1:8" ht="13.5">
      <c r="A37" s="237">
        <v>49087</v>
      </c>
      <c r="B37" s="237" t="s">
        <v>103</v>
      </c>
      <c r="C37" s="237" t="s">
        <v>31</v>
      </c>
      <c r="D37" s="237" t="s">
        <v>32</v>
      </c>
      <c r="E37" s="237" t="s">
        <v>267</v>
      </c>
      <c r="F37" s="237" t="s"/>
      <c r="G37" s="237" t="s">
        <v>44</v>
      </c>
      <c r="H37" s="238">
        <v>41099</v>
      </c>
    </row>
    <row r="38" spans="1:8" ht="13.5">
      <c r="A38" s="237">
        <v>60993</v>
      </c>
      <c r="B38" s="237" t="s">
        <v>129</v>
      </c>
      <c r="C38" s="237" t="s">
        <v>31</v>
      </c>
      <c r="D38" s="237" t="s">
        <v>32</v>
      </c>
      <c r="E38" s="237" t="s">
        <v>267</v>
      </c>
      <c r="F38" s="237" t="s"/>
      <c r="G38" s="237" t="s">
        <v>44</v>
      </c>
      <c r="H38" s="238">
        <v>44746</v>
      </c>
    </row>
    <row r="39" spans="1:8" ht="13.5">
      <c r="A39" s="237">
        <v>17855</v>
      </c>
      <c r="B39" s="237" t="s">
        <v>65</v>
      </c>
      <c r="C39" s="237" t="s">
        <v>31</v>
      </c>
      <c r="D39" s="237" t="s">
        <v>32</v>
      </c>
      <c r="E39" s="237" t="s">
        <v>267</v>
      </c>
      <c r="F39" s="237" t="s"/>
      <c r="G39" s="237" t="s">
        <v>44</v>
      </c>
      <c r="H39" s="238">
        <v>43752</v>
      </c>
    </row>
    <row r="40" spans="1:8" ht="13.5">
      <c r="A40" s="237">
        <v>14659</v>
      </c>
      <c r="B40" s="237" t="s">
        <v>98</v>
      </c>
      <c r="C40" s="237" t="s">
        <v>31</v>
      </c>
      <c r="D40" s="237" t="s">
        <v>32</v>
      </c>
      <c r="E40" s="237" t="s">
        <v>267</v>
      </c>
      <c r="F40" s="237" t="s"/>
      <c r="G40" s="237" t="s">
        <v>44</v>
      </c>
      <c r="H40" s="238">
        <v>44265</v>
      </c>
    </row>
    <row r="41" spans="1:8" ht="13.5">
      <c r="A41" s="237">
        <v>17220</v>
      </c>
      <c r="B41" s="237" t="s">
        <v>146</v>
      </c>
      <c r="C41" s="237" t="s">
        <v>31</v>
      </c>
      <c r="D41" s="237" t="s">
        <v>32</v>
      </c>
      <c r="E41" s="237" t="s">
        <v>267</v>
      </c>
      <c r="F41" s="237" t="s"/>
      <c r="G41" s="237" t="s">
        <v>44</v>
      </c>
      <c r="H41" s="238">
        <v>42459</v>
      </c>
    </row>
    <row r="42" spans="1:8" ht="13.5">
      <c r="A42" s="237">
        <v>23167</v>
      </c>
      <c r="B42" s="237" t="s">
        <v>107</v>
      </c>
      <c r="C42" s="237" t="s">
        <v>31</v>
      </c>
      <c r="D42" s="237" t="s">
        <v>32</v>
      </c>
      <c r="E42" s="237" t="s">
        <v>267</v>
      </c>
      <c r="F42" s="237" t="s"/>
      <c r="G42" s="237" t="s">
        <v>44</v>
      </c>
      <c r="H42" s="238">
        <v>43068</v>
      </c>
    </row>
    <row r="43" spans="1:8" ht="13.5">
      <c r="A43" s="237">
        <v>23418</v>
      </c>
      <c r="B43" s="237" t="s">
        <v>163</v>
      </c>
      <c r="C43" s="237" t="s">
        <v>31</v>
      </c>
      <c r="D43" s="237" t="s">
        <v>32</v>
      </c>
      <c r="E43" s="237" t="s">
        <v>267</v>
      </c>
      <c r="F43" s="237" t="s"/>
      <c r="G43" s="237" t="s">
        <v>44</v>
      </c>
      <c r="H43" s="238">
        <v>45362</v>
      </c>
    </row>
    <row r="44" spans="1:8" ht="13.5">
      <c r="A44" s="237">
        <v>37038</v>
      </c>
      <c r="B44" s="237" t="s">
        <v>115</v>
      </c>
      <c r="C44" s="237" t="s">
        <v>31</v>
      </c>
      <c r="D44" s="237" t="s">
        <v>32</v>
      </c>
      <c r="E44" s="237" t="s">
        <v>267</v>
      </c>
      <c r="F44" s="237" t="s"/>
      <c r="G44" s="237" t="s">
        <v>44</v>
      </c>
      <c r="H44" s="238">
        <v>42552</v>
      </c>
    </row>
    <row r="45" spans="1:8" ht="13.5">
      <c r="A45" s="237">
        <v>89973</v>
      </c>
      <c r="B45" s="237" t="s">
        <v>134</v>
      </c>
      <c r="C45" s="237" t="s">
        <v>31</v>
      </c>
      <c r="D45" s="237" t="s">
        <v>32</v>
      </c>
      <c r="E45" s="237" t="s">
        <v>267</v>
      </c>
      <c r="F45" s="237" t="s"/>
      <c r="G45" s="237" t="s">
        <v>44</v>
      </c>
      <c r="H45" s="238">
        <v>43675</v>
      </c>
    </row>
    <row r="46" spans="1:8" ht="13.5">
      <c r="A46" s="237">
        <v>92042</v>
      </c>
      <c r="B46" s="237" t="s">
        <v>212</v>
      </c>
      <c r="C46" s="237" t="s">
        <v>31</v>
      </c>
      <c r="D46" s="237" t="s">
        <v>32</v>
      </c>
      <c r="E46" s="237" t="s">
        <v>267</v>
      </c>
      <c r="F46" s="237" t="s"/>
      <c r="G46" s="237" t="s">
        <v>44</v>
      </c>
      <c r="H46" s="238">
        <v>43077</v>
      </c>
    </row>
    <row r="47" spans="1:8" ht="13.5">
      <c r="A47" s="237">
        <v>93622</v>
      </c>
      <c r="B47" s="237" t="s">
        <v>112</v>
      </c>
      <c r="C47" s="237" t="s">
        <v>31</v>
      </c>
      <c r="D47" s="237" t="s">
        <v>32</v>
      </c>
      <c r="E47" s="237" t="s">
        <v>267</v>
      </c>
      <c r="F47" s="237" t="s"/>
      <c r="G47" s="237" t="s">
        <v>44</v>
      </c>
      <c r="H47" s="238">
        <v>42880</v>
      </c>
    </row>
    <row r="48" spans="1:8" ht="13.5">
      <c r="A48" s="237">
        <v>54477</v>
      </c>
      <c r="B48" s="237" t="s">
        <v>159</v>
      </c>
      <c r="C48" s="237" t="s">
        <v>249</v>
      </c>
      <c r="D48" s="237" t="s">
        <v>32</v>
      </c>
      <c r="E48" s="237" t="s">
        <v>33</v>
      </c>
      <c r="F48" s="237" t="s"/>
      <c r="G48" s="237" t="s">
        <v>44</v>
      </c>
      <c r="H48" s="238">
        <v>42552</v>
      </c>
    </row>
  </sheetData>
  <pageMargins left="0.75" right="0.75" top="1" bottom="1" header="0.5" footer="0.5"/>
  <pageSetup orientation="portrait"/>
</worksheet>
</file>

<file path=xl/worksheets/sheet11.xml><?xml version="1.0" encoding="utf-8"?>
<worksheet xmlns="http://schemas.openxmlformats.org/spreadsheetml/2006/main">
  <sheetPr/>
  <dimension ref="BP204"/>
  <sheetViews>
    <sheetView showGridLines="true" tabSelected="false" topLeftCell="A1" zoomScale="160" zoomScaleNormal="160" workbookViewId="0">
      <pane xSplit="2" ySplit="1" topLeftCell="BB44" activePane="bottomRight" state="frozen"/>
    </sheetView>
  </sheetViews>
  <sheetFormatPr defaultColWidth="9.025" defaultRowHeight="13.5"/>
  <cols>
    <col min="6" max="6" width="9" hidden="true" customWidth="true"/>
    <col min="8" max="17" width="12.625" customWidth="true"/>
    <col min="18" max="18" width="26.875" style="385" customWidth="true"/>
    <col min="19" max="19" width="28.625" style="385" customWidth="true"/>
    <col min="20" max="20" width="16.375" style="385" customWidth="true"/>
    <col min="21" max="21" width="11.375" style="385" customWidth="true"/>
    <col min="22" max="22" width="13.5" style="385" customWidth="true"/>
    <col min="23" max="23" width="26.25" style="385" customWidth="true"/>
    <col min="24" max="24" width="9" style="386"/>
    <col min="25" max="29" width="9" style="385"/>
    <col min="30" max="30" width="9" style="387"/>
    <col min="31" max="31" width="12.75" style="387"/>
    <col min="32" max="32" width="9" style="387"/>
    <col min="33" max="33" width="9" style="385"/>
    <col min="34" max="34" width="9" style="388"/>
    <col min="35" max="41" width="9" style="389"/>
    <col min="42" max="42" width="12.75" style="387"/>
    <col min="43" max="53" width="9" style="389"/>
    <col min="54" max="54" width="12.75" style="389"/>
    <col min="55" max="59" width="9" style="389"/>
    <col min="60" max="62" width="9" style="389"/>
    <col min="63" max="65" width="10.543" style="389" customWidth="true"/>
    <col min="66" max="68" width="12.75" style="389" customWidth="true"/>
  </cols>
  <sheetData>
    <row r="1" spans="1:68" ht="13.5">
      <c r="A1" s="4" t="s">
        <v>1</v>
      </c>
      <c r="B1" s="4" t="s">
        <v>2</v>
      </c>
      <c r="C1" s="4" t="s">
        <v>4</v>
      </c>
      <c r="D1" s="4" t="s">
        <v>5</v>
      </c>
      <c r="E1" s="4" t="s">
        <v>6</v>
      </c>
      <c r="F1" s="4" t="s">
        <v>7</v>
      </c>
      <c r="G1" s="4" t="s">
        <v>8</v>
      </c>
      <c r="H1" s="5" t="s">
        <v>9</v>
      </c>
      <c r="I1" s="142" t="s">
        <v>440</v>
      </c>
      <c r="J1" s="142" t="s">
        <v>441</v>
      </c>
      <c r="K1" s="142" t="s">
        <v>442</v>
      </c>
      <c r="L1" s="142" t="s">
        <v>443</v>
      </c>
      <c r="M1" s="142" t="s">
        <v>444</v>
      </c>
      <c r="N1" s="142" t="s">
        <v>445</v>
      </c>
      <c r="O1" s="142" t="s">
        <v>446</v>
      </c>
      <c r="P1" s="142" t="s">
        <v>447</v>
      </c>
      <c r="Q1" s="143" t="s">
        <v>448</v>
      </c>
      <c r="R1" s="144" t="s">
        <v>449</v>
      </c>
      <c r="S1" s="144" t="s">
        <v>450</v>
      </c>
      <c r="T1" s="144" t="s">
        <v>451</v>
      </c>
      <c r="U1" s="144" t="s">
        <v>452</v>
      </c>
      <c r="V1" s="144" t="s">
        <v>453</v>
      </c>
      <c r="W1" s="144" t="s">
        <v>454</v>
      </c>
      <c r="X1" s="145" t="s">
        <v>455</v>
      </c>
      <c r="Y1" s="7" t="s">
        <v>456</v>
      </c>
      <c r="Z1" s="7" t="s">
        <v>457</v>
      </c>
      <c r="AA1" s="7" t="s">
        <v>458</v>
      </c>
      <c r="AB1" s="7" t="s">
        <v>459</v>
      </c>
      <c r="AC1" s="7" t="s">
        <v>460</v>
      </c>
      <c r="AD1" s="146" t="s">
        <v>461</v>
      </c>
      <c r="AE1" s="146" t="s">
        <v>462</v>
      </c>
      <c r="AF1" s="146" t="s">
        <v>463</v>
      </c>
      <c r="AG1" s="147" t="s">
        <v>464</v>
      </c>
      <c r="AH1" s="7" t="s">
        <v>465</v>
      </c>
      <c r="AI1" s="7" t="s">
        <v>466</v>
      </c>
      <c r="AJ1" s="7" t="s">
        <v>467</v>
      </c>
      <c r="AK1" s="7" t="s">
        <v>468</v>
      </c>
      <c r="AL1" s="7" t="s">
        <v>469</v>
      </c>
      <c r="AM1" s="7" t="s">
        <v>470</v>
      </c>
      <c r="AN1" s="7" t="s">
        <v>471</v>
      </c>
      <c r="AO1" s="7" t="s">
        <v>472</v>
      </c>
      <c r="AP1" s="146" t="s">
        <v>473</v>
      </c>
      <c r="AQ1" s="7" t="s">
        <v>474</v>
      </c>
      <c r="AR1" s="7" t="s">
        <v>475</v>
      </c>
      <c r="AS1" s="7" t="s">
        <v>476</v>
      </c>
      <c r="AT1" s="7" t="s">
        <v>477</v>
      </c>
      <c r="AU1" s="7" t="s">
        <v>478</v>
      </c>
      <c r="AV1" s="7" t="s">
        <v>479</v>
      </c>
      <c r="AW1" s="7" t="s">
        <v>480</v>
      </c>
      <c r="AX1" s="7" t="s">
        <v>481</v>
      </c>
      <c r="AY1" s="7" t="s">
        <v>482</v>
      </c>
      <c r="AZ1" s="7" t="s">
        <v>483</v>
      </c>
      <c r="BA1" s="7" t="s">
        <v>484</v>
      </c>
      <c r="BB1" s="7" t="s">
        <v>485</v>
      </c>
      <c r="BC1" s="7" t="s">
        <v>486</v>
      </c>
      <c r="BD1" s="7" t="s">
        <v>487</v>
      </c>
      <c r="BE1" s="7" t="s">
        <v>488</v>
      </c>
      <c r="BF1" s="7" t="s">
        <v>489</v>
      </c>
      <c r="BG1" s="7" t="s">
        <v>490</v>
      </c>
      <c r="BH1" s="148" t="s">
        <v>491</v>
      </c>
      <c r="BI1" s="148" t="s">
        <v>492</v>
      </c>
      <c r="BJ1" s="148" t="s">
        <v>493</v>
      </c>
      <c r="BK1" s="149" t="s">
        <v>494</v>
      </c>
      <c r="BL1" s="149" t="s">
        <v>495</v>
      </c>
      <c r="BM1" s="149" t="s">
        <v>496</v>
      </c>
      <c r="BN1" s="150" t="s">
        <v>497</v>
      </c>
      <c r="BO1" s="151" t="s">
        <v>498</v>
      </c>
      <c r="BP1" s="151" t="s">
        <v>499</v>
      </c>
    </row>
    <row r="2" spans="1:68" ht="17" customHeight="true">
      <c r="A2" s="10">
        <v>12383</v>
      </c>
      <c r="B2" s="10" t="s">
        <v>167</v>
      </c>
      <c r="C2" s="10" t="s">
        <v>31</v>
      </c>
      <c r="D2" s="10" t="s">
        <v>32</v>
      </c>
      <c r="E2" s="10" t="s">
        <v>33</v>
      </c>
      <c r="F2" s="10" t="s"/>
      <c r="G2" s="10" t="s">
        <v>44</v>
      </c>
      <c r="H2" s="11">
        <v>44627</v>
      </c>
      <c r="I2" s="10">
        <f>=SUM(X2:AD2)</f>
        <v>2.5</v>
      </c>
      <c r="J2" s="10" t="s">
        <f>=VLOOKUP(A2,绩效计算表!A:AI,9,FALSE)</f>
        <v>101</v>
      </c>
      <c r="K2" s="10">
        <f>=SUM(AF2:AO2)</f>
        <v>1.5</v>
      </c>
      <c r="L2" s="10" t="s">
        <f>=VLOOKUP(A2,绩效计算表!A:AI,15,FALSE)</f>
        <v>101</v>
      </c>
      <c r="M2" s="10">
        <f>=SUM(AQ2:BA2)</f>
        <v>2.5</v>
      </c>
      <c r="N2" s="10" t="s">
        <f>=VLOOKUP(A2,绩效计算表!A:AI,23,FALSE)</f>
        <v>101</v>
      </c>
      <c r="O2" s="10">
        <f>=SUM(BC2:BM2)+SUM(BO2:BP2)</f>
        <v>5</v>
      </c>
      <c r="P2" s="10" t="s">
        <f>=VLOOKUP(A2,绩效计算表!A:AI,30,FALSE)</f>
        <v>101</v>
      </c>
      <c r="Q2" s="152">
        <f>=I2+K2+M2+O2</f>
        <v>11.5</v>
      </c>
      <c r="R2" s="153" t="s">
        <v>769</v>
      </c>
      <c r="S2" s="154" t="s">
        <v>500</v>
      </c>
      <c r="T2" s="155" t="s">
        <v>501</v>
      </c>
      <c r="U2" s="155" t="s">
        <v>502</v>
      </c>
      <c r="V2" s="155" t="s">
        <v>101</v>
      </c>
      <c r="W2" s="156" t="s">
        <v>503</v>
      </c>
      <c r="X2" s="157" t="s"/>
      <c r="Y2" s="158" t="s"/>
      <c r="Z2" s="158">
        <v>0.5</v>
      </c>
      <c r="AA2" s="158">
        <v>0.5</v>
      </c>
      <c r="AB2" s="158">
        <v>0.5</v>
      </c>
      <c r="AC2" s="158">
        <v>0.5</v>
      </c>
      <c r="AD2" s="159">
        <v>0.5</v>
      </c>
      <c r="AE2" s="160">
        <f>=SUM(X2:AD2)/6</f>
        <v>0.416666666666667</v>
      </c>
      <c r="AF2" s="159" t="s"/>
      <c r="AG2" s="161" t="s"/>
      <c r="AI2" s="159">
        <v>0.5</v>
      </c>
      <c r="AJ2" s="159" t="s"/>
      <c r="AK2" s="159" t="s"/>
      <c r="AL2" s="162" t="s"/>
      <c r="AM2" s="162">
        <v>0.5</v>
      </c>
      <c r="AN2" s="162" t="s"/>
      <c r="AO2" s="162">
        <v>0.5</v>
      </c>
      <c r="AP2" s="160">
        <f>=SUM(AF2:AO2)/7.5</f>
        <v>0.2</v>
      </c>
      <c r="AT2" s="158">
        <v>0.5</v>
      </c>
      <c r="AV2" s="158">
        <v>0.5</v>
      </c>
      <c r="AY2" s="158">
        <v>0.5</v>
      </c>
      <c r="BA2" s="158">
        <v>1</v>
      </c>
      <c r="BB2" s="160">
        <f>=SUM(AQ2:BA2)/7.5</f>
        <v>0.333333333333333</v>
      </c>
      <c r="BC2" s="163">
        <v>0.5</v>
      </c>
      <c r="BD2" s="163" t="s"/>
      <c r="BE2" s="163">
        <v>0.5</v>
      </c>
      <c r="BF2" s="163" t="s"/>
      <c r="BG2" s="163">
        <v>0.5</v>
      </c>
      <c r="BH2" s="163">
        <v>0.5</v>
      </c>
      <c r="BI2" s="164">
        <v>0.5</v>
      </c>
      <c r="BJ2" s="163" t="s"/>
      <c r="BK2" s="164">
        <v>0.5</v>
      </c>
      <c r="BL2" s="165">
        <v>0.5</v>
      </c>
      <c r="BM2" s="163">
        <v>0.5</v>
      </c>
      <c r="BN2" s="166">
        <f>=SUM(BC2:BM2)/9</f>
        <v>0.444444444444445</v>
      </c>
      <c r="BO2" s="163">
        <v>0.5</v>
      </c>
      <c r="BP2" s="163">
        <v>0.5</v>
      </c>
    </row>
    <row r="3" spans="1:68" ht="17" customHeight="true">
      <c r="A3" s="10">
        <v>62555</v>
      </c>
      <c r="B3" s="10" t="s">
        <v>365</v>
      </c>
      <c r="C3" s="10" t="s">
        <v>31</v>
      </c>
      <c r="D3" s="10" t="s">
        <v>32</v>
      </c>
      <c r="E3" s="10" t="s">
        <v>33</v>
      </c>
      <c r="F3" s="10" t="s"/>
      <c r="G3" s="10" t="s">
        <v>44</v>
      </c>
      <c r="H3" s="11">
        <v>45840</v>
      </c>
      <c r="I3" s="10" t="s"/>
      <c r="J3" s="167" t="s"/>
      <c r="K3" s="10" t="s"/>
      <c r="L3" s="167" t="s"/>
      <c r="M3" s="10">
        <f>=SUM(AQ3:BA3)</f>
        <v>5.5</v>
      </c>
      <c r="N3" s="168" t="s">
        <v>504</v>
      </c>
      <c r="O3" s="10">
        <f>=SUM(BC3:BM3)+SUM(BO3:BP3)</f>
        <v>4.25</v>
      </c>
      <c r="P3" s="10" t="s">
        <f>=VLOOKUP(A3,绩效计算表!A:AI,30,FALSE)</f>
        <v>116</v>
      </c>
      <c r="Q3" s="152">
        <f>=I3+K3+M3+O3</f>
        <v>9.75</v>
      </c>
      <c r="R3" s="156" t="s">
        <v>505</v>
      </c>
      <c r="S3" s="154" t="s"/>
      <c r="T3" s="155" t="s">
        <v>506</v>
      </c>
      <c r="U3" s="155" t="s"/>
      <c r="V3" s="155" t="s">
        <v>507</v>
      </c>
      <c r="W3" s="156" t="s"/>
      <c r="X3" s="157" t="s"/>
      <c r="Y3" s="158" t="s"/>
      <c r="Z3" s="158" t="s"/>
      <c r="AA3" s="158" t="s"/>
      <c r="AB3" s="158" t="s"/>
      <c r="AC3" s="158" t="s"/>
      <c r="AD3" s="159" t="s"/>
      <c r="AE3" s="160" t="s"/>
      <c r="AF3" s="159" t="s"/>
      <c r="AG3" s="161" t="s"/>
      <c r="AI3" s="161" t="s"/>
      <c r="AJ3" s="161" t="s"/>
      <c r="AK3" s="161" t="s"/>
      <c r="AL3" s="162" t="s"/>
      <c r="AM3" s="162" t="s"/>
      <c r="AN3" s="162" t="s"/>
      <c r="AO3" s="162" t="s"/>
      <c r="AP3" s="160" t="s"/>
      <c r="AU3" s="158">
        <v>0.5</v>
      </c>
      <c r="AV3" s="158">
        <v>1</v>
      </c>
      <c r="AW3" s="158">
        <v>1</v>
      </c>
      <c r="AX3" s="158">
        <v>1</v>
      </c>
      <c r="AY3" s="158">
        <v>0.5</v>
      </c>
      <c r="AZ3" s="158">
        <v>1</v>
      </c>
      <c r="BA3" s="158">
        <v>0.5</v>
      </c>
      <c r="BB3" s="160">
        <f>=SUM(AQ3:BA3)/7.5</f>
        <v>0.733333333333333</v>
      </c>
      <c r="BC3" s="163">
        <v>0.25</v>
      </c>
      <c r="BD3" s="163" t="s"/>
      <c r="BE3" s="163" t="s"/>
      <c r="BF3" s="163" t="s"/>
      <c r="BG3" s="163">
        <v>1</v>
      </c>
      <c r="BH3" s="163">
        <v>0.5</v>
      </c>
      <c r="BI3" s="164">
        <v>0.5</v>
      </c>
      <c r="BJ3" s="163">
        <v>0.5</v>
      </c>
      <c r="BK3" s="164">
        <v>1</v>
      </c>
      <c r="BL3" s="163" t="s"/>
      <c r="BM3" s="163">
        <v>0.5</v>
      </c>
      <c r="BN3" s="166">
        <f>=SUM(BC3:BM3)/9</f>
        <v>0.472222222222222</v>
      </c>
      <c r="BO3" s="163" t="s"/>
      <c r="BP3" s="163" t="s"/>
    </row>
    <row r="4" spans="1:68" ht="17" customHeight="true">
      <c r="A4" s="10">
        <v>72479</v>
      </c>
      <c r="B4" s="10" t="s">
        <v>368</v>
      </c>
      <c r="C4" s="10" t="s">
        <v>31</v>
      </c>
      <c r="D4" s="10" t="s">
        <v>32</v>
      </c>
      <c r="E4" s="10" t="s">
        <v>33</v>
      </c>
      <c r="F4" s="10" t="s"/>
      <c r="G4" s="10" t="s">
        <v>44</v>
      </c>
      <c r="H4" s="11">
        <v>45840</v>
      </c>
      <c r="I4" s="10" t="s"/>
      <c r="J4" s="167" t="s"/>
      <c r="K4" s="10" t="s"/>
      <c r="L4" s="167" t="s"/>
      <c r="M4" s="10">
        <f>=SUM(AQ4:BA4)</f>
        <v>9</v>
      </c>
      <c r="N4" s="168" t="s">
        <v>504</v>
      </c>
      <c r="O4" s="10">
        <f>=SUM(BC4:BM4)+SUM(BO4:BP4)</f>
        <v>9.75</v>
      </c>
      <c r="P4" s="10" t="s">
        <f>=VLOOKUP(A4,绩效计算表!A:AI,30,FALSE)</f>
        <v>108</v>
      </c>
      <c r="Q4" s="152">
        <f>=I4+K4+M4+O4</f>
        <v>18.75</v>
      </c>
      <c r="R4" s="156" t="s">
        <v>505</v>
      </c>
      <c r="S4" s="154" t="s"/>
      <c r="T4" s="155" t="s">
        <v>506</v>
      </c>
      <c r="U4" s="155" t="s"/>
      <c r="V4" s="155" t="s">
        <v>507</v>
      </c>
      <c r="W4" s="156" t="s"/>
      <c r="X4" s="157" t="s"/>
      <c r="Y4" s="158" t="s"/>
      <c r="Z4" s="158" t="s"/>
      <c r="AA4" s="158" t="s"/>
      <c r="AB4" s="158" t="s"/>
      <c r="AC4" s="158" t="s"/>
      <c r="AD4" s="159" t="s"/>
      <c r="AE4" s="160" t="s"/>
      <c r="AF4" s="159" t="s"/>
      <c r="AG4" s="161" t="s"/>
      <c r="AI4" s="161" t="s"/>
      <c r="AJ4" s="161" t="s"/>
      <c r="AK4" s="161" t="s"/>
      <c r="AL4" s="162" t="s"/>
      <c r="AM4" s="162" t="s"/>
      <c r="AN4" s="162" t="s"/>
      <c r="AO4" s="162" t="s"/>
      <c r="AP4" s="160" t="s"/>
      <c r="AR4" s="158">
        <v>1</v>
      </c>
      <c r="AS4" s="158">
        <v>1</v>
      </c>
      <c r="AT4" s="158">
        <v>0.5</v>
      </c>
      <c r="AU4" s="158">
        <v>1</v>
      </c>
      <c r="AV4" s="158">
        <v>1</v>
      </c>
      <c r="AW4" s="158">
        <v>1</v>
      </c>
      <c r="AX4" s="158">
        <v>1</v>
      </c>
      <c r="AY4" s="158">
        <v>0.5</v>
      </c>
      <c r="AZ4" s="158">
        <v>1</v>
      </c>
      <c r="BA4" s="158">
        <v>1</v>
      </c>
      <c r="BB4" s="160">
        <f>=SUM(AQ4:BA4)/7.5</f>
        <v>1.2</v>
      </c>
      <c r="BC4" s="163">
        <v>0.25</v>
      </c>
      <c r="BD4" s="163">
        <v>1</v>
      </c>
      <c r="BE4" s="163" t="s"/>
      <c r="BF4" s="163">
        <v>0.5</v>
      </c>
      <c r="BG4" s="163">
        <v>1</v>
      </c>
      <c r="BH4" s="163">
        <v>1</v>
      </c>
      <c r="BI4" s="164">
        <v>1</v>
      </c>
      <c r="BJ4" s="163">
        <v>0.5</v>
      </c>
      <c r="BK4" s="164">
        <v>1</v>
      </c>
      <c r="BL4" s="165">
        <v>1</v>
      </c>
      <c r="BM4" s="163">
        <v>1</v>
      </c>
      <c r="BN4" s="166">
        <f>=SUM(BC4:BM4)/9</f>
        <v>0.916666666666667</v>
      </c>
      <c r="BO4" s="165">
        <v>1</v>
      </c>
      <c r="BP4" s="163">
        <v>0.5</v>
      </c>
    </row>
    <row r="5" spans="1:68" ht="17" customHeight="true">
      <c r="A5" s="10">
        <v>81343</v>
      </c>
      <c r="B5" s="10" t="s">
        <v>376</v>
      </c>
      <c r="C5" s="10" t="s">
        <v>31</v>
      </c>
      <c r="D5" s="10" t="s">
        <v>32</v>
      </c>
      <c r="E5" s="10" t="s">
        <v>33</v>
      </c>
      <c r="F5" s="10" t="s"/>
      <c r="G5" s="10" t="s">
        <v>44</v>
      </c>
      <c r="H5" s="11">
        <v>45840</v>
      </c>
      <c r="I5" s="10" t="s"/>
      <c r="J5" s="167" t="s"/>
      <c r="K5" s="10" t="s"/>
      <c r="L5" s="167" t="s"/>
      <c r="M5" s="10">
        <f>=SUM(AQ5:BA5)</f>
        <v>7</v>
      </c>
      <c r="N5" s="168" t="s">
        <v>504</v>
      </c>
      <c r="O5" s="10">
        <f>=SUM(BC5:BM5)+SUM(BO5:BP5)</f>
        <v>2.5</v>
      </c>
      <c r="P5" s="10" t="s">
        <f>=VLOOKUP(A5,绩效计算表!A:AI,30,FALSE)</f>
        <v>116</v>
      </c>
      <c r="Q5" s="152">
        <f>=I5+K5+M5+O5</f>
        <v>9.5</v>
      </c>
      <c r="R5" s="156" t="s">
        <v>505</v>
      </c>
      <c r="S5" s="154" t="s"/>
      <c r="T5" s="155" t="s">
        <v>506</v>
      </c>
      <c r="U5" s="155" t="s"/>
      <c r="V5" s="155" t="s">
        <v>507</v>
      </c>
      <c r="W5" s="156" t="s"/>
      <c r="X5" s="157" t="s"/>
      <c r="Y5" s="158" t="s"/>
      <c r="Z5" s="158" t="s"/>
      <c r="AA5" s="158" t="s"/>
      <c r="AB5" s="158" t="s"/>
      <c r="AC5" s="158" t="s"/>
      <c r="AD5" s="159" t="s"/>
      <c r="AE5" s="160" t="s"/>
      <c r="AF5" s="159" t="s"/>
      <c r="AG5" s="161" t="s"/>
      <c r="AI5" s="161" t="s"/>
      <c r="AJ5" s="161" t="s"/>
      <c r="AK5" s="161" t="s"/>
      <c r="AL5" s="162" t="s"/>
      <c r="AM5" s="162" t="s"/>
      <c r="AN5" s="162" t="s"/>
      <c r="AO5" s="162" t="s"/>
      <c r="AP5" s="160" t="s"/>
      <c r="AS5" s="158">
        <v>1</v>
      </c>
      <c r="AT5" s="158">
        <v>0.5</v>
      </c>
      <c r="AU5" s="158">
        <v>1</v>
      </c>
      <c r="AV5" s="158">
        <v>1</v>
      </c>
      <c r="AW5" s="158">
        <v>1</v>
      </c>
      <c r="AY5" s="158">
        <v>0.5</v>
      </c>
      <c r="AZ5" s="158">
        <v>1</v>
      </c>
      <c r="BA5" s="158">
        <v>1</v>
      </c>
      <c r="BB5" s="160">
        <f>=SUM(AQ5:BA5)/7.5</f>
        <v>0.933333333333334</v>
      </c>
      <c r="BC5" s="163" t="s"/>
      <c r="BD5" s="163" t="s"/>
      <c r="BE5" s="163" t="s"/>
      <c r="BF5" s="163" t="s"/>
      <c r="BG5" s="163" t="s"/>
      <c r="BH5" s="163">
        <v>0.5</v>
      </c>
      <c r="BI5" s="164">
        <v>0.5</v>
      </c>
      <c r="BJ5" s="163" t="s"/>
      <c r="BK5" s="164">
        <v>0.5</v>
      </c>
      <c r="BL5" s="163" t="s"/>
      <c r="BM5" s="163">
        <v>0.5</v>
      </c>
      <c r="BN5" s="166">
        <f>=SUM(BC5:BM5)/9</f>
        <v>0.222222222222222</v>
      </c>
      <c r="BO5" s="163" t="s"/>
      <c r="BP5" s="163">
        <v>0.5</v>
      </c>
    </row>
    <row r="6" spans="1:68" ht="17" customHeight="true">
      <c r="A6" s="10">
        <v>96634</v>
      </c>
      <c r="B6" s="10" t="s">
        <v>379</v>
      </c>
      <c r="C6" s="10" t="s">
        <v>31</v>
      </c>
      <c r="D6" s="10" t="s">
        <v>32</v>
      </c>
      <c r="E6" s="10" t="s">
        <v>33</v>
      </c>
      <c r="F6" s="10" t="s"/>
      <c r="G6" s="10" t="s">
        <v>44</v>
      </c>
      <c r="H6" s="11">
        <v>45840</v>
      </c>
      <c r="I6" s="10" t="s"/>
      <c r="J6" s="167" t="s"/>
      <c r="K6" s="10" t="s"/>
      <c r="L6" s="167" t="s"/>
      <c r="M6" s="10">
        <f>=SUM(AQ6:BA6)</f>
        <v>5.5</v>
      </c>
      <c r="N6" s="168" t="s">
        <v>504</v>
      </c>
      <c r="O6" s="10">
        <f>=SUM(BC6:BM6)+SUM(BO6:BP6)</f>
        <v>3</v>
      </c>
      <c r="P6" s="10" t="s">
        <f>=VLOOKUP(A6,绩效计算表!A:AI,30,FALSE)</f>
        <v>116</v>
      </c>
      <c r="Q6" s="152">
        <f>=I6+K6+M6+O6</f>
        <v>8.5</v>
      </c>
      <c r="R6" s="156" t="s">
        <v>505</v>
      </c>
      <c r="S6" s="154" t="s"/>
      <c r="T6" s="155" t="s">
        <v>506</v>
      </c>
      <c r="U6" s="155" t="s"/>
      <c r="V6" s="155" t="s">
        <v>507</v>
      </c>
      <c r="W6" s="156" t="s"/>
      <c r="X6" s="157" t="s"/>
      <c r="Y6" s="158" t="s"/>
      <c r="Z6" s="158" t="s"/>
      <c r="AA6" s="158" t="s"/>
      <c r="AB6" s="158" t="s"/>
      <c r="AC6" s="158" t="s"/>
      <c r="AD6" s="159" t="s"/>
      <c r="AE6" s="160" t="s"/>
      <c r="AF6" s="159" t="s"/>
      <c r="AG6" s="161" t="s"/>
      <c r="AI6" s="161" t="s"/>
      <c r="AJ6" s="161" t="s"/>
      <c r="AK6" s="161" t="s"/>
      <c r="AL6" s="162" t="s"/>
      <c r="AM6" s="162" t="s"/>
      <c r="AN6" s="162" t="s"/>
      <c r="AO6" s="162" t="s"/>
      <c r="AP6" s="160" t="s"/>
      <c r="AU6" s="158">
        <v>0.5</v>
      </c>
      <c r="AV6" s="158">
        <v>1</v>
      </c>
      <c r="AW6" s="158">
        <v>1</v>
      </c>
      <c r="AX6" s="158">
        <v>1</v>
      </c>
      <c r="AY6" s="158">
        <v>0.5</v>
      </c>
      <c r="AZ6" s="158">
        <v>1</v>
      </c>
      <c r="BA6" s="158">
        <v>0.5</v>
      </c>
      <c r="BB6" s="160">
        <f>=SUM(AQ6:BA6)/7.5</f>
        <v>0.733333333333333</v>
      </c>
      <c r="BC6" s="163" t="s"/>
      <c r="BD6" s="163" t="s"/>
      <c r="BE6" s="163" t="s"/>
      <c r="BF6" s="163" t="s"/>
      <c r="BG6" s="163">
        <v>0.5</v>
      </c>
      <c r="BH6" s="163" t="s"/>
      <c r="BI6" s="164">
        <v>0.5</v>
      </c>
      <c r="BJ6" s="163" t="s"/>
      <c r="BK6" s="164">
        <v>1</v>
      </c>
      <c r="BL6" s="163" t="s"/>
      <c r="BM6" s="163">
        <v>1</v>
      </c>
      <c r="BN6" s="166">
        <f>=SUM(BC6:BM6)/9</f>
        <v>0.333333333333333</v>
      </c>
      <c r="BO6" s="163" t="s"/>
      <c r="BP6" s="163" t="s"/>
    </row>
    <row r="7" spans="1:68" ht="17" customHeight="true">
      <c r="A7" s="10">
        <v>97224</v>
      </c>
      <c r="B7" s="10" t="s">
        <v>381</v>
      </c>
      <c r="C7" s="10" t="s">
        <v>31</v>
      </c>
      <c r="D7" s="10" t="s">
        <v>32</v>
      </c>
      <c r="E7" s="10" t="s">
        <v>33</v>
      </c>
      <c r="F7" s="10" t="s"/>
      <c r="G7" s="10" t="s">
        <v>44</v>
      </c>
      <c r="H7" s="11">
        <v>45840</v>
      </c>
      <c r="I7" s="10" t="s"/>
      <c r="J7" s="167" t="s"/>
      <c r="K7" s="10" t="s"/>
      <c r="L7" s="167" t="s"/>
      <c r="M7" s="10">
        <f>=SUM(AQ7:BA7)</f>
        <v>6</v>
      </c>
      <c r="N7" s="168" t="s">
        <v>504</v>
      </c>
      <c r="O7" s="10">
        <f>=SUM(BC7:BM7)+SUM(BO7:BP7)</f>
        <v>3.75</v>
      </c>
      <c r="P7" s="10" t="s">
        <f>=VLOOKUP(A7,绩效计算表!A:AI,30,FALSE)</f>
        <v>108</v>
      </c>
      <c r="Q7" s="152">
        <f>=I7+K7+M7+O7</f>
        <v>9.75</v>
      </c>
      <c r="R7" s="156" t="s">
        <v>505</v>
      </c>
      <c r="S7" s="154" t="s"/>
      <c r="T7" s="155" t="s">
        <v>506</v>
      </c>
      <c r="U7" s="155" t="s"/>
      <c r="V7" s="155" t="s">
        <v>507</v>
      </c>
      <c r="W7" s="156" t="s"/>
      <c r="X7" s="157" t="s"/>
      <c r="Y7" s="158" t="s"/>
      <c r="Z7" s="158" t="s"/>
      <c r="AA7" s="158" t="s"/>
      <c r="AB7" s="158" t="s"/>
      <c r="AC7" s="158" t="s"/>
      <c r="AD7" s="159" t="s"/>
      <c r="AE7" s="160" t="s"/>
      <c r="AF7" s="159" t="s"/>
      <c r="AG7" s="161" t="s"/>
      <c r="AI7" s="161" t="s"/>
      <c r="AJ7" s="161" t="s"/>
      <c r="AK7" s="161" t="s"/>
      <c r="AL7" s="162" t="s"/>
      <c r="AM7" s="162" t="s"/>
      <c r="AN7" s="162" t="s"/>
      <c r="AO7" s="162" t="s"/>
      <c r="AP7" s="160" t="s"/>
      <c r="AS7" s="158">
        <v>0.5</v>
      </c>
      <c r="AT7" s="158">
        <v>0.5</v>
      </c>
      <c r="AV7" s="158">
        <v>1</v>
      </c>
      <c r="AW7" s="158">
        <v>1</v>
      </c>
      <c r="AX7" s="158">
        <v>1</v>
      </c>
      <c r="AY7" s="158">
        <v>0.5</v>
      </c>
      <c r="AZ7" s="158">
        <v>1</v>
      </c>
      <c r="BA7" s="158">
        <v>0.5</v>
      </c>
      <c r="BB7" s="160">
        <f>=SUM(AQ7:BA7)/7.5</f>
        <v>0.8</v>
      </c>
      <c r="BC7" s="163">
        <v>0.25</v>
      </c>
      <c r="BD7" s="163">
        <v>1</v>
      </c>
      <c r="BE7" s="163" t="s"/>
      <c r="BF7" s="163" t="s"/>
      <c r="BG7" s="163">
        <v>1</v>
      </c>
      <c r="BH7" s="163" t="s"/>
      <c r="BI7" s="164" t="s"/>
      <c r="BJ7" s="163" t="s"/>
      <c r="BK7" s="164">
        <v>1</v>
      </c>
      <c r="BL7" s="163" t="s"/>
      <c r="BM7" s="163">
        <v>0.5</v>
      </c>
      <c r="BN7" s="166">
        <f>=SUM(BC7:BM7)/9</f>
        <v>0.416666666666667</v>
      </c>
      <c r="BO7" s="163" t="s"/>
      <c r="BP7" s="163" t="s"/>
    </row>
    <row r="8" spans="1:68" ht="13.5">
      <c r="A8" s="10">
        <v>56862</v>
      </c>
      <c r="B8" s="10" t="s">
        <v>363</v>
      </c>
      <c r="C8" s="10" t="s">
        <v>30</v>
      </c>
      <c r="D8" s="10" t="s">
        <v>31</v>
      </c>
      <c r="E8" s="10" t="s">
        <v>32</v>
      </c>
      <c r="F8" s="10" t="s">
        <v>33</v>
      </c>
      <c r="G8" s="10" t="s">
        <v>44</v>
      </c>
      <c r="H8" s="11">
        <v>45901</v>
      </c>
      <c r="I8" s="10" t="s"/>
      <c r="J8" s="167" t="s"/>
      <c r="K8" s="10" t="s"/>
      <c r="L8" s="167" t="s"/>
      <c r="M8" s="10" t="s"/>
      <c r="N8" s="167" t="s"/>
      <c r="O8" s="10">
        <f>=SUM(BC8:BM8)+SUM(BO8:BP8)</f>
        <v>5.2</v>
      </c>
      <c r="P8" s="168" t="s">
        <v>504</v>
      </c>
      <c r="Q8" s="152">
        <f>=I8+K8+M8+O8</f>
        <v>5.2</v>
      </c>
      <c r="S8" s="155" t="s"/>
      <c r="T8" s="155" t="s"/>
      <c r="U8" s="155" t="s"/>
      <c r="V8" s="155" t="s"/>
      <c r="W8" s="169" t="s"/>
      <c r="X8" s="157" t="s"/>
      <c r="Y8" s="158" t="s"/>
      <c r="Z8" s="158" t="s"/>
      <c r="AA8" s="158" t="s"/>
      <c r="AB8" s="158" t="s"/>
      <c r="AC8" s="158" t="s"/>
      <c r="AD8" s="159" t="s"/>
      <c r="AE8" s="160" t="s"/>
      <c r="AF8" s="159" t="s"/>
      <c r="AG8" s="161" t="s"/>
      <c r="AI8" s="161" t="s"/>
      <c r="AJ8" s="161" t="s"/>
      <c r="AK8" s="161" t="s"/>
      <c r="AL8" s="162" t="s"/>
      <c r="AM8" s="162" t="s"/>
      <c r="AN8" s="162" t="s"/>
      <c r="AO8" s="162" t="s"/>
      <c r="AP8" s="160" t="s"/>
      <c r="BA8" s="158">
        <v>0.5</v>
      </c>
      <c r="BB8" s="160">
        <f>=SUM(AQ8:BA8)/7.5</f>
        <v>0.0666666666666667</v>
      </c>
      <c r="BC8" s="163" t="s"/>
      <c r="BD8" s="163">
        <v>1</v>
      </c>
      <c r="BE8" s="163" t="s"/>
      <c r="BF8" s="163" t="s"/>
      <c r="BG8" s="163">
        <v>1</v>
      </c>
      <c r="BH8" s="163">
        <v>1</v>
      </c>
      <c r="BI8" s="164" t="s"/>
      <c r="BJ8" s="163">
        <v>0.5</v>
      </c>
      <c r="BK8" s="164">
        <v>1</v>
      </c>
      <c r="BL8" s="163" t="s"/>
      <c r="BM8" s="163">
        <v>0.7</v>
      </c>
      <c r="BN8" s="166">
        <f>=SUM(BC8:BM8)/9</f>
        <v>0.577777777777778</v>
      </c>
      <c r="BO8" s="163" t="s"/>
      <c r="BP8" s="163" t="s"/>
    </row>
    <row r="9" spans="1:68" ht="13.5">
      <c r="A9" s="10">
        <v>12944</v>
      </c>
      <c r="B9" s="10" t="s">
        <v>153</v>
      </c>
      <c r="C9" s="10" t="s">
        <v>31</v>
      </c>
      <c r="D9" s="10" t="s">
        <v>32</v>
      </c>
      <c r="E9" s="10" t="s">
        <v>33</v>
      </c>
      <c r="F9" s="10" t="s"/>
      <c r="G9" s="10" t="s">
        <v>44</v>
      </c>
      <c r="H9" s="11">
        <v>44440</v>
      </c>
      <c r="I9" s="10">
        <f>=SUM(X9:AD9)</f>
        <v>3.5</v>
      </c>
      <c r="J9" s="167" t="s">
        <f>=VLOOKUP(A9,绩效计算表!A:AI,9,FALSE)</f>
        <v>101</v>
      </c>
      <c r="K9" s="10">
        <f>=SUM(AF9:AO9)</f>
        <v>0.5</v>
      </c>
      <c r="L9" s="167" t="s">
        <f>=VLOOKUP(A9,绩效计算表!A:AI,15,FALSE)</f>
        <v>116</v>
      </c>
      <c r="M9" s="10">
        <f>=SUM(AQ9:BA9)</f>
        <v>0.5</v>
      </c>
      <c r="N9" s="167" t="s">
        <f>=VLOOKUP(A9,绩效计算表!A:AI,23,FALSE)</f>
        <v>116</v>
      </c>
      <c r="O9" s="10">
        <f>=SUM(BC9:BM9)+SUM(BO9:BP9)</f>
        <v>4.7</v>
      </c>
      <c r="P9" s="10" t="s">
        <f>=VLOOKUP(A9,绩效计算表!A:AI,30,FALSE)</f>
        <v>101</v>
      </c>
      <c r="Q9" s="152">
        <f>=I9+K9+M9+O9</f>
        <v>9.2</v>
      </c>
      <c r="R9" s="156" t="s">
        <v>508</v>
      </c>
      <c r="S9" s="155" t="s"/>
      <c r="T9" s="155" t="s">
        <v>509</v>
      </c>
      <c r="U9" s="155" t="s"/>
      <c r="V9" s="155" t="s">
        <v>108</v>
      </c>
      <c r="W9" s="169" t="s">
        <v>510</v>
      </c>
      <c r="X9" s="157" t="s"/>
      <c r="Y9" s="158" t="s"/>
      <c r="Z9" s="158">
        <v>0.5</v>
      </c>
      <c r="AA9" s="158">
        <v>1</v>
      </c>
      <c r="AB9" s="158">
        <v>1</v>
      </c>
      <c r="AC9" s="158">
        <v>1</v>
      </c>
      <c r="AD9" s="159" t="s"/>
      <c r="AE9" s="160">
        <f>=SUM(X9:AD9)/6</f>
        <v>0.583333333333334</v>
      </c>
      <c r="AF9" s="159" t="s"/>
      <c r="AG9" s="161" t="s"/>
      <c r="AL9" s="162" t="s"/>
      <c r="AM9" s="162" t="s"/>
      <c r="AN9" s="162" t="s"/>
      <c r="AO9" s="162">
        <v>0.5</v>
      </c>
      <c r="AP9" s="160">
        <f>=SUM(AF9:AO9)/7.5</f>
        <v>0.0666666666666667</v>
      </c>
      <c r="AY9" s="158">
        <v>0.5</v>
      </c>
      <c r="BB9" s="160">
        <f>=SUM(AQ9:BA9)/7.5</f>
        <v>0.0666666666666667</v>
      </c>
      <c r="BC9" s="163" t="s"/>
      <c r="BD9" s="163" t="s"/>
      <c r="BE9" s="163" t="s"/>
      <c r="BF9" s="163">
        <v>1</v>
      </c>
      <c r="BG9" s="163" t="s"/>
      <c r="BH9" s="163">
        <v>1</v>
      </c>
      <c r="BI9" s="164">
        <v>0.5</v>
      </c>
      <c r="BJ9" s="163">
        <v>0.5</v>
      </c>
      <c r="BK9" s="164">
        <v>1</v>
      </c>
      <c r="BL9" s="163" t="s"/>
      <c r="BM9" s="163">
        <v>0.7</v>
      </c>
      <c r="BN9" s="166">
        <f>=SUM(BC9:BM9)/9</f>
        <v>0.522222222222222</v>
      </c>
      <c r="BO9" s="163" t="s"/>
      <c r="BP9" s="163" t="s"/>
    </row>
    <row r="10" spans="1:68" ht="13.5">
      <c r="A10" s="10">
        <v>16761</v>
      </c>
      <c r="B10" s="10" t="s">
        <v>67</v>
      </c>
      <c r="C10" s="10" t="s">
        <v>31</v>
      </c>
      <c r="D10" s="10" t="s">
        <v>32</v>
      </c>
      <c r="E10" s="10" t="s">
        <v>33</v>
      </c>
      <c r="F10" s="10" t="s"/>
      <c r="G10" s="10" t="s">
        <v>44</v>
      </c>
      <c r="H10" s="11">
        <v>44382</v>
      </c>
      <c r="I10" s="10">
        <f>=SUM(X10:AD10)</f>
        <v>0</v>
      </c>
      <c r="J10" s="167" t="s">
        <f>=VLOOKUP(A10,绩效计算表!A:AI,9,FALSE)</f>
        <v>116</v>
      </c>
      <c r="K10" s="10">
        <f>=SUM(AF10:AO10)</f>
        <v>0</v>
      </c>
      <c r="L10" s="167" t="s">
        <f>=VLOOKUP(A10,绩效计算表!A:AI,15,FALSE)</f>
        <v>116</v>
      </c>
      <c r="M10" s="10">
        <f>=SUM(AQ10:BA10)</f>
        <v>0</v>
      </c>
      <c r="N10" s="167" t="s">
        <f>=VLOOKUP(A10,绩效计算表!A:AI,23,FALSE)</f>
        <v>116</v>
      </c>
      <c r="O10" s="10">
        <f>=SUM(BC10:BM10)+SUM(BO10:BP10)</f>
        <v>0</v>
      </c>
      <c r="P10" s="10" t="s">
        <f>=VLOOKUP(A10,绩效计算表!A:AI,30,FALSE)</f>
        <v>511</v>
      </c>
      <c r="Q10" s="152">
        <f>=I10+K10+M10+O10</f>
        <v>0</v>
      </c>
      <c r="R10" s="170" t="s">
        <v>508</v>
      </c>
      <c r="S10" s="155" t="s"/>
      <c r="T10" s="155" t="s">
        <v>512</v>
      </c>
      <c r="U10" s="155" t="s"/>
      <c r="V10" s="155" t="s">
        <v>116</v>
      </c>
      <c r="W10" s="22" t="s">
        <v>513</v>
      </c>
      <c r="X10" s="157" t="s"/>
      <c r="Y10" s="158" t="s"/>
      <c r="Z10" s="158" t="s"/>
      <c r="AA10" s="158" t="s"/>
      <c r="AB10" s="158" t="s"/>
      <c r="AC10" s="158" t="s"/>
      <c r="AD10" s="159" t="s"/>
      <c r="AE10" s="171">
        <f>=SUM(X10:AD10)/6</f>
        <v>0</v>
      </c>
      <c r="AF10" s="159" t="s"/>
      <c r="AG10" s="161" t="s"/>
      <c r="AL10" s="162" t="s"/>
      <c r="AM10" s="162" t="s"/>
      <c r="AN10" s="162" t="s"/>
      <c r="AO10" s="162" t="s"/>
      <c r="AP10" s="160">
        <f>=SUM(AF10:AO10)/7.5</f>
        <v>0</v>
      </c>
      <c r="BB10" s="160">
        <f>=SUM(AQ10:BA10)/7.5</f>
        <v>0</v>
      </c>
      <c r="BC10" s="163" t="s"/>
      <c r="BD10" s="163" t="s"/>
      <c r="BE10" s="163" t="s"/>
      <c r="BF10" s="163" t="s"/>
      <c r="BG10" s="163" t="s"/>
      <c r="BH10" s="163" t="s"/>
      <c r="BI10" s="164" t="s"/>
      <c r="BJ10" s="163" t="s"/>
      <c r="BK10" s="164" t="s"/>
      <c r="BL10" s="163" t="s"/>
      <c r="BM10" s="163" t="s"/>
      <c r="BN10" s="166">
        <f>=SUM(BC10:BM10)/9</f>
        <v>0</v>
      </c>
      <c r="BO10" s="163" t="s"/>
      <c r="BP10" s="163" t="s"/>
    </row>
    <row r="11" spans="1:68" ht="13.5">
      <c r="A11" s="10">
        <v>29050</v>
      </c>
      <c r="B11" s="10" t="s">
        <v>203</v>
      </c>
      <c r="C11" s="10" t="s">
        <v>31</v>
      </c>
      <c r="D11" s="10" t="s">
        <v>32</v>
      </c>
      <c r="E11" s="10" t="s">
        <v>33</v>
      </c>
      <c r="F11" s="10" t="s"/>
      <c r="G11" s="10" t="s">
        <v>44</v>
      </c>
      <c r="H11" s="11">
        <v>43291</v>
      </c>
      <c r="I11" s="10">
        <f>=SUM(X11:AD11)</f>
        <v>2.5</v>
      </c>
      <c r="J11" s="167" t="s">
        <f>=VLOOKUP(A11,绩效计算表!A:AI,9,FALSE)</f>
        <v>108</v>
      </c>
      <c r="K11" s="10">
        <f>=SUM(AF11:AO11)</f>
        <v>2.5</v>
      </c>
      <c r="L11" s="167" t="s">
        <f>=VLOOKUP(A11,绩效计算表!A:AI,15,FALSE)</f>
        <v>116</v>
      </c>
      <c r="M11" s="10">
        <f>=SUM(AQ11:BA11)</f>
        <v>2.5</v>
      </c>
      <c r="N11" s="167" t="s">
        <f>=VLOOKUP(A11,绩效计算表!A:AI,23,FALSE)</f>
        <v>116</v>
      </c>
      <c r="O11" s="10">
        <f>=SUM(BC11:BM11)+SUM(BO11:BP11)</f>
        <v>3.25</v>
      </c>
      <c r="P11" s="10" t="s">
        <f>=VLOOKUP(A11,绩效计算表!A:AI,30,FALSE)</f>
        <v>108</v>
      </c>
      <c r="Q11" s="152">
        <f>=I11+K11+M11+O11</f>
        <v>10.75</v>
      </c>
      <c r="R11" s="153" t="s">
        <v>770</v>
      </c>
      <c r="S11" s="155" t="s"/>
      <c r="T11" s="155" t="s">
        <v>501</v>
      </c>
      <c r="U11" s="155" t="s"/>
      <c r="V11" s="155" t="s">
        <v>108</v>
      </c>
      <c r="W11" s="156" t="s">
        <v>514</v>
      </c>
      <c r="X11" s="157" t="s"/>
      <c r="Y11" s="158">
        <v>1</v>
      </c>
      <c r="Z11" s="158">
        <v>0.5</v>
      </c>
      <c r="AA11" s="158" t="s"/>
      <c r="AB11" s="158" t="s"/>
      <c r="AC11" s="158" t="s"/>
      <c r="AD11" s="159">
        <v>1</v>
      </c>
      <c r="AE11" s="160">
        <f>=SUM(X11:AD11)/6</f>
        <v>0.416666666666667</v>
      </c>
      <c r="AF11" s="159" t="s"/>
      <c r="AG11" s="161">
        <v>0.5</v>
      </c>
      <c r="AK11" s="159">
        <v>0.5</v>
      </c>
      <c r="AL11" s="162" t="s"/>
      <c r="AM11" s="162">
        <v>1</v>
      </c>
      <c r="AN11" s="162" t="s"/>
      <c r="AO11" s="162">
        <v>0.5</v>
      </c>
      <c r="AP11" s="160">
        <f>=SUM(AF11:AO11)/7.5</f>
        <v>0.333333333333333</v>
      </c>
      <c r="AT11" s="158">
        <v>0.5</v>
      </c>
      <c r="AW11" s="158">
        <v>1</v>
      </c>
      <c r="AZ11" s="158">
        <v>0.5</v>
      </c>
      <c r="BA11" s="158">
        <v>0.5</v>
      </c>
      <c r="BB11" s="160">
        <f>=SUM(AQ11:BA11)/7.5</f>
        <v>0.333333333333333</v>
      </c>
      <c r="BC11" s="163" t="s"/>
      <c r="BD11" s="163" t="s"/>
      <c r="BE11" s="163">
        <v>0.25</v>
      </c>
      <c r="BF11" s="163" t="s"/>
      <c r="BG11" s="163">
        <v>0.5</v>
      </c>
      <c r="BH11" s="163" t="s"/>
      <c r="BI11" s="164">
        <v>0.5</v>
      </c>
      <c r="BJ11" s="163">
        <v>0.5</v>
      </c>
      <c r="BK11" s="164" t="s"/>
      <c r="BL11" s="165">
        <v>0.5</v>
      </c>
      <c r="BM11" s="163" t="s"/>
      <c r="BN11" s="166">
        <f>=SUM(BC11:BM11)/9</f>
        <v>0.25</v>
      </c>
      <c r="BO11" s="165">
        <v>0.5</v>
      </c>
      <c r="BP11" s="163">
        <v>0.5</v>
      </c>
    </row>
    <row r="12" spans="1:68" ht="13.5">
      <c r="A12" s="10">
        <v>54477</v>
      </c>
      <c r="B12" s="10" t="s">
        <v>159</v>
      </c>
      <c r="C12" s="10" t="s">
        <v>249</v>
      </c>
      <c r="D12" s="10" t="s">
        <v>32</v>
      </c>
      <c r="E12" s="10" t="s">
        <v>33</v>
      </c>
      <c r="F12" s="10" t="s"/>
      <c r="G12" s="10" t="s">
        <v>44</v>
      </c>
      <c r="H12" s="11">
        <v>42552</v>
      </c>
      <c r="I12" s="10">
        <f>=SUM(X12:AD12)</f>
        <v>4</v>
      </c>
      <c r="J12" s="167" t="s">
        <f>=VLOOKUP(A12,绩效计算表!A:AI,9,FALSE)</f>
        <v>108</v>
      </c>
      <c r="K12" s="10">
        <f>=SUM(AF12:AO12)</f>
        <v>5.5</v>
      </c>
      <c r="L12" s="167" t="s">
        <f>=VLOOKUP(A12,绩效计算表!A:AI,15,FALSE)</f>
        <v>101</v>
      </c>
      <c r="M12" s="10">
        <f>=SUM(AQ12:BA12)</f>
        <v>7.5</v>
      </c>
      <c r="N12" s="167" t="s">
        <f>=VLOOKUP(A12,绩效计算表!A:AI,23,FALSE)</f>
        <v>101</v>
      </c>
      <c r="O12" s="10">
        <f>=SUM(BC12:BM12)+SUM(BO12:BP12)</f>
        <v>8.5</v>
      </c>
      <c r="P12" s="10" t="s">
        <f>=VLOOKUP(A12,绩效计算表!A:AI,30,FALSE)</f>
        <v>116</v>
      </c>
      <c r="Q12" s="152">
        <f>=I12+K12+M12+O12</f>
        <v>25.5</v>
      </c>
      <c r="R12" s="156" t="s">
        <v>515</v>
      </c>
      <c r="S12" s="155" t="s"/>
      <c r="T12" s="155" t="s">
        <v>501</v>
      </c>
      <c r="U12" s="155" t="s"/>
      <c r="V12" s="155" t="s">
        <v>108</v>
      </c>
      <c r="W12" s="156" t="s"/>
      <c r="X12" s="157">
        <v>0.5</v>
      </c>
      <c r="Y12" s="158" t="s"/>
      <c r="Z12" s="158">
        <v>0.5</v>
      </c>
      <c r="AA12" s="158">
        <v>1</v>
      </c>
      <c r="AB12" s="158">
        <v>1</v>
      </c>
      <c r="AC12" s="158" t="s"/>
      <c r="AD12" s="172">
        <v>1</v>
      </c>
      <c r="AE12" s="160">
        <f>=SUM(X12:AD12)/6</f>
        <v>0.666666666666667</v>
      </c>
      <c r="AF12" s="172" t="s"/>
      <c r="AG12" s="161">
        <v>1</v>
      </c>
      <c r="AI12" s="158">
        <v>1</v>
      </c>
      <c r="AJ12" s="158">
        <v>1</v>
      </c>
      <c r="AL12" s="162">
        <v>1</v>
      </c>
      <c r="AM12" s="162" t="s"/>
      <c r="AN12" s="162">
        <v>1</v>
      </c>
      <c r="AO12" s="162">
        <v>0.5</v>
      </c>
      <c r="AP12" s="160">
        <f>=SUM(AF12:AO12)/7.5</f>
        <v>0.733333333333333</v>
      </c>
      <c r="AQ12" s="158">
        <v>1</v>
      </c>
      <c r="AS12" s="158">
        <v>1</v>
      </c>
      <c r="AU12" s="158">
        <v>1</v>
      </c>
      <c r="AV12" s="158">
        <v>1</v>
      </c>
      <c r="AW12" s="158">
        <v>1</v>
      </c>
      <c r="AX12" s="158">
        <v>0.5</v>
      </c>
      <c r="AZ12" s="158">
        <v>1</v>
      </c>
      <c r="BA12" s="158">
        <v>1</v>
      </c>
      <c r="BB12" s="160">
        <f>=SUM(AQ12:BA12)/7.5</f>
        <v>1</v>
      </c>
      <c r="BC12" s="163">
        <v>0.5</v>
      </c>
      <c r="BD12" s="163">
        <v>1</v>
      </c>
      <c r="BE12" s="163">
        <v>0.5</v>
      </c>
      <c r="BF12" s="163" t="s"/>
      <c r="BG12" s="163">
        <v>1</v>
      </c>
      <c r="BH12" s="163">
        <v>1</v>
      </c>
      <c r="BI12" s="164">
        <v>0.5</v>
      </c>
      <c r="BJ12" s="163">
        <v>0.5</v>
      </c>
      <c r="BK12" s="164">
        <v>1</v>
      </c>
      <c r="BL12" s="165">
        <v>1</v>
      </c>
      <c r="BM12" s="163" t="s"/>
      <c r="BN12" s="166">
        <f>=SUM(BC12:BM12)/9</f>
        <v>0.777777777777778</v>
      </c>
      <c r="BO12" s="165">
        <v>1</v>
      </c>
      <c r="BP12" s="163">
        <v>0.5</v>
      </c>
    </row>
    <row r="13" spans="1:68" ht="13.5" hidden="true">
      <c r="A13" s="10">
        <v>57305</v>
      </c>
      <c r="B13" s="10" t="s">
        <v>42</v>
      </c>
      <c r="C13" s="10" t="s">
        <v>31</v>
      </c>
      <c r="D13" s="10" t="s">
        <v>32</v>
      </c>
      <c r="E13" s="10" t="s">
        <v>33</v>
      </c>
      <c r="F13" s="10" t="s"/>
      <c r="G13" s="10" t="s">
        <v>44</v>
      </c>
      <c r="H13" s="11">
        <v>43934</v>
      </c>
      <c r="I13" s="10">
        <f>=SUM(X13:AD13)</f>
        <v>3.5</v>
      </c>
      <c r="J13" s="167" t="e">
        <f>=VLOOKUP(A13,绩效计算表!A:AI,9,FALSE)</f>
        <v>#N/A</v>
      </c>
      <c r="K13" s="10">
        <f>=SUM(AF13:AO13)</f>
        <v>1.5</v>
      </c>
      <c r="L13" s="167" t="e">
        <f>=VLOOKUP(A13,绩效计算表!A:AI,15,FALSE)</f>
        <v>#N/A</v>
      </c>
      <c r="M13" s="10">
        <f>=SUM(AQ13:BA13)</f>
        <v>0</v>
      </c>
      <c r="N13" s="167" t="e">
        <f>=VLOOKUP(A13,绩效计算表!A:AI,23,FALSE)</f>
        <v>#N/A</v>
      </c>
      <c r="O13" s="10">
        <f>=SUM(BC13:BM13)+SUM(BO13:BP13)</f>
        <v>0</v>
      </c>
      <c r="P13" s="10" t="e">
        <f>=VLOOKUP(A13,绩效计算表!A:AI,30,FALSE)</f>
        <v>#N/A</v>
      </c>
      <c r="Q13" s="152">
        <f>=I13+K13+M13+O13</f>
        <v>5</v>
      </c>
      <c r="R13" s="156" t="s"/>
      <c r="S13" s="155" t="s"/>
      <c r="T13" s="155" t="s"/>
      <c r="U13" s="155" t="s"/>
      <c r="V13" s="155" t="s"/>
      <c r="W13" s="156" t="s"/>
      <c r="X13" s="157">
        <v>0.5</v>
      </c>
      <c r="Y13" s="158">
        <v>1</v>
      </c>
      <c r="Z13" s="158">
        <v>0.5</v>
      </c>
      <c r="AA13" s="158" t="s"/>
      <c r="AB13" s="158">
        <v>1</v>
      </c>
      <c r="AC13" s="158">
        <v>0.5</v>
      </c>
      <c r="AD13" s="159" t="s"/>
      <c r="AE13" s="160">
        <f>=SUM(X13:AD13)/6</f>
        <v>0.583333333333334</v>
      </c>
      <c r="AF13" s="159" t="s"/>
      <c r="AG13" s="161">
        <v>0.5</v>
      </c>
      <c r="AI13" s="158">
        <v>1</v>
      </c>
      <c r="AL13" s="162" t="s"/>
      <c r="AM13" s="162" t="s"/>
      <c r="AN13" s="162" t="s"/>
      <c r="AO13" s="162" t="s"/>
      <c r="AP13" s="160">
        <f>=SUM(AF13:AO13)/7.5</f>
        <v>0.2</v>
      </c>
      <c r="BB13" s="160">
        <f>=SUM(AQ13:BA13)/7.5</f>
        <v>0</v>
      </c>
      <c r="BC13" s="163" t="s"/>
      <c r="BD13" s="163" t="s"/>
      <c r="BE13" s="163" t="s"/>
      <c r="BF13" s="163" t="s"/>
      <c r="BG13" s="163" t="s"/>
      <c r="BH13" s="163" t="s"/>
      <c r="BI13" s="164" t="s"/>
      <c r="BJ13" s="163" t="s"/>
      <c r="BK13" s="164" t="s"/>
      <c r="BL13" s="163" t="s"/>
      <c r="BM13" s="163" t="s"/>
      <c r="BN13" s="166">
        <f>=SUM(BC13:BM13)/9</f>
        <v>0</v>
      </c>
      <c r="BO13" s="163" t="s"/>
      <c r="BP13" s="163" t="s"/>
    </row>
    <row r="14" spans="1:68" ht="13.5">
      <c r="A14" s="10">
        <v>76442</v>
      </c>
      <c r="B14" s="10" t="s">
        <v>176</v>
      </c>
      <c r="C14" s="10" t="s">
        <v>31</v>
      </c>
      <c r="D14" s="10" t="s">
        <v>32</v>
      </c>
      <c r="E14" s="10" t="s">
        <v>33</v>
      </c>
      <c r="F14" s="10" t="s"/>
      <c r="G14" s="10" t="s">
        <v>44</v>
      </c>
      <c r="H14" s="11">
        <v>42184</v>
      </c>
      <c r="I14" s="10">
        <f>=SUM(X14:AD14)</f>
        <v>1</v>
      </c>
      <c r="J14" s="167" t="s">
        <f>=VLOOKUP(A14,绩效计算表!A:AI,9,FALSE)</f>
        <v>116</v>
      </c>
      <c r="K14" s="10">
        <f>=SUM(AF14:AO14)</f>
        <v>2</v>
      </c>
      <c r="L14" s="167" t="s">
        <f>=VLOOKUP(A14,绩效计算表!A:AI,15,FALSE)</f>
        <v>116</v>
      </c>
      <c r="M14" s="10">
        <f>=SUM(AQ14:BA14)</f>
        <v>2</v>
      </c>
      <c r="N14" s="167" t="s">
        <f>=VLOOKUP(A14,绩效计算表!A:AI,23,FALSE)</f>
        <v>108</v>
      </c>
      <c r="O14" s="10">
        <f>=SUM(BC14:BM14)+SUM(BO14:BP14)</f>
        <v>3.5</v>
      </c>
      <c r="P14" s="10" t="s">
        <f>=VLOOKUP(A14,绩效计算表!A:AI,30,FALSE)</f>
        <v>101</v>
      </c>
      <c r="Q14" s="152">
        <f>=I14+K14+M14+O14</f>
        <v>8.5</v>
      </c>
      <c r="R14" s="156" t="s">
        <v>771</v>
      </c>
      <c r="S14" s="155" t="s"/>
      <c r="T14" s="155" t="s">
        <v>501</v>
      </c>
      <c r="U14" s="155" t="s"/>
      <c r="V14" s="155" t="s">
        <v>108</v>
      </c>
      <c r="W14" s="156" t="s">
        <v>516</v>
      </c>
      <c r="X14" s="157">
        <v>0.5</v>
      </c>
      <c r="Y14" s="158" t="s"/>
      <c r="Z14" s="158">
        <v>0.5</v>
      </c>
      <c r="AA14" s="158" t="s"/>
      <c r="AB14" s="158" t="s"/>
      <c r="AC14" s="158" t="s"/>
      <c r="AD14" s="159" t="s"/>
      <c r="AE14" s="171">
        <f>=SUM(X14:AD14)/6</f>
        <v>0.166666666666667</v>
      </c>
      <c r="AF14" s="159">
        <v>0.5</v>
      </c>
      <c r="AG14" s="161" t="s"/>
      <c r="AI14" s="158">
        <v>1</v>
      </c>
      <c r="AL14" s="162" t="s"/>
      <c r="AM14" s="162">
        <v>0.5</v>
      </c>
      <c r="AN14" s="162" t="s"/>
      <c r="AO14" s="162" t="s"/>
      <c r="AP14" s="160">
        <f>=SUM(AF14:AO14)/7.5</f>
        <v>0.266666666666667</v>
      </c>
      <c r="AU14" s="158">
        <v>0.5</v>
      </c>
      <c r="AW14" s="158">
        <v>1</v>
      </c>
      <c r="AY14" s="158">
        <v>0.5</v>
      </c>
      <c r="BB14" s="160">
        <f>=SUM(AQ14:BA14)/7.5</f>
        <v>0.266666666666667</v>
      </c>
      <c r="BC14" s="163" t="s"/>
      <c r="BD14" s="163" t="s"/>
      <c r="BE14" s="163" t="s"/>
      <c r="BF14" s="163" t="s"/>
      <c r="BG14" s="163">
        <v>0.5</v>
      </c>
      <c r="BH14" s="163" t="s"/>
      <c r="BI14" s="164">
        <v>0.5</v>
      </c>
      <c r="BJ14" s="163" t="s"/>
      <c r="BK14" s="164">
        <v>1</v>
      </c>
      <c r="BL14" s="163" t="s"/>
      <c r="BM14" s="163">
        <v>1</v>
      </c>
      <c r="BN14" s="166">
        <f>=SUM(BC14:BM14)/9</f>
        <v>0.333333333333333</v>
      </c>
      <c r="BO14" s="163" t="s"/>
      <c r="BP14" s="163">
        <v>0.5</v>
      </c>
    </row>
    <row r="15" spans="1:68" ht="13.5">
      <c r="A15" s="10">
        <v>77251</v>
      </c>
      <c r="B15" s="10" t="s">
        <v>215</v>
      </c>
      <c r="C15" s="10" t="s">
        <v>31</v>
      </c>
      <c r="D15" s="10" t="s">
        <v>32</v>
      </c>
      <c r="E15" s="10" t="s">
        <v>33</v>
      </c>
      <c r="F15" s="10" t="s"/>
      <c r="G15" s="10" t="s">
        <v>44</v>
      </c>
      <c r="H15" s="11">
        <v>41099</v>
      </c>
      <c r="I15" s="10">
        <f>=SUM(X15:AD15)</f>
        <v>4</v>
      </c>
      <c r="J15" s="167" t="s">
        <f>=VLOOKUP(A15,绩效计算表!A:AI,9,FALSE)</f>
        <v>108</v>
      </c>
      <c r="K15" s="10">
        <f>=SUM(AF15:AO15)</f>
        <v>4</v>
      </c>
      <c r="L15" s="167" t="s">
        <f>=VLOOKUP(A15,绩效计算表!A:AI,15,FALSE)</f>
        <v>108</v>
      </c>
      <c r="M15" s="10">
        <f>=SUM(AQ15:BA15)</f>
        <v>3.15</v>
      </c>
      <c r="N15" s="167" t="s">
        <f>=VLOOKUP(A15,绩效计算表!A:AI,23,FALSE)</f>
        <v>108</v>
      </c>
      <c r="O15" s="10">
        <f>=SUM(BC15:BM15)+SUM(BO15:BP15)</f>
        <v>3.5</v>
      </c>
      <c r="P15" s="10" t="s">
        <f>=VLOOKUP(A15,绩效计算表!A:AI,30,FALSE)</f>
        <v>116</v>
      </c>
      <c r="Q15" s="152">
        <f>=I15+K15+M15+O15</f>
        <v>14.65</v>
      </c>
      <c r="R15" s="156" t="s">
        <v>517</v>
      </c>
      <c r="S15" s="155" t="s"/>
      <c r="T15" s="155" t="s">
        <v>501</v>
      </c>
      <c r="U15" s="155" t="s"/>
      <c r="V15" s="155" t="s">
        <v>108</v>
      </c>
      <c r="W15" s="156" t="s">
        <v>518</v>
      </c>
      <c r="X15" s="157">
        <v>0.5</v>
      </c>
      <c r="Y15" s="158">
        <v>1</v>
      </c>
      <c r="Z15" s="158">
        <v>0.5</v>
      </c>
      <c r="AA15" s="158" t="s"/>
      <c r="AB15" s="158" t="s"/>
      <c r="AC15" s="158">
        <v>1</v>
      </c>
      <c r="AD15" s="159">
        <v>1</v>
      </c>
      <c r="AE15" s="160">
        <f>=SUM(X15:AD15)/6</f>
        <v>0.666666666666667</v>
      </c>
      <c r="AF15" s="159">
        <v>0.5</v>
      </c>
      <c r="AG15" s="161" t="s"/>
      <c r="AI15" s="158">
        <v>1</v>
      </c>
      <c r="AL15" s="162">
        <v>1</v>
      </c>
      <c r="AM15" s="162">
        <v>1</v>
      </c>
      <c r="AN15" s="162" t="s"/>
      <c r="AO15" s="162">
        <v>0.5</v>
      </c>
      <c r="AP15" s="160">
        <f>=SUM(AF15:AO15)/7.5</f>
        <v>0.533333333333333</v>
      </c>
      <c r="AS15" s="158">
        <v>0.5</v>
      </c>
      <c r="AT15" s="158">
        <v>0.5</v>
      </c>
      <c r="AU15" s="158">
        <v>1</v>
      </c>
      <c r="AX15" s="158">
        <v>1</v>
      </c>
      <c r="AY15" s="158">
        <v>0.15</v>
      </c>
      <c r="BB15" s="160">
        <f>=SUM(AQ15:BA15)/7.5</f>
        <v>0.42</v>
      </c>
      <c r="BC15" s="163" t="s"/>
      <c r="BD15" s="163">
        <v>1</v>
      </c>
      <c r="BE15" s="163" t="s"/>
      <c r="BF15" s="163" t="s"/>
      <c r="BG15" s="163">
        <v>0.5</v>
      </c>
      <c r="BH15" s="163" t="s"/>
      <c r="BI15" s="164" t="s"/>
      <c r="BJ15" s="163">
        <v>0.5</v>
      </c>
      <c r="BK15" s="164" t="s"/>
      <c r="BL15" s="165">
        <v>0.5</v>
      </c>
      <c r="BM15" s="163">
        <v>1</v>
      </c>
      <c r="BN15" s="166">
        <f>=SUM(BC15:BM15)/9</f>
        <v>0.388888888888889</v>
      </c>
      <c r="BO15" s="163" t="s"/>
      <c r="BP15" s="163" t="s"/>
    </row>
    <row r="16" spans="1:68" ht="13.5" hidden="true">
      <c r="A16" s="10">
        <v>95220</v>
      </c>
      <c r="B16" s="10" t="s">
        <v>186</v>
      </c>
      <c r="C16" s="10" t="s">
        <v>31</v>
      </c>
      <c r="D16" s="10" t="s">
        <v>32</v>
      </c>
      <c r="E16" s="10" t="s">
        <v>33</v>
      </c>
      <c r="F16" s="10" t="s"/>
      <c r="G16" s="10" t="s">
        <v>44</v>
      </c>
      <c r="H16" s="11">
        <v>44440</v>
      </c>
      <c r="I16" s="10">
        <f>=SUM(X16:AD16)</f>
        <v>1</v>
      </c>
      <c r="J16" s="167" t="e">
        <f>=VLOOKUP(A16,绩效计算表!A:AI,9,FALSE)</f>
        <v>#N/A</v>
      </c>
      <c r="K16" s="10">
        <f>=SUM(AF16:AO16)</f>
        <v>3.5</v>
      </c>
      <c r="L16" s="167" t="e">
        <f>=VLOOKUP(A16,绩效计算表!A:AI,15,FALSE)</f>
        <v>#N/A</v>
      </c>
      <c r="M16" s="10">
        <f>=SUM(AQ16:BA16)</f>
        <v>0</v>
      </c>
      <c r="N16" s="167" t="e">
        <f>=VLOOKUP(A16,绩效计算表!A:AI,23,FALSE)</f>
        <v>#N/A</v>
      </c>
      <c r="O16" s="10">
        <f>=SUM(BC16:BM16)+SUM(BO16:BP16)</f>
        <v>0</v>
      </c>
      <c r="P16" s="10" t="e">
        <f>=VLOOKUP(A16,绩效计算表!A:AI,30,FALSE)</f>
        <v>#N/A</v>
      </c>
      <c r="Q16" s="152">
        <f>=I16+K16+M16+O16</f>
        <v>4.5</v>
      </c>
      <c r="R16" s="170" t="s">
        <v>508</v>
      </c>
      <c r="S16" s="155" t="s"/>
      <c r="T16" s="155" t="s">
        <v>509</v>
      </c>
      <c r="U16" s="155" t="s"/>
      <c r="V16" s="155" t="s">
        <v>101</v>
      </c>
      <c r="W16" s="169" t="s">
        <v>510</v>
      </c>
      <c r="X16" s="157" t="s"/>
      <c r="Y16" s="158" t="s"/>
      <c r="Z16" s="158" t="s"/>
      <c r="AA16" s="158" t="s"/>
      <c r="AB16" s="158" t="s"/>
      <c r="AC16" s="158">
        <v>1</v>
      </c>
      <c r="AD16" s="159" t="s"/>
      <c r="AE16" s="171">
        <f>=SUM(X16:AD16)/6</f>
        <v>0.166666666666667</v>
      </c>
      <c r="AF16" s="159" t="s"/>
      <c r="AG16" s="161" t="s"/>
      <c r="AJ16" s="158">
        <v>1</v>
      </c>
      <c r="AL16" s="162" t="s"/>
      <c r="AM16" s="162">
        <v>1</v>
      </c>
      <c r="AN16" s="162">
        <v>1</v>
      </c>
      <c r="AO16" s="162">
        <v>0.5</v>
      </c>
      <c r="AP16" s="160">
        <f>=SUM(AF16:AO16)/7.5</f>
        <v>0.466666666666667</v>
      </c>
      <c r="BB16" s="160">
        <f>=SUM(AQ16:BA16)/7.5</f>
        <v>0</v>
      </c>
      <c r="BC16" s="163" t="s"/>
      <c r="BD16" s="163" t="s"/>
      <c r="BE16" s="163" t="s"/>
      <c r="BF16" s="163" t="s"/>
      <c r="BG16" s="163" t="s"/>
      <c r="BH16" s="163" t="s"/>
      <c r="BI16" s="164" t="s"/>
      <c r="BJ16" s="163" t="s"/>
      <c r="BK16" s="164" t="s"/>
      <c r="BL16" s="163" t="s"/>
      <c r="BM16" s="163" t="s"/>
      <c r="BN16" s="166">
        <f>=SUM(BC16:BM16)/9</f>
        <v>0</v>
      </c>
      <c r="BO16" s="163" t="s"/>
      <c r="BP16" s="163" t="s"/>
    </row>
    <row r="17" spans="1:68" ht="13.5">
      <c r="A17" s="10">
        <v>20811</v>
      </c>
      <c r="B17" s="10" t="s">
        <v>197</v>
      </c>
      <c r="C17" s="10" t="s">
        <v>31</v>
      </c>
      <c r="D17" s="10" t="s">
        <v>32</v>
      </c>
      <c r="E17" s="10" t="s">
        <v>33</v>
      </c>
      <c r="F17" s="10" t="s"/>
      <c r="G17" s="10" t="s">
        <v>44</v>
      </c>
      <c r="H17" s="11">
        <v>43983</v>
      </c>
      <c r="I17" s="10">
        <f>=SUM(X17:AD17)</f>
        <v>1</v>
      </c>
      <c r="J17" s="167" t="s">
        <f>=VLOOKUP(A17,绩效计算表!A:AI,9,FALSE)</f>
        <v>116</v>
      </c>
      <c r="K17" s="10">
        <f>=SUM(AF17:AO17)</f>
        <v>0</v>
      </c>
      <c r="L17" s="167" t="s">
        <f>=VLOOKUP(A17,绩效计算表!A:AI,15,FALSE)</f>
        <v>116</v>
      </c>
      <c r="M17" s="10">
        <f>=SUM(AQ17:BA17)</f>
        <v>0</v>
      </c>
      <c r="N17" s="167" t="s">
        <f>=VLOOKUP(A17,绩效计算表!A:AI,23,FALSE)</f>
        <v>116</v>
      </c>
      <c r="O17" s="10">
        <f>=SUM(BC17:BM17)+SUM(BO17:BP17)</f>
        <v>0</v>
      </c>
      <c r="P17" s="10" t="s">
        <f>=VLOOKUP(A17,绩效计算表!A:AI,30,FALSE)</f>
        <v>116</v>
      </c>
      <c r="Q17" s="152">
        <f>=I17+K17+M17+O17</f>
        <v>1</v>
      </c>
      <c r="R17" s="170" t="s">
        <v>508</v>
      </c>
      <c r="S17" s="155" t="s"/>
      <c r="T17" s="155" t="s">
        <v>512</v>
      </c>
      <c r="U17" s="155" t="s"/>
      <c r="V17" s="155" t="s">
        <v>108</v>
      </c>
      <c r="W17" s="169" t="s">
        <v>510</v>
      </c>
      <c r="X17" s="157" t="s"/>
      <c r="Y17" s="158" t="s"/>
      <c r="Z17" s="158" t="s"/>
      <c r="AA17" s="158" t="s"/>
      <c r="AB17" s="158" t="s"/>
      <c r="AC17" s="158">
        <v>1</v>
      </c>
      <c r="AD17" s="159" t="s"/>
      <c r="AE17" s="171">
        <f>=SUM(X17:AD17)/6</f>
        <v>0.166666666666667</v>
      </c>
      <c r="AF17" s="159" t="s"/>
      <c r="AG17" s="161" t="s"/>
      <c r="AL17" s="162" t="s"/>
      <c r="AM17" s="162" t="s"/>
      <c r="AN17" s="162" t="s"/>
      <c r="AO17" s="162" t="s"/>
      <c r="AP17" s="160">
        <f>=SUM(AF17:AO17)/7.5</f>
        <v>0</v>
      </c>
      <c r="BB17" s="160">
        <f>=SUM(AQ17:BA17)/7.5</f>
        <v>0</v>
      </c>
      <c r="BC17" s="163" t="s"/>
      <c r="BD17" s="163" t="s"/>
      <c r="BE17" s="163" t="s"/>
      <c r="BF17" s="163" t="s"/>
      <c r="BG17" s="163" t="s"/>
      <c r="BH17" s="163" t="s"/>
      <c r="BI17" s="164" t="s"/>
      <c r="BJ17" s="163" t="s"/>
      <c r="BK17" s="164" t="s"/>
      <c r="BL17" s="163" t="s"/>
      <c r="BM17" s="163" t="s"/>
      <c r="BN17" s="166">
        <f>=SUM(BC17:BM17)/9</f>
        <v>0</v>
      </c>
      <c r="BO17" s="163" t="s"/>
      <c r="BP17" s="163" t="s"/>
    </row>
    <row r="18" spans="1:68" ht="13.5" hidden="true">
      <c r="A18" s="10">
        <v>40226</v>
      </c>
      <c r="B18" s="10" t="s">
        <v>263</v>
      </c>
      <c r="C18" s="10" t="s">
        <v>31</v>
      </c>
      <c r="D18" s="10" t="s">
        <v>32</v>
      </c>
      <c r="E18" s="10" t="s">
        <v>33</v>
      </c>
      <c r="F18" s="10" t="s"/>
      <c r="G18" s="10" t="s">
        <v>44</v>
      </c>
      <c r="H18" s="11">
        <v>43934</v>
      </c>
      <c r="I18" s="10">
        <f>=SUM(X18:AD18)</f>
        <v>0</v>
      </c>
      <c r="J18" s="167" t="e">
        <f>=VLOOKUP(A18,绩效计算表!A:AI,9,FALSE)</f>
        <v>#N/A</v>
      </c>
      <c r="K18" s="10">
        <f>=SUM(AF18:AO18)</f>
        <v>0</v>
      </c>
      <c r="L18" s="167" t="e">
        <f>=VLOOKUP(A18,绩效计算表!A:AI,15,FALSE)</f>
        <v>#N/A</v>
      </c>
      <c r="M18" s="10">
        <f>=SUM(AQ18:BA18)</f>
        <v>0</v>
      </c>
      <c r="N18" s="167" t="e">
        <f>=VLOOKUP(A18,绩效计算表!A:AI,23,FALSE)</f>
        <v>#N/A</v>
      </c>
      <c r="O18" s="10">
        <f>=SUM(BC18:BM18)+SUM(BO18:BP18)</f>
        <v>0</v>
      </c>
      <c r="P18" s="10" t="e">
        <f>=VLOOKUP(A18,绩效计算表!A:AI,30,FALSE)</f>
        <v>#N/A</v>
      </c>
      <c r="Q18" s="152">
        <f>=I18+K18+M18+O18</f>
        <v>0</v>
      </c>
      <c r="R18" s="156" t="s"/>
      <c r="S18" s="155" t="s"/>
      <c r="T18" s="155" t="s"/>
      <c r="U18" s="155" t="s"/>
      <c r="V18" s="155" t="s"/>
      <c r="W18" s="156" t="s"/>
      <c r="X18" s="157" t="s"/>
      <c r="Y18" s="158" t="s"/>
      <c r="Z18" s="158" t="s"/>
      <c r="AA18" s="158" t="s"/>
      <c r="AB18" s="158" t="s"/>
      <c r="AC18" s="158" t="s"/>
      <c r="AD18" s="159" t="s"/>
      <c r="AE18" s="171">
        <f>=SUM(X18:AD18)/6</f>
        <v>0</v>
      </c>
      <c r="AF18" s="159" t="s"/>
      <c r="AG18" s="161" t="s"/>
      <c r="AL18" s="162" t="s"/>
      <c r="AM18" s="162" t="s"/>
      <c r="AN18" s="162" t="s"/>
      <c r="AO18" s="162" t="s"/>
      <c r="AP18" s="160">
        <f>=SUM(AF18:AO18)/7.5</f>
        <v>0</v>
      </c>
      <c r="BB18" s="160">
        <f>=SUM(AQ18:BA18)/7.5</f>
        <v>0</v>
      </c>
      <c r="BC18" s="163" t="s"/>
      <c r="BD18" s="163" t="s"/>
      <c r="BE18" s="163" t="s"/>
      <c r="BF18" s="163" t="s"/>
      <c r="BG18" s="163" t="s"/>
      <c r="BH18" s="163" t="s"/>
      <c r="BI18" s="164" t="s"/>
      <c r="BJ18" s="163" t="s"/>
      <c r="BK18" s="164" t="s"/>
      <c r="BL18" s="163" t="s"/>
      <c r="BM18" s="163" t="s"/>
      <c r="BN18" s="166">
        <f>=SUM(BC18:BM18)/9</f>
        <v>0</v>
      </c>
      <c r="BO18" s="163" t="s"/>
      <c r="BP18" s="163" t="s"/>
    </row>
    <row r="19" spans="1:68" ht="13.5">
      <c r="A19" s="10">
        <v>23418</v>
      </c>
      <c r="B19" s="10" t="s">
        <v>163</v>
      </c>
      <c r="C19" s="10" t="s">
        <v>31</v>
      </c>
      <c r="D19" s="10" t="s">
        <v>32</v>
      </c>
      <c r="E19" s="10" t="s">
        <v>33</v>
      </c>
      <c r="F19" s="10" t="s">
        <v>267</v>
      </c>
      <c r="G19" s="10" t="s">
        <v>44</v>
      </c>
      <c r="H19" s="11">
        <v>45362</v>
      </c>
      <c r="I19" s="10">
        <f>=SUM(X19:AD19)</f>
        <v>2.5</v>
      </c>
      <c r="J19" s="167" t="s">
        <f>=VLOOKUP(A19,绩效计算表!A:AI,9,FALSE)</f>
        <v>108</v>
      </c>
      <c r="K19" s="10">
        <f>=SUM(AF19:AO19)</f>
        <v>4.5</v>
      </c>
      <c r="L19" s="167" t="s">
        <f>=VLOOKUP(A19,绩效计算表!A:AI,15,FALSE)</f>
        <v>108</v>
      </c>
      <c r="M19" s="10">
        <f>=SUM(AQ19:BA19)</f>
        <v>1.5</v>
      </c>
      <c r="N19" s="167" t="s">
        <f>=VLOOKUP(A19,绩效计算表!A:AI,23,FALSE)</f>
        <v>108</v>
      </c>
      <c r="O19" s="10">
        <f>=SUM(BC19:BM19)+SUM(BO19:BP19)</f>
        <v>0</v>
      </c>
      <c r="P19" s="10" t="s">
        <f>=VLOOKUP(A19,绩效计算表!A:AI,30,FALSE)</f>
        <v>116</v>
      </c>
      <c r="Q19" s="152">
        <f>=I19+K19+M19+O19</f>
        <v>8.5</v>
      </c>
      <c r="R19" s="156" t="s">
        <v>505</v>
      </c>
      <c r="S19" s="155" t="s"/>
      <c r="T19" s="155" t="s">
        <v>509</v>
      </c>
      <c r="U19" s="155" t="s"/>
      <c r="V19" s="155" t="s">
        <v>108</v>
      </c>
      <c r="W19" s="169" t="s">
        <v>510</v>
      </c>
      <c r="X19" s="157" t="s"/>
      <c r="Y19" s="158">
        <v>1</v>
      </c>
      <c r="Z19" s="158">
        <v>0.5</v>
      </c>
      <c r="AA19" s="158" t="s"/>
      <c r="AB19" s="158" t="s"/>
      <c r="AC19" s="158" t="s"/>
      <c r="AD19" s="159">
        <v>1</v>
      </c>
      <c r="AE19" s="160">
        <f>=SUM(X19:AD19)/6</f>
        <v>0.416666666666667</v>
      </c>
      <c r="AF19" s="159">
        <v>0.5</v>
      </c>
      <c r="AG19" s="161">
        <v>1</v>
      </c>
      <c r="AI19" s="158">
        <v>1</v>
      </c>
      <c r="AJ19" s="158">
        <v>1</v>
      </c>
      <c r="AL19" s="162" t="s"/>
      <c r="AM19" s="162">
        <v>1</v>
      </c>
      <c r="AN19" s="162" t="s"/>
      <c r="AO19" s="162" t="s"/>
      <c r="AP19" s="160">
        <f>=SUM(AF19:AO19)/7.5</f>
        <v>0.6</v>
      </c>
      <c r="AT19" s="158">
        <v>0.5</v>
      </c>
      <c r="AV19" s="158">
        <v>0.5</v>
      </c>
      <c r="BA19" s="158">
        <v>0.5</v>
      </c>
      <c r="BB19" s="160">
        <f>=SUM(AQ19:BA19)/7.5</f>
        <v>0.2</v>
      </c>
      <c r="BC19" s="163" t="s"/>
      <c r="BD19" s="163" t="s"/>
      <c r="BE19" s="163" t="s"/>
      <c r="BF19" s="163" t="s"/>
      <c r="BG19" s="163" t="s"/>
      <c r="BH19" s="163" t="s"/>
      <c r="BI19" s="164" t="s"/>
      <c r="BJ19" s="163" t="s"/>
      <c r="BK19" s="164" t="s"/>
      <c r="BL19" s="163" t="s"/>
      <c r="BM19" s="163" t="s"/>
      <c r="BN19" s="166">
        <f>=SUM(BC19:BM19)/9</f>
        <v>0</v>
      </c>
      <c r="BO19" s="163" t="s"/>
      <c r="BP19" s="163" t="s"/>
    </row>
    <row r="20" spans="1:68" ht="13.5">
      <c r="A20" s="10">
        <v>92042</v>
      </c>
      <c r="B20" s="10" t="s">
        <v>212</v>
      </c>
      <c r="C20" s="10" t="s">
        <v>31</v>
      </c>
      <c r="D20" s="10" t="s">
        <v>32</v>
      </c>
      <c r="E20" s="10" t="s">
        <v>33</v>
      </c>
      <c r="F20" s="10" t="s">
        <v>267</v>
      </c>
      <c r="G20" s="10" t="s">
        <v>44</v>
      </c>
      <c r="H20" s="11">
        <v>43077</v>
      </c>
      <c r="I20" s="10">
        <f>=SUM(X20:AD20)</f>
        <v>0</v>
      </c>
      <c r="J20" s="167" t="s">
        <f>=VLOOKUP(A20,绩效计算表!A:AI,9,FALSE)</f>
        <v>116</v>
      </c>
      <c r="K20" s="10">
        <f>=SUM(AF20:AO20)</f>
        <v>4</v>
      </c>
      <c r="L20" s="167" t="s">
        <f>=VLOOKUP(A20,绩效计算表!A:AI,15,FALSE)</f>
        <v>116</v>
      </c>
      <c r="M20" s="10">
        <f>=SUM(AQ20:BA20)</f>
        <v>1.5</v>
      </c>
      <c r="N20" s="167" t="s">
        <f>=VLOOKUP(A20,绩效计算表!A:AI,23,FALSE)</f>
        <v>116</v>
      </c>
      <c r="O20" s="10">
        <f>=SUM(BC20:BM20)+SUM(BO20:BP20)</f>
        <v>3.5</v>
      </c>
      <c r="P20" s="10" t="s">
        <f>=VLOOKUP(A20,绩效计算表!A:AI,30,FALSE)</f>
        <v>116</v>
      </c>
      <c r="Q20" s="152">
        <f>=I20+K20+M20+O20</f>
        <v>9</v>
      </c>
      <c r="R20" s="156" t="s">
        <v>505</v>
      </c>
      <c r="S20" s="155" t="s"/>
      <c r="T20" s="155" t="s">
        <v>519</v>
      </c>
      <c r="U20" s="155" t="s"/>
      <c r="V20" s="155" t="s">
        <v>116</v>
      </c>
      <c r="W20" s="156" t="s">
        <v>520</v>
      </c>
      <c r="X20" s="157" t="s"/>
      <c r="Y20" s="158" t="s"/>
      <c r="Z20" s="158" t="s"/>
      <c r="AA20" s="158" t="s"/>
      <c r="AB20" s="158" t="s"/>
      <c r="AC20" s="158" t="s"/>
      <c r="AD20" s="172" t="s"/>
      <c r="AE20" s="171">
        <f>=SUM(X20:AD20)/6</f>
        <v>0</v>
      </c>
      <c r="AF20" s="172" t="s"/>
      <c r="AG20" s="161">
        <v>1</v>
      </c>
      <c r="AI20" s="158">
        <v>1</v>
      </c>
      <c r="AJ20" s="158">
        <v>1</v>
      </c>
      <c r="AL20" s="162" t="s"/>
      <c r="AM20" s="162">
        <v>1</v>
      </c>
      <c r="AN20" s="162" t="s"/>
      <c r="AO20" s="162" t="s"/>
      <c r="AP20" s="160">
        <f>=SUM(AF20:AO20)/7.5</f>
        <v>0.533333333333333</v>
      </c>
      <c r="AT20" s="158">
        <v>0.5</v>
      </c>
      <c r="AX20" s="158">
        <v>1</v>
      </c>
      <c r="BB20" s="160">
        <f>=SUM(AQ20:BA20)/7.5</f>
        <v>0.2</v>
      </c>
      <c r="BC20" s="163" t="s"/>
      <c r="BD20" s="163" t="s"/>
      <c r="BE20" s="163" t="s"/>
      <c r="BF20" s="163" t="s"/>
      <c r="BG20" s="163" t="s"/>
      <c r="BH20" s="163">
        <v>1</v>
      </c>
      <c r="BI20" s="164" t="s"/>
      <c r="BJ20" s="163">
        <v>0.5</v>
      </c>
      <c r="BK20" s="164" t="s"/>
      <c r="BL20" s="165">
        <v>1</v>
      </c>
      <c r="BM20" s="163">
        <v>1</v>
      </c>
      <c r="BN20" s="166">
        <f>=SUM(BC20:BM20)/9</f>
        <v>0.388888888888889</v>
      </c>
      <c r="BO20" s="163" t="s"/>
      <c r="BP20" s="163" t="s"/>
    </row>
    <row r="21" spans="1:68" ht="13.5">
      <c r="A21" s="10">
        <v>91418</v>
      </c>
      <c r="B21" s="10" t="s">
        <v>200</v>
      </c>
      <c r="C21" s="10" t="s">
        <v>31</v>
      </c>
      <c r="D21" s="10" t="s">
        <v>32</v>
      </c>
      <c r="E21" s="10" t="s">
        <v>33</v>
      </c>
      <c r="F21" s="10" t="s"/>
      <c r="G21" s="10" t="s">
        <v>44</v>
      </c>
      <c r="H21" s="11">
        <v>44984</v>
      </c>
      <c r="I21" s="10">
        <f>=SUM(X21:AD21)</f>
        <v>2.5</v>
      </c>
      <c r="J21" s="167" t="s">
        <f>=VLOOKUP(A21,绩效计算表!A:AI,9,FALSE)</f>
        <v>101</v>
      </c>
      <c r="K21" s="10">
        <f>=SUM(AF21:AO21)</f>
        <v>3.5</v>
      </c>
      <c r="L21" s="167" t="s">
        <f>=VLOOKUP(A21,绩效计算表!A:AI,15,FALSE)</f>
        <v>108</v>
      </c>
      <c r="M21" s="10">
        <f>=SUM(AQ21:BA21)</f>
        <v>1</v>
      </c>
      <c r="N21" s="167" t="s">
        <f>=VLOOKUP(A21,绩效计算表!A:AI,23,FALSE)</f>
        <v>101</v>
      </c>
      <c r="O21" s="10">
        <f>=SUM(BC21:BM21)+SUM(BO21:BP21)</f>
        <v>2.5</v>
      </c>
      <c r="P21" s="10" t="s">
        <f>=VLOOKUP(A21,绩效计算表!A:AI,30,FALSE)</f>
        <v>101</v>
      </c>
      <c r="Q21" s="152">
        <f>=I21+K21+M21+O21</f>
        <v>9.5</v>
      </c>
      <c r="R21" s="170" t="s">
        <v>508</v>
      </c>
      <c r="S21" s="155" t="s"/>
      <c r="T21" s="155" t="s">
        <v>509</v>
      </c>
      <c r="U21" s="155" t="s"/>
      <c r="V21" s="155" t="s">
        <v>108</v>
      </c>
      <c r="W21" s="156" t="s">
        <v>521</v>
      </c>
      <c r="X21" s="157">
        <v>0.5</v>
      </c>
      <c r="Y21" s="158">
        <v>1</v>
      </c>
      <c r="Z21" s="158">
        <v>0.5</v>
      </c>
      <c r="AA21" s="158" t="s"/>
      <c r="AB21" s="158" t="s"/>
      <c r="AC21" s="158">
        <v>0.5</v>
      </c>
      <c r="AD21" s="159" t="s"/>
      <c r="AE21" s="160">
        <f>=SUM(X21:AD21)/6</f>
        <v>0.416666666666667</v>
      </c>
      <c r="AF21" s="159">
        <v>0.5</v>
      </c>
      <c r="AG21" s="161" t="s"/>
      <c r="AI21" s="158">
        <v>1</v>
      </c>
      <c r="AJ21" s="158">
        <v>0.5</v>
      </c>
      <c r="AL21" s="162" t="s"/>
      <c r="AM21" s="162">
        <v>1</v>
      </c>
      <c r="AN21" s="162" t="s"/>
      <c r="AO21" s="162">
        <v>0.5</v>
      </c>
      <c r="AP21" s="160">
        <f>=SUM(AF21:AO21)/7.5</f>
        <v>0.466666666666667</v>
      </c>
      <c r="AV21" s="158">
        <v>0.5</v>
      </c>
      <c r="AY21" s="158">
        <v>0.5</v>
      </c>
      <c r="BB21" s="160">
        <f>=SUM(AQ21:BA21)/7.5</f>
        <v>0.133333333333333</v>
      </c>
      <c r="BC21" s="163">
        <v>0.5</v>
      </c>
      <c r="BD21" s="163" t="s"/>
      <c r="BE21" s="163" t="s"/>
      <c r="BF21" s="163" t="s"/>
      <c r="BG21" s="163" t="s"/>
      <c r="BH21" s="163">
        <v>1</v>
      </c>
      <c r="BI21" s="164" t="s"/>
      <c r="BJ21" s="163" t="s"/>
      <c r="BK21" s="164" t="s"/>
      <c r="BL21" s="165">
        <v>1</v>
      </c>
      <c r="BM21" s="163" t="s"/>
      <c r="BN21" s="166">
        <f>=SUM(BC21:BM21)/9</f>
        <v>0.277777777777778</v>
      </c>
      <c r="BO21" s="163" t="s"/>
      <c r="BP21" s="163" t="s"/>
    </row>
    <row r="22" spans="1:68" ht="13.5">
      <c r="A22" s="10">
        <v>96208</v>
      </c>
      <c r="B22" s="10" t="s">
        <v>206</v>
      </c>
      <c r="C22" s="10" t="s">
        <v>31</v>
      </c>
      <c r="D22" s="10" t="s">
        <v>32</v>
      </c>
      <c r="E22" s="10" t="s">
        <v>33</v>
      </c>
      <c r="F22" s="10" t="s"/>
      <c r="G22" s="10" t="s">
        <v>44</v>
      </c>
      <c r="H22" s="11">
        <v>42191</v>
      </c>
      <c r="I22" s="10">
        <f>=SUM(X22:AD22)</f>
        <v>2</v>
      </c>
      <c r="J22" s="167" t="s">
        <f>=VLOOKUP(A22,绩效计算表!A:AI,9,FALSE)</f>
        <v>116</v>
      </c>
      <c r="K22" s="10">
        <f>=SUM(AF22:AO22)</f>
        <v>0</v>
      </c>
      <c r="L22" s="167" t="s">
        <f>=VLOOKUP(A22,绩效计算表!A:AI,15,FALSE)</f>
        <v>108</v>
      </c>
      <c r="M22" s="10">
        <f>=SUM(AQ22:BA22)</f>
        <v>0</v>
      </c>
      <c r="N22" s="167" t="s">
        <f>=VLOOKUP(A22,绩效计算表!A:AI,23,FALSE)</f>
        <v>108</v>
      </c>
      <c r="O22" s="10">
        <f>=SUM(BC22:BM22)+SUM(BO22:BP22)</f>
        <v>0.25</v>
      </c>
      <c r="P22" s="10" t="s">
        <f>=VLOOKUP(A22,绩效计算表!A:AI,30,FALSE)</f>
        <v>108</v>
      </c>
      <c r="Q22" s="152">
        <f>=I22+K22+M22+O22</f>
        <v>2.25</v>
      </c>
      <c r="R22" s="170" t="s">
        <v>515</v>
      </c>
      <c r="S22" s="155" t="s"/>
      <c r="T22" s="155" t="s">
        <v>501</v>
      </c>
      <c r="U22" s="155" t="s"/>
      <c r="V22" s="155" t="s">
        <v>108</v>
      </c>
      <c r="W22" s="169" t="s">
        <v>522</v>
      </c>
      <c r="X22" s="157" t="s"/>
      <c r="Y22" s="158">
        <v>0.5</v>
      </c>
      <c r="Z22" s="158" t="s"/>
      <c r="AA22" s="158" t="s"/>
      <c r="AB22" s="158">
        <v>1</v>
      </c>
      <c r="AC22" s="158" t="s"/>
      <c r="AD22" s="159">
        <v>0.5</v>
      </c>
      <c r="AE22" s="171">
        <f>=SUM(X22:AD22)/6</f>
        <v>0.333333333333333</v>
      </c>
      <c r="AF22" s="159" t="s"/>
      <c r="AG22" s="161" t="s"/>
      <c r="AL22" s="162" t="s"/>
      <c r="AM22" s="162" t="s"/>
      <c r="AN22" s="162" t="s"/>
      <c r="AO22" s="162" t="s"/>
      <c r="AP22" s="160">
        <f>=SUM(AF22:AO22)/7.5</f>
        <v>0</v>
      </c>
      <c r="BB22" s="160">
        <f>=SUM(AQ22:BA22)/7.5</f>
        <v>0</v>
      </c>
      <c r="BC22" s="163">
        <v>0.25</v>
      </c>
      <c r="BD22" s="163" t="s"/>
      <c r="BE22" s="163" t="s"/>
      <c r="BF22" s="163" t="s"/>
      <c r="BG22" s="163" t="s"/>
      <c r="BH22" s="163" t="s"/>
      <c r="BI22" s="164" t="s"/>
      <c r="BJ22" s="163" t="s"/>
      <c r="BK22" s="164" t="s"/>
      <c r="BL22" s="163" t="s"/>
      <c r="BM22" s="163" t="s"/>
      <c r="BN22" s="166">
        <f>=SUM(BC22:BM22)/9</f>
        <v>0.0277777777777778</v>
      </c>
      <c r="BO22" s="163" t="s"/>
      <c r="BP22" s="163" t="s"/>
    </row>
    <row r="23" spans="1:68" ht="13.5">
      <c r="A23" s="10">
        <v>53558</v>
      </c>
      <c r="B23" s="10" t="s">
        <v>209</v>
      </c>
      <c r="C23" s="10" t="s">
        <v>31</v>
      </c>
      <c r="D23" s="10" t="s">
        <v>32</v>
      </c>
      <c r="E23" s="10" t="s">
        <v>33</v>
      </c>
      <c r="F23" s="10" t="s"/>
      <c r="G23" s="10" t="s">
        <v>44</v>
      </c>
      <c r="H23" s="11">
        <v>42919</v>
      </c>
      <c r="I23" s="10">
        <f>=SUM(X23:AD23)</f>
        <v>0</v>
      </c>
      <c r="J23" s="167" t="s">
        <f>=VLOOKUP(A23,绩效计算表!A:AI,9,FALSE)</f>
        <v>116</v>
      </c>
      <c r="K23" s="10">
        <f>=SUM(AF23:AO23)</f>
        <v>0</v>
      </c>
      <c r="L23" s="167" t="s">
        <f>=VLOOKUP(A23,绩效计算表!A:AI,15,FALSE)</f>
        <v>108</v>
      </c>
      <c r="M23" s="10">
        <f>=SUM(AQ23:BA23)</f>
        <v>0</v>
      </c>
      <c r="N23" s="167" t="s">
        <f>=VLOOKUP(A23,绩效计算表!A:AI,23,FALSE)</f>
        <v>116</v>
      </c>
      <c r="O23" s="10">
        <f>=SUM(BC23:BM23)+SUM(BO23:BP23)</f>
        <v>0.5</v>
      </c>
      <c r="P23" s="10" t="s">
        <f>=VLOOKUP(A23,绩效计算表!A:AI,30,FALSE)</f>
        <v>116</v>
      </c>
      <c r="Q23" s="152">
        <f>=I23+K23+M23+O23</f>
        <v>0.5</v>
      </c>
      <c r="R23" s="170" t="s">
        <v>523</v>
      </c>
      <c r="S23" s="155" t="s"/>
      <c r="T23" s="155" t="s">
        <v>512</v>
      </c>
      <c r="U23" s="155" t="s"/>
      <c r="V23" s="155" t="s">
        <v>116</v>
      </c>
      <c r="W23" s="156" t="s">
        <v>524</v>
      </c>
      <c r="X23" s="157" t="s"/>
      <c r="Y23" s="158" t="s"/>
      <c r="Z23" s="158" t="s"/>
      <c r="AA23" s="158" t="s"/>
      <c r="AB23" s="158" t="s"/>
      <c r="AC23" s="158" t="s"/>
      <c r="AD23" s="159" t="s"/>
      <c r="AE23" s="171">
        <f>=SUM(X23:AD23)/6</f>
        <v>0</v>
      </c>
      <c r="AF23" s="159" t="s"/>
      <c r="AG23" s="161" t="s"/>
      <c r="AL23" s="162" t="s"/>
      <c r="AM23" s="162" t="s"/>
      <c r="AN23" s="162" t="s"/>
      <c r="AO23" s="162" t="s"/>
      <c r="AP23" s="160">
        <f>=SUM(AF23:AO23)/7.5</f>
        <v>0</v>
      </c>
      <c r="BB23" s="160">
        <f>=SUM(AQ23:BA23)/7.5</f>
        <v>0</v>
      </c>
      <c r="BC23" s="163" t="s"/>
      <c r="BD23" s="163" t="s"/>
      <c r="BE23" s="163" t="s"/>
      <c r="BF23" s="163" t="s"/>
      <c r="BG23" s="163" t="s"/>
      <c r="BH23" s="163" t="s"/>
      <c r="BI23" s="164" t="s"/>
      <c r="BJ23" s="163">
        <v>0.5</v>
      </c>
      <c r="BK23" s="164" t="s"/>
      <c r="BL23" s="163" t="s"/>
      <c r="BM23" s="163" t="s"/>
      <c r="BN23" s="166">
        <f>=SUM(BC23:BM23)/9</f>
        <v>0.0555555555555556</v>
      </c>
      <c r="BO23" s="163" t="s"/>
      <c r="BP23" s="163" t="s"/>
    </row>
    <row r="24" spans="1:68" ht="13.5">
      <c r="A24" s="10">
        <v>19083</v>
      </c>
      <c r="B24" s="10" t="s">
        <v>181</v>
      </c>
      <c r="C24" s="10" t="s">
        <v>31</v>
      </c>
      <c r="D24" s="10" t="s">
        <v>32</v>
      </c>
      <c r="E24" s="10" t="s">
        <v>33</v>
      </c>
      <c r="F24" s="10" t="s"/>
      <c r="G24" s="10" t="s">
        <v>44</v>
      </c>
      <c r="H24" s="11">
        <v>44193</v>
      </c>
      <c r="I24" s="10">
        <f>=SUM(X24:AD24)</f>
        <v>2</v>
      </c>
      <c r="J24" s="167" t="s">
        <f>=VLOOKUP(A24,绩效计算表!A:AI,9,FALSE)</f>
        <v>116</v>
      </c>
      <c r="K24" s="10">
        <f>=SUM(AF24:AO24)</f>
        <v>1</v>
      </c>
      <c r="L24" s="167" t="s">
        <f>=VLOOKUP(A24,绩效计算表!A:AI,15,FALSE)</f>
        <v>116</v>
      </c>
      <c r="M24" s="10">
        <f>=SUM(AQ24:BA24)</f>
        <v>0.5</v>
      </c>
      <c r="N24" s="167" t="s">
        <f>=VLOOKUP(A24,绩效计算表!A:AI,23,FALSE)</f>
        <v>116</v>
      </c>
      <c r="O24" s="10">
        <f>=SUM(BC24:BM24)+SUM(BO24:BP24)</f>
        <v>0</v>
      </c>
      <c r="P24" s="10" t="s">
        <f>=VLOOKUP(A24,绩效计算表!A:AI,30,FALSE)</f>
        <v>116</v>
      </c>
      <c r="Q24" s="152">
        <f>=I24+K24+M24+O24</f>
        <v>3.5</v>
      </c>
      <c r="R24" s="156" t="s">
        <v>771</v>
      </c>
      <c r="S24" s="155" t="s"/>
      <c r="T24" s="155" t="s">
        <v>512</v>
      </c>
      <c r="U24" s="155" t="s">
        <v>525</v>
      </c>
      <c r="V24" s="155" t="s">
        <v>116</v>
      </c>
      <c r="W24" s="156" t="s">
        <v>526</v>
      </c>
      <c r="X24" s="157" t="s"/>
      <c r="Y24" s="158" t="s"/>
      <c r="Z24" s="158">
        <v>0.5</v>
      </c>
      <c r="AA24" s="158">
        <v>1</v>
      </c>
      <c r="AB24" s="158" t="s"/>
      <c r="AC24" s="158">
        <v>0.5</v>
      </c>
      <c r="AD24" s="159" t="s"/>
      <c r="AE24" s="171">
        <f>=SUM(X24:AD24)/6</f>
        <v>0.333333333333333</v>
      </c>
      <c r="AF24" s="159" t="s"/>
      <c r="AG24" s="161" t="s"/>
      <c r="AL24" s="162" t="s"/>
      <c r="AM24" s="162">
        <v>1</v>
      </c>
      <c r="AN24" s="162" t="s"/>
      <c r="AO24" s="162" t="s"/>
      <c r="AP24" s="160">
        <f>=SUM(AF24:AO24)/7.5</f>
        <v>0.133333333333333</v>
      </c>
      <c r="AR24" s="158">
        <v>0.5</v>
      </c>
      <c r="BB24" s="160">
        <f>=SUM(AQ24:BA24)/7.5</f>
        <v>0.0666666666666667</v>
      </c>
      <c r="BC24" s="163" t="s"/>
      <c r="BD24" s="163" t="s"/>
      <c r="BE24" s="163" t="s"/>
      <c r="BF24" s="163" t="s"/>
      <c r="BG24" s="163" t="s"/>
      <c r="BH24" s="163" t="s"/>
      <c r="BI24" s="164" t="s"/>
      <c r="BJ24" s="163" t="s"/>
      <c r="BK24" s="164" t="s"/>
      <c r="BL24" s="163" t="s"/>
      <c r="BM24" s="163" t="s"/>
      <c r="BN24" s="166">
        <f>=SUM(BC24:BM24)/9</f>
        <v>0</v>
      </c>
      <c r="BO24" s="163" t="s"/>
      <c r="BP24" s="163" t="s"/>
    </row>
    <row r="25" spans="1:68" ht="13.5">
      <c r="A25" s="10">
        <v>17795</v>
      </c>
      <c r="B25" s="168" t="s">
        <v>189</v>
      </c>
      <c r="C25" s="10" t="s">
        <v>31</v>
      </c>
      <c r="D25" s="10" t="s">
        <v>32</v>
      </c>
      <c r="E25" s="10" t="s">
        <v>33</v>
      </c>
      <c r="F25" s="10" t="s"/>
      <c r="G25" s="10" t="s">
        <v>44</v>
      </c>
      <c r="H25" s="11">
        <v>43245</v>
      </c>
      <c r="I25" s="10">
        <f>=SUM(X25:AD25)</f>
        <v>1</v>
      </c>
      <c r="J25" s="167" t="s">
        <f>=VLOOKUP(A25,绩效计算表!A:AI,9,FALSE)</f>
        <v>116</v>
      </c>
      <c r="K25" s="10">
        <f>=SUM(AF25:AO25)</f>
        <v>2</v>
      </c>
      <c r="L25" s="167" t="s">
        <f>=VLOOKUP(A25,绩效计算表!A:AI,15,FALSE)</f>
        <v>116</v>
      </c>
      <c r="M25" s="10">
        <f>=SUM(AQ25:BA25)</f>
        <v>4.5</v>
      </c>
      <c r="N25" s="167" t="s">
        <f>=VLOOKUP(A25,绩效计算表!A:AI,23,FALSE)</f>
        <v>108</v>
      </c>
      <c r="O25" s="10">
        <f>=SUM(BC25:BM25)+SUM(BO25:BP25)</f>
        <v>4</v>
      </c>
      <c r="P25" s="10" t="s">
        <f>=VLOOKUP(A25,绩效计算表!A:AI,30,FALSE)</f>
        <v>108</v>
      </c>
      <c r="Q25" s="152">
        <f>=I25+K25+M25+O25</f>
        <v>11.5</v>
      </c>
      <c r="R25" s="156" t="s">
        <v>772</v>
      </c>
      <c r="S25" s="155" t="s"/>
      <c r="T25" s="155" t="s">
        <v>512</v>
      </c>
      <c r="U25" s="155" t="s">
        <v>527</v>
      </c>
      <c r="V25" s="155" t="s">
        <v>116</v>
      </c>
      <c r="W25" s="156" t="s">
        <v>524</v>
      </c>
      <c r="X25" s="157" t="s"/>
      <c r="Y25" s="158" t="s"/>
      <c r="Z25" s="158" t="s"/>
      <c r="AA25" s="158" t="s"/>
      <c r="AB25" s="158" t="s"/>
      <c r="AC25" s="158" t="s"/>
      <c r="AD25" s="172">
        <v>1</v>
      </c>
      <c r="AE25" s="171">
        <f>=SUM(X25:AD25)/6</f>
        <v>0.166666666666667</v>
      </c>
      <c r="AF25" s="172" t="s"/>
      <c r="AG25" s="173" t="s"/>
      <c r="AI25" s="158">
        <v>1</v>
      </c>
      <c r="AJ25" s="158">
        <v>1</v>
      </c>
      <c r="AL25" s="162" t="s"/>
      <c r="AM25" s="162" t="s"/>
      <c r="AN25" s="162" t="s"/>
      <c r="AO25" s="162" t="s"/>
      <c r="AP25" s="160">
        <f>=SUM(AF25:AO25)/7.5</f>
        <v>0.266666666666667</v>
      </c>
      <c r="AS25" s="158">
        <v>1</v>
      </c>
      <c r="AT25" s="158">
        <v>0.5</v>
      </c>
      <c r="AU25" s="158">
        <v>1</v>
      </c>
      <c r="AW25" s="158">
        <v>0.5</v>
      </c>
      <c r="AY25" s="158">
        <v>0.5</v>
      </c>
      <c r="AZ25" s="158">
        <v>1</v>
      </c>
      <c r="BB25" s="160">
        <f>=SUM(AQ25:BA25)/7.5</f>
        <v>0.6</v>
      </c>
      <c r="BC25" s="163" t="s"/>
      <c r="BD25" s="163" t="s"/>
      <c r="BE25" s="163" t="s"/>
      <c r="BF25" s="163" t="s"/>
      <c r="BG25" s="163">
        <v>1</v>
      </c>
      <c r="BH25" s="163">
        <v>1</v>
      </c>
      <c r="BI25" s="164" t="s"/>
      <c r="BJ25" s="163" t="s"/>
      <c r="BK25" s="164">
        <v>1</v>
      </c>
      <c r="BL25" s="163" t="s"/>
      <c r="BM25" s="163">
        <v>1</v>
      </c>
      <c r="BN25" s="166">
        <f>=SUM(BC25:BM25)/9</f>
        <v>0.444444444444445</v>
      </c>
      <c r="BO25" s="163" t="s"/>
      <c r="BP25" s="163" t="s"/>
    </row>
    <row r="26" spans="1:68" ht="13.5" hidden="true">
      <c r="A26" s="10">
        <v>40624</v>
      </c>
      <c r="B26" s="10" t="s">
        <v>56</v>
      </c>
      <c r="C26" s="10" t="s">
        <v>31</v>
      </c>
      <c r="D26" s="10" t="s">
        <v>32</v>
      </c>
      <c r="E26" s="10" t="s">
        <v>33</v>
      </c>
      <c r="F26" s="10" t="s"/>
      <c r="G26" s="10" t="s">
        <v>44</v>
      </c>
      <c r="H26" s="11">
        <v>44746</v>
      </c>
      <c r="I26" s="10">
        <f>=SUM(X26:AD26)</f>
        <v>0</v>
      </c>
      <c r="J26" s="167" t="e">
        <f>=VLOOKUP(A26,绩效计算表!A:AI,9,FALSE)</f>
        <v>#N/A</v>
      </c>
      <c r="K26" s="10">
        <f>=SUM(AF26:AO26)</f>
        <v>0</v>
      </c>
      <c r="L26" s="167" t="e">
        <f>=VLOOKUP(A26,绩效计算表!A:AI,15,FALSE)</f>
        <v>#N/A</v>
      </c>
      <c r="M26" s="10">
        <f>=SUM(AQ26:BA26)</f>
        <v>0</v>
      </c>
      <c r="N26" s="167" t="e">
        <f>=VLOOKUP(A26,绩效计算表!A:AI,23,FALSE)</f>
        <v>#N/A</v>
      </c>
      <c r="O26" s="10">
        <f>=SUM(BC26:BM26)+SUM(BO26:BP26)</f>
        <v>0</v>
      </c>
      <c r="P26" s="10" t="e">
        <f>=VLOOKUP(A26,绩效计算表!A:AI,30,FALSE)</f>
        <v>#N/A</v>
      </c>
      <c r="Q26" s="152">
        <f>=I26+K26+M26+O26</f>
        <v>0</v>
      </c>
      <c r="R26" s="170" t="s">
        <v>508</v>
      </c>
      <c r="S26" s="155" t="s"/>
      <c r="T26" s="155" t="s">
        <v>528</v>
      </c>
      <c r="U26" s="155" t="s"/>
      <c r="V26" s="155" t="s">
        <v>116</v>
      </c>
      <c r="W26" s="156" t="s">
        <v>529</v>
      </c>
      <c r="X26" s="157" t="s"/>
      <c r="Y26" s="158" t="s"/>
      <c r="Z26" s="158" t="s"/>
      <c r="AA26" s="158" t="s"/>
      <c r="AB26" s="158" t="s"/>
      <c r="AC26" s="158" t="s"/>
      <c r="AD26" s="159" t="s"/>
      <c r="AE26" s="171">
        <f>=SUM(X26:AD26)/6</f>
        <v>0</v>
      </c>
      <c r="AF26" s="159" t="s"/>
      <c r="AG26" s="161" t="s"/>
      <c r="AL26" s="162" t="s"/>
      <c r="AM26" s="162" t="s"/>
      <c r="AN26" s="162" t="s"/>
      <c r="AO26" s="162" t="s"/>
      <c r="AP26" s="160">
        <f>=SUM(AF26:AO26)/7.5</f>
        <v>0</v>
      </c>
      <c r="BB26" s="160">
        <f>=SUM(AQ26:BA26)/7.5</f>
        <v>0</v>
      </c>
      <c r="BC26" s="163" t="s"/>
      <c r="BD26" s="163" t="s"/>
      <c r="BE26" s="163" t="s"/>
      <c r="BF26" s="163" t="s"/>
      <c r="BG26" s="163" t="s"/>
      <c r="BH26" s="163" t="s"/>
      <c r="BI26" s="164" t="s"/>
      <c r="BJ26" s="163" t="s"/>
      <c r="BK26" s="164" t="s"/>
      <c r="BL26" s="163" t="s"/>
      <c r="BM26" s="163" t="s"/>
      <c r="BN26" s="166">
        <f>=SUM(BC26:BM26)/9</f>
        <v>0</v>
      </c>
      <c r="BO26" s="163" t="s"/>
      <c r="BP26" s="163" t="s"/>
    </row>
    <row r="27" spans="1:68" ht="13.5">
      <c r="A27" s="10">
        <v>52012</v>
      </c>
      <c r="B27" s="10" t="s">
        <v>194</v>
      </c>
      <c r="C27" s="10" t="s">
        <v>31</v>
      </c>
      <c r="D27" s="10" t="s">
        <v>32</v>
      </c>
      <c r="E27" s="10" t="s">
        <v>33</v>
      </c>
      <c r="F27" s="10" t="s"/>
      <c r="G27" s="10" t="s">
        <v>44</v>
      </c>
      <c r="H27" s="11">
        <v>45110</v>
      </c>
      <c r="I27" s="10">
        <f>=SUM(X27:AD27)</f>
        <v>1</v>
      </c>
      <c r="J27" s="167" t="s">
        <f>=VLOOKUP(A27,绩效计算表!A:AI,9,FALSE)</f>
        <v>108</v>
      </c>
      <c r="K27" s="10">
        <f>=SUM(AF27:AO27)</f>
        <v>0</v>
      </c>
      <c r="L27" s="167" t="s">
        <f>=VLOOKUP(A27,绩效计算表!A:AI,15,FALSE)</f>
        <v>116</v>
      </c>
      <c r="M27" s="10">
        <f>=SUM(AQ27:BA27)</f>
        <v>0</v>
      </c>
      <c r="N27" s="167" t="s">
        <f>=VLOOKUP(A27,绩效计算表!A:AI,23,FALSE)</f>
        <v>116</v>
      </c>
      <c r="O27" s="10">
        <f>=SUM(BC27:BM27)+SUM(BO27:BP27)</f>
        <v>1</v>
      </c>
      <c r="P27" s="10" t="s">
        <f>=VLOOKUP(A27,绩效计算表!A:AI,30,FALSE)</f>
        <v>108</v>
      </c>
      <c r="Q27" s="152">
        <f>=I27+K27+M27+O27</f>
        <v>2</v>
      </c>
      <c r="R27" s="170" t="s">
        <v>508</v>
      </c>
      <c r="S27" s="155" t="s"/>
      <c r="T27" s="155" t="s">
        <v>509</v>
      </c>
      <c r="U27" s="155" t="s"/>
      <c r="V27" s="155" t="s">
        <v>108</v>
      </c>
      <c r="W27" s="156" t="s">
        <v>530</v>
      </c>
      <c r="X27" s="157" t="s"/>
      <c r="Y27" s="158" t="s"/>
      <c r="Z27" s="158" t="s"/>
      <c r="AA27" s="158" t="s"/>
      <c r="AB27" s="158" t="s"/>
      <c r="AC27" s="158">
        <v>1</v>
      </c>
      <c r="AD27" s="159" t="s"/>
      <c r="AE27" s="171">
        <f>=SUM(X27:AD27)/6</f>
        <v>0.166666666666667</v>
      </c>
      <c r="AF27" s="159" t="s"/>
      <c r="AG27" s="161" t="s"/>
      <c r="AL27" s="162" t="s"/>
      <c r="AM27" s="162" t="s"/>
      <c r="AN27" s="162" t="s"/>
      <c r="AO27" s="162" t="s"/>
      <c r="AP27" s="160">
        <f>=SUM(AF27:AO27)/7.5</f>
        <v>0</v>
      </c>
      <c r="AQ27" s="162" t="s"/>
      <c r="AR27" s="162" t="s"/>
      <c r="AS27" s="162" t="s"/>
      <c r="AT27" s="162" t="s"/>
      <c r="AU27" s="162" t="s"/>
      <c r="AV27" s="162" t="s"/>
      <c r="AW27" s="162" t="s"/>
      <c r="AX27" s="162" t="s"/>
      <c r="AY27" s="162" t="s"/>
      <c r="AZ27" s="162" t="s"/>
      <c r="BA27" s="162" t="s"/>
      <c r="BB27" s="160">
        <f>=SUM(AQ27:BA27)/7.5</f>
        <v>0</v>
      </c>
      <c r="BC27" s="163" t="s"/>
      <c r="BD27" s="163" t="s"/>
      <c r="BE27" s="163" t="s"/>
      <c r="BF27" s="163" t="s"/>
      <c r="BG27" s="163" t="s"/>
      <c r="BH27" s="163" t="s"/>
      <c r="BI27" s="164" t="s"/>
      <c r="BJ27" s="163" t="s"/>
      <c r="BK27" s="164" t="s"/>
      <c r="BL27" s="163" t="s"/>
      <c r="BM27" s="163">
        <v>1</v>
      </c>
      <c r="BN27" s="166">
        <f>=SUM(BC27:BM27)/9</f>
        <v>0.111111111111111</v>
      </c>
      <c r="BO27" s="163" t="s"/>
      <c r="BP27" s="163" t="s"/>
    </row>
    <row r="28" spans="1:68" ht="13.5">
      <c r="A28" s="10">
        <v>99812</v>
      </c>
      <c r="B28" s="10" t="s">
        <v>171</v>
      </c>
      <c r="C28" s="10" t="s">
        <v>31</v>
      </c>
      <c r="D28" s="10" t="s">
        <v>32</v>
      </c>
      <c r="E28" s="10" t="s">
        <v>33</v>
      </c>
      <c r="F28" s="10" t="s"/>
      <c r="G28" s="10" t="s">
        <v>44</v>
      </c>
      <c r="H28" s="11">
        <v>44746</v>
      </c>
      <c r="I28" s="10">
        <f>=SUM(X28:AD28)</f>
        <v>0</v>
      </c>
      <c r="J28" s="167" t="s">
        <f>=VLOOKUP(A28,绩效计算表!A:AI,9,FALSE)</f>
        <v>116</v>
      </c>
      <c r="K28" s="10">
        <f>=SUM(AF28:AO28)</f>
        <v>0</v>
      </c>
      <c r="L28" s="167" t="s">
        <f>=VLOOKUP(A28,绩效计算表!A:AI,15,FALSE)</f>
        <v>116</v>
      </c>
      <c r="M28" s="10">
        <f>=SUM(AQ28:BA28)</f>
        <v>1</v>
      </c>
      <c r="N28" s="167" t="s">
        <f>=VLOOKUP(A28,绩效计算表!A:AI,23,FALSE)</f>
        <v>108</v>
      </c>
      <c r="O28" s="10">
        <f>=SUM(BC28:BM28)+SUM(BO28:BP28)</f>
        <v>0</v>
      </c>
      <c r="P28" s="10" t="s">
        <f>=VLOOKUP(A28,绩效计算表!A:AI,30,FALSE)</f>
        <v>116</v>
      </c>
      <c r="Q28" s="152">
        <f>=I28+K28+M28+O28</f>
        <v>1</v>
      </c>
      <c r="R28" s="170" t="s">
        <v>523</v>
      </c>
      <c r="S28" s="155" t="s"/>
      <c r="T28" s="155" t="s">
        <v>512</v>
      </c>
      <c r="U28" s="155" t="s"/>
      <c r="V28" s="155" t="s">
        <v>116</v>
      </c>
      <c r="W28" s="156" t="s">
        <v>524</v>
      </c>
      <c r="X28" s="157" t="s"/>
      <c r="Y28" s="158" t="s"/>
      <c r="Z28" s="158" t="s"/>
      <c r="AA28" s="158" t="s"/>
      <c r="AB28" s="158" t="s"/>
      <c r="AC28" s="158" t="s"/>
      <c r="AD28" s="159" t="s"/>
      <c r="AE28" s="171">
        <f>=SUM(X28:AD28)/6</f>
        <v>0</v>
      </c>
      <c r="AF28" s="159" t="s"/>
      <c r="AG28" s="161" t="s"/>
      <c r="AL28" s="162" t="s"/>
      <c r="AM28" s="162" t="s"/>
      <c r="AN28" s="162" t="s"/>
      <c r="AO28" s="162" t="s"/>
      <c r="AP28" s="160">
        <f>=SUM(AF28:AO28)/7.5</f>
        <v>0</v>
      </c>
      <c r="AQ28" s="162" t="s"/>
      <c r="AR28" s="162" t="s"/>
      <c r="AS28" s="162" t="s"/>
      <c r="AT28" s="162" t="s"/>
      <c r="AU28" s="162" t="s"/>
      <c r="AV28" s="162" t="s"/>
      <c r="AW28" s="162" t="s"/>
      <c r="AX28" s="162" t="s"/>
      <c r="AY28" s="162" t="s"/>
      <c r="AZ28" s="162">
        <v>1</v>
      </c>
      <c r="BA28" s="162" t="s"/>
      <c r="BB28" s="160">
        <f>=SUM(AQ28:BA28)/7.5</f>
        <v>0.133333333333333</v>
      </c>
      <c r="BC28" s="163" t="s"/>
      <c r="BD28" s="163" t="s"/>
      <c r="BE28" s="163" t="s"/>
      <c r="BF28" s="163" t="s"/>
      <c r="BG28" s="163" t="s"/>
      <c r="BH28" s="163" t="s"/>
      <c r="BI28" s="164" t="s"/>
      <c r="BJ28" s="163" t="s"/>
      <c r="BK28" s="164" t="s"/>
      <c r="BL28" s="163" t="s"/>
      <c r="BM28" s="163" t="s"/>
      <c r="BN28" s="166">
        <f>=SUM(BC28:BM28)/9</f>
        <v>0</v>
      </c>
      <c r="BO28" s="163" t="s"/>
      <c r="BP28" s="163" t="s"/>
    </row>
    <row r="29" spans="1:68" ht="13.5" hidden="true">
      <c r="A29" s="10">
        <v>28062</v>
      </c>
      <c r="B29" s="10" t="s">
        <v>50</v>
      </c>
      <c r="C29" s="10" t="s">
        <v>31</v>
      </c>
      <c r="D29" s="10" t="s">
        <v>32</v>
      </c>
      <c r="E29" s="10" t="s">
        <v>33</v>
      </c>
      <c r="F29" s="10" t="s"/>
      <c r="G29" s="10" t="s">
        <v>44</v>
      </c>
      <c r="H29" s="11">
        <v>41827</v>
      </c>
      <c r="I29" s="10">
        <f>=SUM(X29:AD29)</f>
        <v>6</v>
      </c>
      <c r="J29" s="167" t="e">
        <f>=VLOOKUP(A29,绩效计算表!A:AI,9,FALSE)</f>
        <v>#N/A</v>
      </c>
      <c r="K29" s="10">
        <f>=SUM(AF29:AO29)</f>
        <v>7.5</v>
      </c>
      <c r="L29" s="167" t="e">
        <f>=VLOOKUP(A29,绩效计算表!A:AI,15,FALSE)</f>
        <v>#N/A</v>
      </c>
      <c r="M29" s="10">
        <f>=SUM(AQ29:BA29)</f>
        <v>1.5</v>
      </c>
      <c r="N29" s="167" t="e">
        <f>=VLOOKUP(A29,绩效计算表!A:AI,23,FALSE)</f>
        <v>#N/A</v>
      </c>
      <c r="O29" s="10">
        <f>=SUM(BC29:BM29)+SUM(BO29:BP29)</f>
        <v>0</v>
      </c>
      <c r="P29" s="10" t="e">
        <f>=VLOOKUP(A29,绩效计算表!A:AI,30,FALSE)</f>
        <v>#N/A</v>
      </c>
      <c r="Q29" s="152">
        <f>=I29+K29+M29+O29</f>
        <v>15</v>
      </c>
      <c r="R29" s="170" t="s">
        <v>531</v>
      </c>
      <c r="S29" s="155" t="s"/>
      <c r="T29" s="155" t="s">
        <v>501</v>
      </c>
      <c r="U29" s="155" t="s"/>
      <c r="V29" s="155" t="s">
        <v>101</v>
      </c>
      <c r="W29" s="156" t="s">
        <v>532</v>
      </c>
      <c r="X29" s="157">
        <v>0.5</v>
      </c>
      <c r="Y29" s="158">
        <v>1</v>
      </c>
      <c r="Z29" s="158">
        <v>0.5</v>
      </c>
      <c r="AA29" s="158">
        <v>1</v>
      </c>
      <c r="AB29" s="158">
        <v>1</v>
      </c>
      <c r="AC29" s="158">
        <v>1</v>
      </c>
      <c r="AD29" s="159">
        <v>1</v>
      </c>
      <c r="AE29" s="160">
        <f>=SUM(X29:AD29)/6</f>
        <v>1</v>
      </c>
      <c r="AF29" s="159">
        <v>0.5</v>
      </c>
      <c r="AG29" s="161">
        <v>1</v>
      </c>
      <c r="AH29" s="17">
        <v>1</v>
      </c>
      <c r="AI29" s="158">
        <v>1</v>
      </c>
      <c r="AJ29" s="158">
        <v>0.5</v>
      </c>
      <c r="AK29" s="159">
        <v>0.5</v>
      </c>
      <c r="AL29" s="162">
        <v>1</v>
      </c>
      <c r="AM29" s="162">
        <v>1</v>
      </c>
      <c r="AN29" s="162">
        <v>1</v>
      </c>
      <c r="AO29" s="162" t="s"/>
      <c r="AP29" s="160">
        <f>=SUM(AF29:AO29)/7.5</f>
        <v>1</v>
      </c>
      <c r="AQ29" s="162" t="s"/>
      <c r="AR29" s="162" t="s"/>
      <c r="AS29" s="162" t="s"/>
      <c r="AT29" s="162">
        <v>0.5</v>
      </c>
      <c r="AU29" s="162">
        <v>1</v>
      </c>
      <c r="AV29" s="162" t="s"/>
      <c r="AW29" s="162" t="s"/>
      <c r="AX29" s="162" t="s"/>
      <c r="AY29" s="162" t="s"/>
      <c r="AZ29" s="162" t="s"/>
      <c r="BA29" s="162" t="s"/>
      <c r="BB29" s="160">
        <f>=SUM(AQ29:BA29)/7.5</f>
        <v>0.2</v>
      </c>
      <c r="BC29" s="163" t="s"/>
      <c r="BD29" s="163" t="s"/>
      <c r="BE29" s="163" t="s"/>
      <c r="BF29" s="163" t="s"/>
      <c r="BG29" s="163" t="s"/>
      <c r="BH29" s="163" t="s"/>
      <c r="BI29" s="164" t="s"/>
      <c r="BJ29" s="163" t="s"/>
      <c r="BK29" s="164" t="s"/>
      <c r="BL29" s="163" t="s"/>
      <c r="BM29" s="163" t="s"/>
      <c r="BN29" s="166">
        <f>=SUM(BC29:BM29)/9</f>
        <v>0</v>
      </c>
      <c r="BO29" s="163" t="s"/>
      <c r="BP29" s="163" t="s"/>
    </row>
    <row r="30" spans="1:68" ht="13.5">
      <c r="A30" s="10">
        <v>72949</v>
      </c>
      <c r="B30" s="10" t="s">
        <v>370</v>
      </c>
      <c r="C30" s="10" t="s">
        <v>31</v>
      </c>
      <c r="D30" s="10" t="s">
        <v>32</v>
      </c>
      <c r="E30" s="10" t="s">
        <v>33</v>
      </c>
      <c r="F30" s="10" t="s"/>
      <c r="G30" s="10" t="s">
        <v>44</v>
      </c>
      <c r="H30" s="11" t="s"/>
      <c r="I30" s="10">
        <f>=SUM(X30:AD30)</f>
        <v>0</v>
      </c>
      <c r="J30" s="167">
        <f>=VLOOKUP(A30,绩效计算表!A:AI,9,FALSE)</f>
        <v>0</v>
      </c>
      <c r="K30" s="10">
        <f>=SUM(AF30:AO30)</f>
        <v>0</v>
      </c>
      <c r="L30" s="167">
        <f>=VLOOKUP(A30,绩效计算表!A:AI,15,FALSE)</f>
        <v>0</v>
      </c>
      <c r="M30" s="10">
        <f>=SUM(AQ30:BA30)</f>
        <v>0</v>
      </c>
      <c r="N30" s="167" t="s">
        <f>=VLOOKUP(A30,绩效计算表!A:AI,23,FALSE)</f>
        <v>116</v>
      </c>
      <c r="O30" s="10">
        <f>=SUM(BC30:BM30)+SUM(BO30:BP30)</f>
        <v>0</v>
      </c>
      <c r="P30" s="10" t="s">
        <f>=VLOOKUP(A30,绩效计算表!A:AI,30,FALSE)</f>
        <v>108</v>
      </c>
      <c r="Q30" s="152">
        <f>=I30+K30+M30+O30</f>
        <v>0</v>
      </c>
      <c r="R30" s="170" t="s"/>
      <c r="S30" s="155" t="s"/>
      <c r="T30" s="155" t="s"/>
      <c r="U30" s="155" t="s"/>
      <c r="V30" s="155" t="s"/>
      <c r="W30" s="156" t="s"/>
      <c r="X30" s="157" t="s"/>
      <c r="Y30" s="158" t="s"/>
      <c r="Z30" s="158" t="s"/>
      <c r="AA30" s="158" t="s"/>
      <c r="AB30" s="158" t="s"/>
      <c r="AC30" s="158" t="s"/>
      <c r="AD30" s="159" t="s"/>
      <c r="AE30" s="160" t="s"/>
      <c r="AF30" s="159" t="s"/>
      <c r="AG30" s="161" t="s"/>
      <c r="AK30" s="159" t="s"/>
      <c r="AL30" s="162" t="s"/>
      <c r="AM30" s="162" t="s"/>
      <c r="AN30" s="162" t="s"/>
      <c r="AO30" s="162" t="s"/>
      <c r="AP30" s="160" t="s"/>
      <c r="AQ30" s="162" t="s"/>
      <c r="AR30" s="162" t="s"/>
      <c r="AS30" s="162" t="s"/>
      <c r="AT30" s="162" t="s"/>
      <c r="AU30" s="162" t="s"/>
      <c r="AV30" s="162" t="s"/>
      <c r="AW30" s="162" t="s"/>
      <c r="AX30" s="162" t="s"/>
      <c r="AY30" s="162" t="s"/>
      <c r="AZ30" s="162" t="s"/>
      <c r="BA30" s="162" t="s"/>
      <c r="BB30" s="160">
        <f>=SUM(AQ30:BA30)/7.5</f>
        <v>0</v>
      </c>
      <c r="BC30" s="163" t="s"/>
      <c r="BD30" s="163" t="s"/>
      <c r="BE30" s="163" t="s"/>
      <c r="BF30" s="163" t="s"/>
      <c r="BG30" s="163" t="s"/>
      <c r="BH30" s="163" t="s"/>
      <c r="BI30" s="164" t="s"/>
      <c r="BJ30" s="163" t="s"/>
      <c r="BK30" s="164" t="s"/>
      <c r="BL30" s="163" t="s"/>
      <c r="BM30" s="163" t="s"/>
      <c r="BN30" s="166">
        <f>=SUM(BC30:BM30)/9</f>
        <v>0</v>
      </c>
      <c r="BO30" s="163" t="s"/>
      <c r="BP30" s="163" t="s"/>
    </row>
    <row r="31" spans="1:68" ht="13.5">
      <c r="A31" s="168">
        <v>77303</v>
      </c>
      <c r="B31" s="168" t="s">
        <v>374</v>
      </c>
      <c r="C31" s="10" t="s"/>
      <c r="D31" s="10" t="s"/>
      <c r="E31" s="10" t="s"/>
      <c r="F31" s="10" t="s"/>
      <c r="G31" s="10" t="s"/>
      <c r="H31" s="11" t="s"/>
      <c r="I31" s="10" t="s"/>
      <c r="J31" s="167" t="s"/>
      <c r="K31" s="10" t="s"/>
      <c r="L31" s="167" t="s"/>
      <c r="M31" s="10" t="s"/>
      <c r="N31" s="167" t="s"/>
      <c r="O31" s="10">
        <f>=SUM(BC31:BM31)+SUM(BO31:BP31)</f>
        <v>0.5</v>
      </c>
      <c r="P31" s="168" t="s">
        <v>504</v>
      </c>
      <c r="Q31" s="152">
        <f>=I31+K31+M31+O31</f>
        <v>0.5</v>
      </c>
      <c r="R31" s="170" t="s"/>
      <c r="S31" s="155" t="s"/>
      <c r="T31" s="155" t="s"/>
      <c r="U31" s="155" t="s"/>
      <c r="V31" s="155" t="s"/>
      <c r="W31" s="156" t="s"/>
      <c r="X31" s="157" t="s"/>
      <c r="Y31" s="158" t="s"/>
      <c r="Z31" s="158" t="s"/>
      <c r="AA31" s="158" t="s"/>
      <c r="AB31" s="158" t="s"/>
      <c r="AC31" s="158" t="s"/>
      <c r="AD31" s="159" t="s"/>
      <c r="AE31" s="160" t="s"/>
      <c r="AF31" s="159" t="s"/>
      <c r="AG31" s="161" t="s"/>
      <c r="AK31" s="159" t="s"/>
      <c r="AL31" s="162" t="s"/>
      <c r="AM31" s="162" t="s"/>
      <c r="AN31" s="162" t="s"/>
      <c r="AO31" s="162" t="s"/>
      <c r="AP31" s="160" t="s"/>
      <c r="AQ31" s="162" t="s"/>
      <c r="AR31" s="162" t="s"/>
      <c r="AS31" s="162" t="s"/>
      <c r="AT31" s="162" t="s"/>
      <c r="AU31" s="162" t="s"/>
      <c r="AV31" s="162" t="s"/>
      <c r="AW31" s="162" t="s"/>
      <c r="AX31" s="162" t="s"/>
      <c r="AY31" s="162" t="s"/>
      <c r="AZ31" s="162" t="s"/>
      <c r="BA31" s="162" t="s"/>
      <c r="BB31" s="160" t="s"/>
      <c r="BC31" s="163" t="s"/>
      <c r="BD31" s="163" t="s"/>
      <c r="BE31" s="163" t="s"/>
      <c r="BF31" s="163" t="s"/>
      <c r="BG31" s="163" t="s"/>
      <c r="BH31" s="163" t="s"/>
      <c r="BI31" s="164" t="s"/>
      <c r="BJ31" s="163" t="s"/>
      <c r="BK31" s="164" t="s"/>
      <c r="BL31" s="163" t="s"/>
      <c r="BM31" s="163" t="s"/>
      <c r="BN31" s="166">
        <f>=SUM(BC31:BM31)/9</f>
        <v>0</v>
      </c>
      <c r="BO31" s="163" t="s"/>
      <c r="BP31" s="163">
        <v>0.5</v>
      </c>
    </row>
    <row r="32" spans="1:68" ht="13.5">
      <c r="A32" s="168">
        <v>27724</v>
      </c>
      <c r="B32" s="168" t="s">
        <v>533</v>
      </c>
      <c r="C32" s="10" t="s"/>
      <c r="D32" s="10" t="s"/>
      <c r="E32" s="10" t="s"/>
      <c r="F32" s="10" t="s"/>
      <c r="G32" s="10" t="s"/>
      <c r="H32" s="11" t="s"/>
      <c r="I32" s="10" t="s"/>
      <c r="J32" s="167" t="s"/>
      <c r="K32" s="10" t="s"/>
      <c r="L32" s="167" t="s"/>
      <c r="M32" s="10" t="s"/>
      <c r="N32" s="167" t="s"/>
      <c r="O32" s="10">
        <f>=SUM(BC32:BM32)+SUM(BO32:BP32)</f>
        <v>0.5</v>
      </c>
      <c r="P32" s="168" t="s">
        <v>504</v>
      </c>
      <c r="Q32" s="152">
        <f>=I32+K32+M32+O32</f>
        <v>0.5</v>
      </c>
      <c r="R32" s="170" t="s"/>
      <c r="S32" s="155" t="s"/>
      <c r="T32" s="155" t="s"/>
      <c r="U32" s="155" t="s"/>
      <c r="V32" s="155" t="s"/>
      <c r="W32" s="156" t="s"/>
      <c r="X32" s="157" t="s"/>
      <c r="Y32" s="158" t="s"/>
      <c r="Z32" s="158" t="s"/>
      <c r="AA32" s="158" t="s"/>
      <c r="AB32" s="158" t="s"/>
      <c r="AC32" s="158" t="s"/>
      <c r="AD32" s="159" t="s"/>
      <c r="AE32" s="160" t="s"/>
      <c r="AF32" s="159" t="s"/>
      <c r="AG32" s="161" t="s"/>
      <c r="AK32" s="159" t="s"/>
      <c r="AL32" s="162" t="s"/>
      <c r="AM32" s="162" t="s"/>
      <c r="AN32" s="162" t="s"/>
      <c r="AO32" s="162" t="s"/>
      <c r="AP32" s="160" t="s"/>
      <c r="AQ32" s="162" t="s"/>
      <c r="AR32" s="162" t="s"/>
      <c r="AS32" s="162" t="s"/>
      <c r="AT32" s="162" t="s"/>
      <c r="AU32" s="162" t="s"/>
      <c r="AV32" s="162" t="s"/>
      <c r="AW32" s="162" t="s"/>
      <c r="AX32" s="162" t="s"/>
      <c r="AY32" s="162" t="s"/>
      <c r="AZ32" s="162" t="s"/>
      <c r="BA32" s="162" t="s"/>
      <c r="BB32" s="160" t="s"/>
      <c r="BC32" s="163" t="s"/>
      <c r="BD32" s="163" t="s"/>
      <c r="BE32" s="163" t="s"/>
      <c r="BF32" s="163" t="s"/>
      <c r="BG32" s="163" t="s"/>
      <c r="BH32" s="163" t="s"/>
      <c r="BI32" s="164" t="s"/>
      <c r="BJ32" s="163" t="s"/>
      <c r="BK32" s="164" t="s"/>
      <c r="BL32" s="163" t="s"/>
      <c r="BM32" s="163" t="s"/>
      <c r="BN32" s="166">
        <f>=SUM(BC32:BM32)/9</f>
        <v>0</v>
      </c>
      <c r="BO32" s="165">
        <v>0.5</v>
      </c>
      <c r="BP32" s="165" t="s"/>
    </row>
    <row r="33" spans="1:68" ht="13.5">
      <c r="A33" s="10">
        <v>22026</v>
      </c>
      <c r="B33" s="10" t="s">
        <v>275</v>
      </c>
      <c r="C33" s="10" t="s">
        <v>31</v>
      </c>
      <c r="D33" s="10" t="s">
        <v>32</v>
      </c>
      <c r="E33" s="10" t="s">
        <v>33</v>
      </c>
      <c r="F33" s="10" t="s"/>
      <c r="G33" s="10" t="s">
        <v>44</v>
      </c>
      <c r="H33" s="11">
        <v>42561</v>
      </c>
      <c r="I33" s="10">
        <f>=SUM(X33:AD33)</f>
        <v>6</v>
      </c>
      <c r="J33" s="167" t="s">
        <v>534</v>
      </c>
      <c r="K33" s="10">
        <f>=SUM(AF33:AO33)</f>
        <v>5.5</v>
      </c>
      <c r="L33" s="167" t="s">
        <v>534</v>
      </c>
      <c r="M33" s="10">
        <f>=SUM(AQ33:BA33)</f>
        <v>7.5</v>
      </c>
      <c r="N33" s="174" t="s">
        <v>534</v>
      </c>
      <c r="O33" s="10">
        <f>=SUM(BC33:BM33)+SUM(BO33:BP33)</f>
        <v>10.5</v>
      </c>
      <c r="P33" s="174" t="s">
        <v>534</v>
      </c>
      <c r="Q33" s="152">
        <f>=I33+K33+M33+O33</f>
        <v>29.5</v>
      </c>
      <c r="R33" s="170" t="s">
        <v>535</v>
      </c>
      <c r="S33" s="155" t="s"/>
      <c r="T33" s="155" t="s">
        <v>501</v>
      </c>
      <c r="U33" s="155" t="s"/>
      <c r="V33" s="155" t="s"/>
      <c r="W33" s="155" t="s"/>
      <c r="X33" s="157">
        <v>0.5</v>
      </c>
      <c r="Y33" s="158">
        <v>1</v>
      </c>
      <c r="Z33" s="158">
        <v>0.5</v>
      </c>
      <c r="AA33" s="158">
        <v>1</v>
      </c>
      <c r="AB33" s="158">
        <v>1</v>
      </c>
      <c r="AC33" s="158">
        <v>1</v>
      </c>
      <c r="AD33" s="159">
        <v>1</v>
      </c>
      <c r="AE33" s="160">
        <f>=SUM(X33:AD33)/6</f>
        <v>1</v>
      </c>
      <c r="AF33" s="159">
        <v>0.5</v>
      </c>
      <c r="AG33" s="161">
        <v>1</v>
      </c>
      <c r="AI33" s="158">
        <v>1</v>
      </c>
      <c r="AK33" s="159">
        <v>0.5</v>
      </c>
      <c r="AL33" s="162" t="s"/>
      <c r="AM33" s="162">
        <v>1</v>
      </c>
      <c r="AN33" s="162">
        <v>1</v>
      </c>
      <c r="AO33" s="162">
        <v>0.5</v>
      </c>
      <c r="AP33" s="160">
        <f>=SUM(AF33:AO33)/7.5</f>
        <v>0.733333333333333</v>
      </c>
      <c r="AQ33" s="162" t="s"/>
      <c r="AR33" s="162">
        <v>1</v>
      </c>
      <c r="AS33" s="162">
        <v>1</v>
      </c>
      <c r="AT33" s="162" t="s"/>
      <c r="AU33" s="162">
        <v>1</v>
      </c>
      <c r="AV33" s="162">
        <v>1</v>
      </c>
      <c r="AW33" s="162">
        <v>1</v>
      </c>
      <c r="AX33" s="162">
        <v>1</v>
      </c>
      <c r="AY33" s="162">
        <v>0.5</v>
      </c>
      <c r="AZ33" s="162">
        <v>1</v>
      </c>
      <c r="BA33" s="162" t="s"/>
      <c r="BB33" s="160">
        <f>=SUM(AQ33:BA33)/7.5</f>
        <v>1</v>
      </c>
      <c r="BC33" s="163">
        <v>0.5</v>
      </c>
      <c r="BD33" s="163">
        <v>1</v>
      </c>
      <c r="BE33" s="163">
        <v>0.5</v>
      </c>
      <c r="BF33" s="163">
        <v>1</v>
      </c>
      <c r="BG33" s="163">
        <v>1</v>
      </c>
      <c r="BH33" s="163">
        <v>1</v>
      </c>
      <c r="BI33" s="164">
        <v>1</v>
      </c>
      <c r="BJ33" s="163">
        <v>0.5</v>
      </c>
      <c r="BK33" s="164">
        <v>1</v>
      </c>
      <c r="BL33" s="165">
        <v>0.5</v>
      </c>
      <c r="BM33" s="163">
        <v>1</v>
      </c>
      <c r="BN33" s="166">
        <f>=SUM(BC33:BM33)/9</f>
        <v>1</v>
      </c>
      <c r="BO33" s="165">
        <v>1</v>
      </c>
      <c r="BP33" s="163">
        <v>0.5</v>
      </c>
    </row>
    <row r="34" spans="1:68" ht="13.5">
      <c r="A34" s="18">
        <v>93622</v>
      </c>
      <c r="B34" s="18" t="s">
        <v>112</v>
      </c>
      <c r="C34" s="18" t="s">
        <v>31</v>
      </c>
      <c r="D34" s="18" t="s">
        <v>32</v>
      </c>
      <c r="E34" s="18" t="s">
        <v>267</v>
      </c>
      <c r="F34" s="18" t="s"/>
      <c r="G34" s="18" t="s">
        <v>44</v>
      </c>
      <c r="H34" s="175">
        <v>42880</v>
      </c>
      <c r="I34" s="18">
        <f>=SUM(X34:AD34)</f>
        <v>2.5</v>
      </c>
      <c r="J34" s="18" t="s">
        <f>=VLOOKUP(A34,绩效计算表!A:AI,9,FALSE)</f>
        <v>108</v>
      </c>
      <c r="K34" s="18">
        <f>=SUM(AF34:AO34)</f>
        <v>5</v>
      </c>
      <c r="L34" s="18" t="s">
        <f>=VLOOKUP(A34,绩效计算表!A:AI,15,FALSE)</f>
        <v>101</v>
      </c>
      <c r="M34" s="18">
        <f>=SUM(AQ34:BA34)</f>
        <v>3.5</v>
      </c>
      <c r="N34" s="18" t="s">
        <f>=VLOOKUP(A34,绩效计算表!A:AI,23,FALSE)</f>
        <v>101</v>
      </c>
      <c r="O34" s="18">
        <f>=SUM(BC34:BM34)+SUM(BO34:BP34)</f>
        <v>6</v>
      </c>
      <c r="P34" s="18" t="s">
        <f>=VLOOKUP(A34,绩效计算表!A:AI,30,FALSE)</f>
        <v>101</v>
      </c>
      <c r="Q34" s="18">
        <f>=I34+K34+M34+O34</f>
        <v>17</v>
      </c>
      <c r="R34" s="156" t="s">
        <v>536</v>
      </c>
      <c r="S34" s="156" t="s">
        <v>537</v>
      </c>
      <c r="T34" s="155" t="s">
        <v>501</v>
      </c>
      <c r="U34" s="156" t="s"/>
      <c r="V34" s="156" t="s">
        <v>538</v>
      </c>
      <c r="W34" s="156" t="s">
        <v>539</v>
      </c>
      <c r="X34" s="157" t="s"/>
      <c r="Y34" s="158" t="s"/>
      <c r="Z34" s="158">
        <v>0.5</v>
      </c>
      <c r="AA34" s="158">
        <v>1</v>
      </c>
      <c r="AB34" s="158" t="s"/>
      <c r="AC34" s="158">
        <v>1</v>
      </c>
      <c r="AD34" s="159" t="s"/>
      <c r="AE34" s="160">
        <f>=SUM(X34:AD34)/6</f>
        <v>0.416666666666667</v>
      </c>
      <c r="AF34" s="159" t="s"/>
      <c r="AG34" s="161">
        <v>1</v>
      </c>
      <c r="AI34" s="158">
        <v>1</v>
      </c>
      <c r="AJ34" s="158">
        <v>0.5</v>
      </c>
      <c r="AL34" s="162">
        <v>1</v>
      </c>
      <c r="AM34" s="162">
        <v>1</v>
      </c>
      <c r="AN34" s="162">
        <v>0.5</v>
      </c>
      <c r="AO34" s="162" t="s"/>
      <c r="AP34" s="160">
        <f>=SUM(AF34:AO34)/7.5</f>
        <v>0.666666666666667</v>
      </c>
      <c r="AQ34" s="162" t="s"/>
      <c r="AR34" s="162" t="s"/>
      <c r="AS34" s="162" t="s"/>
      <c r="AT34" s="162" t="s"/>
      <c r="AU34" s="162">
        <v>0.5</v>
      </c>
      <c r="AV34" s="162">
        <v>0.5</v>
      </c>
      <c r="AW34" s="162">
        <v>1</v>
      </c>
      <c r="AX34" s="162">
        <v>0.5</v>
      </c>
      <c r="AY34" s="162" t="s"/>
      <c r="AZ34" s="162" t="s"/>
      <c r="BA34" s="162">
        <v>1</v>
      </c>
      <c r="BB34" s="160">
        <f>=SUM(AQ34:BA34)/7.5</f>
        <v>0.466666666666667</v>
      </c>
      <c r="BC34" s="163" t="s"/>
      <c r="BD34" s="163" t="s"/>
      <c r="BE34" s="163" t="s"/>
      <c r="BF34" s="163" t="s"/>
      <c r="BG34" s="163">
        <v>1</v>
      </c>
      <c r="BH34" s="163">
        <v>1</v>
      </c>
      <c r="BI34" s="164">
        <v>1</v>
      </c>
      <c r="BJ34" s="163">
        <v>0.5</v>
      </c>
      <c r="BK34" s="164">
        <v>0.5</v>
      </c>
      <c r="BL34" s="165">
        <v>1</v>
      </c>
      <c r="BM34" s="163">
        <v>1</v>
      </c>
      <c r="BN34" s="166">
        <f>=SUM(BC34:BM34)/9</f>
        <v>0.666666666666667</v>
      </c>
      <c r="BO34" s="163" t="s"/>
      <c r="BP34" s="163" t="s"/>
    </row>
    <row r="35" spans="1:68" ht="13.5">
      <c r="A35" s="176">
        <v>62340</v>
      </c>
      <c r="B35" s="176" t="s">
        <v>398</v>
      </c>
      <c r="C35" s="18" t="s"/>
      <c r="D35" s="18" t="s"/>
      <c r="E35" s="18" t="s"/>
      <c r="F35" s="18" t="s"/>
      <c r="G35" s="18" t="s"/>
      <c r="H35" s="175" t="s"/>
      <c r="I35" s="18" t="s"/>
      <c r="J35" s="18" t="s"/>
      <c r="K35" s="18" t="s"/>
      <c r="L35" s="18" t="s"/>
      <c r="M35" s="18" t="s"/>
      <c r="N35" s="18" t="s"/>
      <c r="O35" s="18">
        <f>=SUM(BC35:BM35)+SUM(BO35:BP35)</f>
        <v>1.5</v>
      </c>
      <c r="P35" s="18" t="s">
        <v>504</v>
      </c>
      <c r="Q35" s="18">
        <f>=I35+K35+M35+O35</f>
        <v>1.5</v>
      </c>
      <c r="R35" s="156" t="s"/>
      <c r="S35" s="156" t="s"/>
      <c r="T35" s="155" t="s"/>
      <c r="U35" s="156" t="s"/>
      <c r="V35" s="156" t="s"/>
      <c r="W35" s="156" t="s"/>
      <c r="X35" s="157" t="s"/>
      <c r="Y35" s="158" t="s"/>
      <c r="Z35" s="158" t="s"/>
      <c r="AA35" s="158" t="s"/>
      <c r="AB35" s="158" t="s"/>
      <c r="AC35" s="158" t="s"/>
      <c r="AD35" s="159" t="s"/>
      <c r="AE35" s="160" t="s"/>
      <c r="AF35" s="159" t="s"/>
      <c r="AG35" s="161" t="s"/>
      <c r="AI35" s="177" t="s"/>
      <c r="AJ35" s="177" t="s"/>
      <c r="AL35" s="162" t="s"/>
      <c r="AM35" s="162" t="s"/>
      <c r="AN35" s="162" t="s"/>
      <c r="AO35" s="162" t="s"/>
      <c r="AP35" s="160" t="s"/>
      <c r="AQ35" s="162" t="s"/>
      <c r="AR35" s="162" t="s"/>
      <c r="AS35" s="162" t="s"/>
      <c r="AT35" s="162" t="s"/>
      <c r="AU35" s="162" t="s"/>
      <c r="AV35" s="162" t="s"/>
      <c r="AW35" s="162" t="s"/>
      <c r="AX35" s="162" t="s"/>
      <c r="AY35" s="162" t="s"/>
      <c r="AZ35" s="162" t="s"/>
      <c r="BA35" s="162" t="s"/>
      <c r="BB35" s="160" t="s"/>
      <c r="BC35" s="163" t="s"/>
      <c r="BD35" s="163" t="s"/>
      <c r="BE35" s="163" t="s"/>
      <c r="BF35" s="163" t="s"/>
      <c r="BG35" s="163" t="s"/>
      <c r="BH35" s="163" t="s"/>
      <c r="BI35" s="164" t="s"/>
      <c r="BJ35" s="163" t="s"/>
      <c r="BK35" s="164" t="s"/>
      <c r="BL35" s="165" t="s"/>
      <c r="BM35" s="78">
        <v>1</v>
      </c>
      <c r="BN35" s="166">
        <f>=SUM(BC35:BM35)/9</f>
        <v>0.111111111111111</v>
      </c>
      <c r="BO35" s="163" t="s"/>
      <c r="BP35" s="163">
        <v>0.5</v>
      </c>
    </row>
    <row r="36" spans="1:68" ht="13.5">
      <c r="A36" s="18">
        <v>65248</v>
      </c>
      <c r="B36" s="18" t="s">
        <v>125</v>
      </c>
      <c r="C36" s="18" t="s">
        <v>31</v>
      </c>
      <c r="D36" s="18" t="s">
        <v>32</v>
      </c>
      <c r="E36" s="18" t="s">
        <v>267</v>
      </c>
      <c r="F36" s="18" t="s"/>
      <c r="G36" s="18" t="s">
        <v>44</v>
      </c>
      <c r="H36" s="175">
        <v>43672</v>
      </c>
      <c r="I36" s="18">
        <f>=SUM(X36:AD36)</f>
        <v>0</v>
      </c>
      <c r="J36" s="18" t="s">
        <f>=VLOOKUP(A36,绩效计算表!A:AI,9,FALSE)</f>
        <v>116</v>
      </c>
      <c r="K36" s="18">
        <f>=SUM(AF36:AO36)</f>
        <v>0</v>
      </c>
      <c r="L36" s="18" t="s">
        <f>=VLOOKUP(A36,绩效计算表!A:AI,15,FALSE)</f>
        <v>108</v>
      </c>
      <c r="M36" s="18">
        <f>=SUM(AQ36:BA36)</f>
        <v>0</v>
      </c>
      <c r="N36" s="18" t="s">
        <f>=VLOOKUP(A36,绩效计算表!A:AI,23,FALSE)</f>
        <v>108</v>
      </c>
      <c r="O36" s="18">
        <f>=SUM(BC36:BM36)+SUM(BO36:BP36)</f>
        <v>0</v>
      </c>
      <c r="P36" s="18" t="s">
        <f>=VLOOKUP(A36,绩效计算表!A:AI,30,FALSE)</f>
        <v>108</v>
      </c>
      <c r="Q36" s="18">
        <f>=I36+K36+M36+O36</f>
        <v>0</v>
      </c>
      <c r="R36" s="156" t="s">
        <v>540</v>
      </c>
      <c r="S36" s="156" t="s">
        <v>541</v>
      </c>
      <c r="T36" s="155" t="s">
        <v>509</v>
      </c>
      <c r="U36" s="156" t="s"/>
      <c r="V36" s="156" t="s">
        <v>538</v>
      </c>
      <c r="W36" s="156" t="s">
        <v>542</v>
      </c>
      <c r="X36" s="157" t="s"/>
      <c r="Y36" s="158" t="s"/>
      <c r="Z36" s="158" t="s"/>
      <c r="AA36" s="158" t="s"/>
      <c r="AB36" s="158" t="s"/>
      <c r="AC36" s="158" t="s"/>
      <c r="AD36" s="159" t="s"/>
      <c r="AE36" s="171">
        <f>=SUM(X36:AD36)/6</f>
        <v>0</v>
      </c>
      <c r="AF36" s="159" t="s"/>
      <c r="AG36" s="161" t="s"/>
      <c r="AL36" s="162" t="s"/>
      <c r="AM36" s="162" t="s"/>
      <c r="AN36" s="162" t="s"/>
      <c r="AO36" s="162" t="s"/>
      <c r="AP36" s="160">
        <f>=SUM(AF36:AO36)/7.5</f>
        <v>0</v>
      </c>
      <c r="AQ36" s="162" t="s"/>
      <c r="AR36" s="162" t="s"/>
      <c r="AS36" s="162" t="s"/>
      <c r="AT36" s="162" t="s"/>
      <c r="AU36" s="162" t="s"/>
      <c r="AV36" s="162" t="s"/>
      <c r="AW36" s="162" t="s"/>
      <c r="AX36" s="162" t="s"/>
      <c r="AY36" s="162" t="s"/>
      <c r="AZ36" s="162" t="s"/>
      <c r="BA36" s="162" t="s"/>
      <c r="BB36" s="160">
        <f>=SUM(AQ36:BA36)/7.5</f>
        <v>0</v>
      </c>
      <c r="BC36" s="163" t="s"/>
      <c r="BD36" s="163" t="s"/>
      <c r="BE36" s="163" t="s"/>
      <c r="BF36" s="163" t="s"/>
      <c r="BG36" s="163" t="s"/>
      <c r="BH36" s="163" t="s"/>
      <c r="BI36" s="164" t="s"/>
      <c r="BJ36" s="163" t="s"/>
      <c r="BK36" s="164" t="s"/>
      <c r="BL36" s="163" t="s"/>
      <c r="BM36" s="163" t="s"/>
      <c r="BN36" s="166">
        <f>=SUM(BC36:BM36)/9</f>
        <v>0</v>
      </c>
      <c r="BO36" s="163" t="s"/>
      <c r="BP36" s="163" t="s"/>
    </row>
    <row r="37" spans="1:68" ht="13.5">
      <c r="A37" s="18">
        <v>14659</v>
      </c>
      <c r="B37" s="18" t="s">
        <v>98</v>
      </c>
      <c r="C37" s="18" t="s">
        <v>31</v>
      </c>
      <c r="D37" s="18" t="s">
        <v>32</v>
      </c>
      <c r="E37" s="18" t="s">
        <v>267</v>
      </c>
      <c r="F37" s="18" t="s"/>
      <c r="G37" s="18" t="s">
        <v>44</v>
      </c>
      <c r="H37" s="175">
        <v>44265</v>
      </c>
      <c r="I37" s="18">
        <f>=SUM(X37:AD37)</f>
        <v>3.5</v>
      </c>
      <c r="J37" s="18" t="s">
        <f>=VLOOKUP(A37,绩效计算表!A:AI,9,FALSE)</f>
        <v>101</v>
      </c>
      <c r="K37" s="18">
        <f>=SUM(AF37:AO37)</f>
        <v>3.5</v>
      </c>
      <c r="L37" s="18" t="s">
        <f>=VLOOKUP(A37,绩效计算表!A:AI,15,FALSE)</f>
        <v>108</v>
      </c>
      <c r="M37" s="18">
        <f>=SUM(AQ37:BA37)</f>
        <v>3.5</v>
      </c>
      <c r="N37" s="18" t="s">
        <f>=VLOOKUP(A37,绩效计算表!A:AI,23,FALSE)</f>
        <v>108</v>
      </c>
      <c r="O37" s="18">
        <f>=SUM(BC37:BM37)+SUM(BO37:BP37)</f>
        <v>2.5</v>
      </c>
      <c r="P37" s="18" t="s">
        <f>=VLOOKUP(A37,绩效计算表!A:AI,30,FALSE)</f>
        <v>108</v>
      </c>
      <c r="Q37" s="18">
        <f>=I37+K37+M37+O37</f>
        <v>13</v>
      </c>
      <c r="R37" s="156" t="s">
        <v>543</v>
      </c>
      <c r="S37" s="156" t="s">
        <v>544</v>
      </c>
      <c r="T37" s="155" t="s">
        <v>509</v>
      </c>
      <c r="U37" s="156" t="s"/>
      <c r="V37" s="156" t="s"/>
      <c r="W37" s="156" t="s">
        <v>545</v>
      </c>
      <c r="X37" s="157" t="s"/>
      <c r="Y37" s="158">
        <v>1</v>
      </c>
      <c r="Z37" s="158">
        <v>0.5</v>
      </c>
      <c r="AA37" s="158">
        <v>1</v>
      </c>
      <c r="AB37" s="158" t="s"/>
      <c r="AC37" s="158">
        <v>1</v>
      </c>
      <c r="AD37" s="159" t="s"/>
      <c r="AE37" s="160">
        <f>=SUM(X37:AD37)/6</f>
        <v>0.583333333333334</v>
      </c>
      <c r="AF37" s="159" t="s"/>
      <c r="AG37" s="161">
        <v>1</v>
      </c>
      <c r="AL37" s="162">
        <v>1</v>
      </c>
      <c r="AM37" s="162">
        <v>1</v>
      </c>
      <c r="AN37" s="162" t="s"/>
      <c r="AO37" s="162">
        <v>0.5</v>
      </c>
      <c r="AP37" s="160">
        <f>=SUM(AF37:AO37)/7.5</f>
        <v>0.466666666666667</v>
      </c>
      <c r="AQ37" s="162" t="s"/>
      <c r="AR37" s="162" t="s"/>
      <c r="AS37" s="162" t="s"/>
      <c r="AT37" s="162" t="s"/>
      <c r="AU37" s="162">
        <v>1</v>
      </c>
      <c r="AV37" s="162">
        <v>1</v>
      </c>
      <c r="AW37" s="162" t="s"/>
      <c r="AX37" s="162">
        <v>1</v>
      </c>
      <c r="AY37" s="162" t="s"/>
      <c r="AZ37" s="162">
        <v>0.5</v>
      </c>
      <c r="BA37" s="162" t="s"/>
      <c r="BB37" s="160">
        <f>=SUM(AQ37:BA37)/7.5</f>
        <v>0.466666666666667</v>
      </c>
      <c r="BC37" s="163" t="s"/>
      <c r="BD37" s="163" t="s"/>
      <c r="BE37" s="163" t="s"/>
      <c r="BF37" s="163" t="s"/>
      <c r="BG37" s="163" t="s"/>
      <c r="BH37" s="163" t="s"/>
      <c r="BI37" s="164" t="s"/>
      <c r="BJ37" s="163">
        <v>0.5</v>
      </c>
      <c r="BK37" s="164" t="s"/>
      <c r="BL37" s="165">
        <v>1</v>
      </c>
      <c r="BM37" s="163">
        <v>1</v>
      </c>
      <c r="BN37" s="166">
        <f>=SUM(BC37:BM37)/9</f>
        <v>0.277777777777778</v>
      </c>
      <c r="BO37" s="163" t="s"/>
      <c r="BP37" s="163" t="s"/>
    </row>
    <row r="38" spans="1:68" ht="13.5" hidden="true">
      <c r="A38" s="18">
        <v>17855</v>
      </c>
      <c r="B38" s="18" t="s">
        <v>65</v>
      </c>
      <c r="C38" s="18" t="s">
        <v>31</v>
      </c>
      <c r="D38" s="18" t="s">
        <v>32</v>
      </c>
      <c r="E38" s="18" t="s">
        <v>267</v>
      </c>
      <c r="F38" s="18" t="s"/>
      <c r="G38" s="18" t="s">
        <v>44</v>
      </c>
      <c r="H38" s="175">
        <v>43752</v>
      </c>
      <c r="I38" s="18">
        <f>=SUM(X38:AD38)</f>
        <v>0.5</v>
      </c>
      <c r="J38" s="18" t="e">
        <f>=VLOOKUP(A38,绩效计算表!A:AI,9,FALSE)</f>
        <v>#N/A</v>
      </c>
      <c r="K38" s="18">
        <f>=SUM(AF38:AO38)</f>
        <v>2</v>
      </c>
      <c r="L38" s="18" t="e">
        <f>=VLOOKUP(A38,绩效计算表!A:AI,15,FALSE)</f>
        <v>#N/A</v>
      </c>
      <c r="M38" s="18">
        <f>=SUM(AQ38:BA38)</f>
        <v>1</v>
      </c>
      <c r="N38" s="18" t="e">
        <f>=VLOOKUP(A38,绩效计算表!A:AI,23,FALSE)</f>
        <v>#N/A</v>
      </c>
      <c r="O38" s="18">
        <f>=SUM(BC38:BM38)+SUM(BO38:BP38)</f>
        <v>0</v>
      </c>
      <c r="P38" s="18" t="e">
        <f>=VLOOKUP(A38,绩效计算表!A:AI,30,FALSE)</f>
        <v>#N/A</v>
      </c>
      <c r="Q38" s="18">
        <f>=I38+K38+M38+O38</f>
        <v>3.5</v>
      </c>
      <c r="R38" s="156" t="s">
        <v>546</v>
      </c>
      <c r="S38" s="156" t="s">
        <v>547</v>
      </c>
      <c r="T38" s="155" t="s">
        <v>509</v>
      </c>
      <c r="U38" s="156" t="s"/>
      <c r="V38" s="156" t="s">
        <v>548</v>
      </c>
      <c r="W38" s="169" t="s">
        <v>549</v>
      </c>
      <c r="X38" s="157" t="s"/>
      <c r="Y38" s="158" t="s"/>
      <c r="Z38" s="158">
        <v>0.5</v>
      </c>
      <c r="AA38" s="158" t="s"/>
      <c r="AB38" s="158" t="s"/>
      <c r="AC38" s="158" t="s"/>
      <c r="AD38" s="172" t="s"/>
      <c r="AE38" s="178">
        <f>=SUM(X38:AD38)/6</f>
        <v>0.0833333333333333</v>
      </c>
      <c r="AF38" s="172" t="s"/>
      <c r="AG38" s="173" t="s"/>
      <c r="AI38" s="158">
        <v>1</v>
      </c>
      <c r="AL38" s="162" t="s"/>
      <c r="AM38" s="162">
        <v>1</v>
      </c>
      <c r="AN38" s="162" t="s"/>
      <c r="AO38" s="162" t="s"/>
      <c r="AP38" s="160">
        <f>=SUM(AF38:AO38)/7.5</f>
        <v>0.266666666666667</v>
      </c>
      <c r="AQ38" s="162" t="s"/>
      <c r="AR38" s="162" t="s"/>
      <c r="AS38" s="162" t="s"/>
      <c r="AT38" s="162">
        <v>0.5</v>
      </c>
      <c r="AU38" s="162" t="s"/>
      <c r="AV38" s="162">
        <v>0.5</v>
      </c>
      <c r="AW38" s="162" t="s"/>
      <c r="AX38" s="162" t="s"/>
      <c r="AY38" s="162" t="s"/>
      <c r="AZ38" s="162" t="s"/>
      <c r="BA38" s="162" t="s"/>
      <c r="BB38" s="160">
        <f>=SUM(AQ38:BA38)/7.5</f>
        <v>0.133333333333333</v>
      </c>
      <c r="BC38" s="163" t="s"/>
      <c r="BD38" s="163" t="s"/>
      <c r="BE38" s="163" t="s"/>
      <c r="BF38" s="163" t="s"/>
      <c r="BG38" s="163" t="s"/>
      <c r="BH38" s="163" t="s"/>
      <c r="BI38" s="164" t="s"/>
      <c r="BJ38" s="163" t="s"/>
      <c r="BK38" s="164" t="s"/>
      <c r="BL38" s="163" t="s"/>
      <c r="BM38" s="163" t="s"/>
      <c r="BN38" s="166">
        <f>=SUM(BC38:BM38)/9</f>
        <v>0</v>
      </c>
      <c r="BO38" s="163" t="s"/>
      <c r="BP38" s="163" t="s"/>
    </row>
    <row r="39" spans="1:68" ht="13.5">
      <c r="A39" s="18">
        <v>70568</v>
      </c>
      <c r="B39" s="18" t="s">
        <v>139</v>
      </c>
      <c r="C39" s="18" t="s">
        <v>31</v>
      </c>
      <c r="D39" s="18" t="s">
        <v>32</v>
      </c>
      <c r="E39" s="18" t="s">
        <v>267</v>
      </c>
      <c r="F39" s="18" t="s"/>
      <c r="G39" s="18" t="s">
        <v>44</v>
      </c>
      <c r="H39" s="175">
        <v>42499</v>
      </c>
      <c r="I39" s="18">
        <f>=SUM(X39:AD39)</f>
        <v>2.5</v>
      </c>
      <c r="J39" s="18" t="s">
        <f>=VLOOKUP(A39,绩效计算表!A:AI,9,FALSE)</f>
        <v>116</v>
      </c>
      <c r="K39" s="18">
        <f>=SUM(AF39:AO39)</f>
        <v>2</v>
      </c>
      <c r="L39" s="18" t="s">
        <f>=VLOOKUP(A39,绩效计算表!A:AI,15,FALSE)</f>
        <v>116</v>
      </c>
      <c r="M39" s="18">
        <f>=SUM(AQ39:BA39)</f>
        <v>3.75</v>
      </c>
      <c r="N39" s="18" t="s">
        <f>=VLOOKUP(A39,绩效计算表!A:AI,23,FALSE)</f>
        <v>116</v>
      </c>
      <c r="O39" s="18">
        <f>=SUM(BC39:BM39)+SUM(BO39:BP39)</f>
        <v>2.5</v>
      </c>
      <c r="P39" s="18" t="s">
        <f>=VLOOKUP(A39,绩效计算表!A:AI,30,FALSE)</f>
        <v>116</v>
      </c>
      <c r="Q39" s="18">
        <f>=I39+K39+M39+O39</f>
        <v>10.75</v>
      </c>
      <c r="R39" s="156" t="s">
        <v>550</v>
      </c>
      <c r="S39" s="156" t="s">
        <v>551</v>
      </c>
      <c r="T39" s="155" t="s">
        <v>512</v>
      </c>
      <c r="U39" s="156" t="s"/>
      <c r="V39" s="156" t="s"/>
      <c r="W39" s="156" t="s">
        <v>552</v>
      </c>
      <c r="X39" s="157" t="s"/>
      <c r="Y39" s="158" t="s"/>
      <c r="Z39" s="158">
        <v>0.5</v>
      </c>
      <c r="AA39" s="158">
        <v>1</v>
      </c>
      <c r="AB39" s="158" t="s"/>
      <c r="AC39" s="158" t="s"/>
      <c r="AD39" s="159">
        <v>1</v>
      </c>
      <c r="AE39" s="160">
        <f>=SUM(X39:AD39)/6</f>
        <v>0.416666666666667</v>
      </c>
      <c r="AF39" s="159" t="s"/>
      <c r="AG39" s="161">
        <v>1</v>
      </c>
      <c r="AL39" s="162">
        <v>1</v>
      </c>
      <c r="AM39" s="162" t="s"/>
      <c r="AN39" s="162" t="s"/>
      <c r="AO39" s="162" t="s"/>
      <c r="AP39" s="160">
        <f>=SUM(AF39:AO39)/7.5</f>
        <v>0.266666666666667</v>
      </c>
      <c r="AQ39" s="162" t="s"/>
      <c r="AR39" s="162">
        <v>0.75</v>
      </c>
      <c r="AS39" s="162" t="s"/>
      <c r="AT39" s="162" t="s"/>
      <c r="AU39" s="162">
        <v>1</v>
      </c>
      <c r="AV39" s="162" t="s"/>
      <c r="AW39" s="162" t="s"/>
      <c r="AX39" s="162">
        <v>1</v>
      </c>
      <c r="AY39" s="162" t="s"/>
      <c r="AZ39" s="162">
        <v>1</v>
      </c>
      <c r="BA39" s="162" t="s"/>
      <c r="BB39" s="160">
        <f>=SUM(AQ39:BA39)/7.5</f>
        <v>0.5</v>
      </c>
      <c r="BC39" s="163" t="s"/>
      <c r="BD39" s="163" t="s"/>
      <c r="BE39" s="163" t="s"/>
      <c r="BF39" s="163">
        <v>1</v>
      </c>
      <c r="BG39" s="163" t="s"/>
      <c r="BH39" s="163" t="s"/>
      <c r="BI39" s="164" t="s"/>
      <c r="BJ39" s="163" t="s"/>
      <c r="BK39" s="164">
        <v>0.5</v>
      </c>
      <c r="BL39" s="163" t="s"/>
      <c r="BM39" s="163">
        <v>1</v>
      </c>
      <c r="BN39" s="166">
        <f>=SUM(BC39:BM39)/9</f>
        <v>0.277777777777778</v>
      </c>
      <c r="BO39" s="163" t="s"/>
      <c r="BP39" s="163" t="s"/>
    </row>
    <row r="40" spans="1:68" ht="13.5">
      <c r="A40" s="18">
        <v>37038</v>
      </c>
      <c r="B40" s="18" t="s">
        <v>115</v>
      </c>
      <c r="C40" s="18" t="s">
        <v>31</v>
      </c>
      <c r="D40" s="18" t="s">
        <v>32</v>
      </c>
      <c r="E40" s="18" t="s">
        <v>267</v>
      </c>
      <c r="F40" s="18" t="s"/>
      <c r="G40" s="18" t="s">
        <v>44</v>
      </c>
      <c r="H40" s="175">
        <v>42552</v>
      </c>
      <c r="I40" s="18">
        <f>=SUM(X40:AD40)</f>
        <v>1.5</v>
      </c>
      <c r="J40" s="18" t="s">
        <f>=VLOOKUP(A40,绩效计算表!A:AI,9,FALSE)</f>
        <v>108</v>
      </c>
      <c r="K40" s="18">
        <f>=SUM(AF40:AO40)</f>
        <v>5.5</v>
      </c>
      <c r="L40" s="18" t="s">
        <f>=VLOOKUP(A40,绩效计算表!A:AI,15,FALSE)</f>
        <v>108</v>
      </c>
      <c r="M40" s="18">
        <f>=SUM(AQ40:BA40)</f>
        <v>2</v>
      </c>
      <c r="N40" s="18" t="s">
        <f>=VLOOKUP(A40,绩效计算表!A:AI,23,FALSE)</f>
        <v>108</v>
      </c>
      <c r="O40" s="18">
        <f>=SUM(BC40:BM40)+SUM(BO40:BP40)</f>
        <v>4.5</v>
      </c>
      <c r="P40" s="18" t="s">
        <f>=VLOOKUP(A40,绩效计算表!A:AI,30,FALSE)</f>
        <v>108</v>
      </c>
      <c r="Q40" s="18">
        <f>=I40+K40+M40+O40</f>
        <v>13.5</v>
      </c>
      <c r="R40" s="156" t="s">
        <v>553</v>
      </c>
      <c r="S40" s="156" t="s">
        <v>554</v>
      </c>
      <c r="T40" s="155" t="s">
        <v>512</v>
      </c>
      <c r="U40" s="156" t="s">
        <v>555</v>
      </c>
      <c r="V40" s="156" t="s"/>
      <c r="W40" s="156" t="s">
        <v>556</v>
      </c>
      <c r="X40" s="157" t="s"/>
      <c r="Y40" s="158" t="s"/>
      <c r="Z40" s="158">
        <v>0.5</v>
      </c>
      <c r="AA40" s="158" t="s"/>
      <c r="AB40" s="158">
        <v>1</v>
      </c>
      <c r="AC40" s="158" t="s"/>
      <c r="AD40" s="159" t="s"/>
      <c r="AE40" s="171">
        <f>=SUM(X40:AD40)/6</f>
        <v>0.25</v>
      </c>
      <c r="AF40" s="159" t="s"/>
      <c r="AG40" s="161">
        <v>1</v>
      </c>
      <c r="AJ40" s="158">
        <v>1</v>
      </c>
      <c r="AL40" s="162">
        <v>1</v>
      </c>
      <c r="AM40" s="162">
        <v>1</v>
      </c>
      <c r="AN40" s="162">
        <v>1</v>
      </c>
      <c r="AO40" s="162">
        <v>0.5</v>
      </c>
      <c r="AP40" s="160">
        <f>=SUM(AF40:AO40)/7.5</f>
        <v>0.733333333333333</v>
      </c>
      <c r="AQ40" s="162" t="s"/>
      <c r="AR40" s="162" t="s"/>
      <c r="AS40" s="162" t="s"/>
      <c r="AT40" s="162">
        <v>0.5</v>
      </c>
      <c r="AU40" s="162" t="s"/>
      <c r="AV40" s="162" t="s"/>
      <c r="AW40" s="162" t="s"/>
      <c r="AX40" s="162" t="s"/>
      <c r="AY40" s="162">
        <v>0.5</v>
      </c>
      <c r="AZ40" s="162" t="s"/>
      <c r="BA40" s="162">
        <v>1</v>
      </c>
      <c r="BB40" s="160">
        <f>=SUM(AQ40:BA40)/7.5</f>
        <v>0.266666666666667</v>
      </c>
      <c r="BC40" s="163" t="s"/>
      <c r="BD40" s="163" t="s"/>
      <c r="BE40" s="163" t="s"/>
      <c r="BF40" s="163" t="s"/>
      <c r="BG40" s="163">
        <v>1</v>
      </c>
      <c r="BH40" s="163" t="s"/>
      <c r="BI40" s="164">
        <v>1</v>
      </c>
      <c r="BJ40" s="163">
        <v>0.5</v>
      </c>
      <c r="BK40" s="164" t="s"/>
      <c r="BL40" s="165">
        <v>1</v>
      </c>
      <c r="BM40" s="163">
        <v>1</v>
      </c>
      <c r="BN40" s="166">
        <f>=SUM(BC40:BM40)/9</f>
        <v>0.5</v>
      </c>
      <c r="BO40" s="163" t="s"/>
      <c r="BP40" s="163" t="s"/>
    </row>
    <row r="41" spans="1:68" ht="13.5" hidden="true">
      <c r="A41" s="18">
        <v>32629</v>
      </c>
      <c r="B41" s="18" t="s">
        <v>62</v>
      </c>
      <c r="C41" s="18" t="s">
        <v>31</v>
      </c>
      <c r="D41" s="18" t="s">
        <v>32</v>
      </c>
      <c r="E41" s="18" t="s">
        <v>267</v>
      </c>
      <c r="F41" s="18" t="s"/>
      <c r="G41" s="18" t="s">
        <v>44</v>
      </c>
      <c r="H41" s="175">
        <v>44125</v>
      </c>
      <c r="I41" s="18">
        <f>=SUM(X41:AD41)</f>
        <v>0</v>
      </c>
      <c r="J41" s="18" t="e">
        <f>=VLOOKUP(A41,绩效计算表!A:AI,9,FALSE)</f>
        <v>#N/A</v>
      </c>
      <c r="K41" s="18">
        <f>=SUM(AF41:AO41)</f>
        <v>0</v>
      </c>
      <c r="L41" s="18" t="e">
        <f>=VLOOKUP(A41,绩效计算表!A:AI,15,FALSE)</f>
        <v>#N/A</v>
      </c>
      <c r="M41" s="18">
        <f>=SUM(AQ41:BA41)</f>
        <v>0</v>
      </c>
      <c r="N41" s="18" t="e">
        <f>=VLOOKUP(A41,绩效计算表!A:AI,23,FALSE)</f>
        <v>#N/A</v>
      </c>
      <c r="O41" s="18">
        <f>=SUM(BC41:BM41)+SUM(BO41:BP41)</f>
        <v>0</v>
      </c>
      <c r="P41" s="18" t="e">
        <f>=VLOOKUP(A41,绩效计算表!A:AI,30,FALSE)</f>
        <v>#N/A</v>
      </c>
      <c r="Q41" s="18">
        <f>=I41+K41+M41+O41</f>
        <v>0</v>
      </c>
      <c r="R41" s="156" t="s">
        <v>557</v>
      </c>
      <c r="S41" s="156" t="s">
        <v>558</v>
      </c>
      <c r="T41" s="155" t="s">
        <v>512</v>
      </c>
      <c r="U41" s="156" t="s">
        <v>559</v>
      </c>
      <c r="V41" s="156" t="s">
        <v>538</v>
      </c>
      <c r="W41" s="156" t="s">
        <v>560</v>
      </c>
      <c r="X41" s="157" t="s"/>
      <c r="Y41" s="158" t="s"/>
      <c r="Z41" s="158" t="s"/>
      <c r="AA41" s="158" t="s"/>
      <c r="AB41" s="158" t="s"/>
      <c r="AC41" s="158" t="s"/>
      <c r="AD41" s="159" t="s"/>
      <c r="AE41" s="171">
        <f>=SUM(X41:AD41)/6</f>
        <v>0</v>
      </c>
      <c r="AF41" s="159" t="s"/>
      <c r="AG41" s="161" t="s"/>
      <c r="AL41" s="162" t="s"/>
      <c r="AM41" s="162" t="s"/>
      <c r="AN41" s="162" t="s"/>
      <c r="AO41" s="162" t="s"/>
      <c r="AP41" s="160">
        <f>=SUM(AF41:AO41)/7.5</f>
        <v>0</v>
      </c>
      <c r="AQ41" s="162" t="s"/>
      <c r="AR41" s="162" t="s"/>
      <c r="AS41" s="162" t="s"/>
      <c r="AT41" s="162" t="s"/>
      <c r="AU41" s="162" t="s"/>
      <c r="AV41" s="162" t="s"/>
      <c r="AW41" s="162" t="s"/>
      <c r="AX41" s="162" t="s"/>
      <c r="AY41" s="162" t="s"/>
      <c r="AZ41" s="162" t="s"/>
      <c r="BA41" s="162" t="s"/>
      <c r="BB41" s="160">
        <f>=SUM(AQ41:BA41)/7.5</f>
        <v>0</v>
      </c>
      <c r="BC41" s="163" t="s"/>
      <c r="BD41" s="163" t="s"/>
      <c r="BE41" s="163" t="s"/>
      <c r="BF41" s="163" t="s"/>
      <c r="BG41" s="163" t="s"/>
      <c r="BH41" s="163" t="s"/>
      <c r="BI41" s="164" t="s"/>
      <c r="BJ41" s="163" t="s"/>
      <c r="BK41" s="164" t="s"/>
      <c r="BL41" s="163" t="s"/>
      <c r="BM41" s="163" t="s"/>
      <c r="BN41" s="166">
        <f>=SUM(BC41:BM41)/9</f>
        <v>0</v>
      </c>
      <c r="BO41" s="163" t="s"/>
      <c r="BP41" s="163" t="s"/>
    </row>
    <row r="42" spans="1:68" ht="13.5">
      <c r="A42" s="18">
        <v>89973</v>
      </c>
      <c r="B42" s="18" t="s">
        <v>134</v>
      </c>
      <c r="C42" s="18" t="s">
        <v>31</v>
      </c>
      <c r="D42" s="18" t="s">
        <v>32</v>
      </c>
      <c r="E42" s="18" t="s">
        <v>267</v>
      </c>
      <c r="F42" s="18" t="s"/>
      <c r="G42" s="18" t="s">
        <v>44</v>
      </c>
      <c r="H42" s="175">
        <v>43675</v>
      </c>
      <c r="I42" s="18">
        <f>=SUM(X42:AD42)</f>
        <v>0</v>
      </c>
      <c r="J42" s="18" t="s">
        <f>=VLOOKUP(A42,绩效计算表!A:AI,9,FALSE)</f>
        <v>116</v>
      </c>
      <c r="K42" s="18">
        <f>=SUM(AF42:AO42)</f>
        <v>0</v>
      </c>
      <c r="L42" s="18" t="s">
        <f>=VLOOKUP(A42,绩效计算表!A:AI,15,FALSE)</f>
        <v>116</v>
      </c>
      <c r="M42" s="18">
        <f>=SUM(AQ42:BA42)</f>
        <v>0</v>
      </c>
      <c r="N42" s="18" t="s">
        <f>=VLOOKUP(A42,绩效计算表!A:AI,23,FALSE)</f>
        <v>116</v>
      </c>
      <c r="O42" s="18">
        <f>=SUM(BC42:BM42)+SUM(BO42:BP42)</f>
        <v>0</v>
      </c>
      <c r="P42" s="18" t="s">
        <f>=VLOOKUP(A42,绩效计算表!A:AI,30,FALSE)</f>
        <v>116</v>
      </c>
      <c r="Q42" s="18">
        <f>=I42+K42+M42+O42</f>
        <v>0</v>
      </c>
      <c r="R42" s="156" t="s">
        <v>561</v>
      </c>
      <c r="S42" s="156" t="s">
        <v>562</v>
      </c>
      <c r="T42" s="155" t="s">
        <v>509</v>
      </c>
      <c r="U42" s="156" t="s"/>
      <c r="V42" s="156" t="s">
        <v>563</v>
      </c>
      <c r="W42" s="156" t="s">
        <v>564</v>
      </c>
      <c r="X42" s="157" t="s"/>
      <c r="Y42" s="158" t="s"/>
      <c r="Z42" s="158" t="s"/>
      <c r="AA42" s="158" t="s"/>
      <c r="AB42" s="158" t="s"/>
      <c r="AC42" s="158" t="s"/>
      <c r="AD42" s="159" t="s"/>
      <c r="AE42" s="171">
        <f>=SUM(X42:AD42)/6</f>
        <v>0</v>
      </c>
      <c r="AF42" s="159" t="s"/>
      <c r="AG42" s="161" t="s"/>
      <c r="AL42" s="162" t="s"/>
      <c r="AM42" s="162" t="s"/>
      <c r="AN42" s="162" t="s"/>
      <c r="AO42" s="162" t="s"/>
      <c r="AP42" s="160">
        <f>=SUM(AF42:AO42)/7.5</f>
        <v>0</v>
      </c>
      <c r="AQ42" s="162" t="s"/>
      <c r="AR42" s="162" t="s"/>
      <c r="AS42" s="162" t="s"/>
      <c r="AT42" s="162" t="s"/>
      <c r="AU42" s="162" t="s"/>
      <c r="AV42" s="162" t="s"/>
      <c r="AW42" s="162" t="s"/>
      <c r="AX42" s="162" t="s"/>
      <c r="AY42" s="162" t="s"/>
      <c r="AZ42" s="162" t="s"/>
      <c r="BA42" s="162" t="s"/>
      <c r="BB42" s="160">
        <f>=SUM(AQ42:BA42)/7.5</f>
        <v>0</v>
      </c>
      <c r="BC42" s="163" t="s"/>
      <c r="BD42" s="163" t="s"/>
      <c r="BE42" s="163" t="s"/>
      <c r="BF42" s="163" t="s"/>
      <c r="BG42" s="163" t="s"/>
      <c r="BH42" s="163" t="s"/>
      <c r="BI42" s="164" t="s"/>
      <c r="BJ42" s="163" t="s"/>
      <c r="BK42" s="164" t="s"/>
      <c r="BL42" s="163" t="s"/>
      <c r="BM42" s="163" t="s"/>
      <c r="BN42" s="166">
        <f>=SUM(BC42:BM42)/9</f>
        <v>0</v>
      </c>
      <c r="BO42" s="163" t="s"/>
      <c r="BP42" s="163" t="s"/>
    </row>
    <row r="43" spans="1:68" ht="13.5">
      <c r="A43" s="18">
        <v>17220</v>
      </c>
      <c r="B43" s="18" t="s">
        <v>146</v>
      </c>
      <c r="C43" s="18" t="s">
        <v>31</v>
      </c>
      <c r="D43" s="18" t="s">
        <v>32</v>
      </c>
      <c r="E43" s="18" t="s">
        <v>267</v>
      </c>
      <c r="F43" s="18" t="s"/>
      <c r="G43" s="18" t="s">
        <v>44</v>
      </c>
      <c r="H43" s="175">
        <v>42459</v>
      </c>
      <c r="I43" s="18">
        <f>=SUM(X43:AD43)</f>
        <v>0</v>
      </c>
      <c r="J43" s="18" t="s">
        <f>=VLOOKUP(A43,绩效计算表!A:AI,9,FALSE)</f>
        <v>116</v>
      </c>
      <c r="K43" s="18">
        <f>=SUM(AF43:AO43)</f>
        <v>0.5</v>
      </c>
      <c r="L43" s="18" t="s">
        <f>=VLOOKUP(A43,绩效计算表!A:AI,15,FALSE)</f>
        <v>116</v>
      </c>
      <c r="M43" s="18">
        <f>=SUM(AQ43:BA43)</f>
        <v>0</v>
      </c>
      <c r="N43" s="18" t="s">
        <f>=VLOOKUP(A43,绩效计算表!A:AI,23,FALSE)</f>
        <v>116</v>
      </c>
      <c r="O43" s="18">
        <f>=SUM(BC43:BM43)+SUM(BO43:BP43)</f>
        <v>0.5</v>
      </c>
      <c r="P43" s="18" t="s">
        <f>=VLOOKUP(A43,绩效计算表!A:AI,30,FALSE)</f>
        <v>116</v>
      </c>
      <c r="Q43" s="18">
        <f>=I43+K43+M43+O43</f>
        <v>1</v>
      </c>
      <c r="R43" s="156" t="s">
        <v>565</v>
      </c>
      <c r="S43" s="156" t="s">
        <v>566</v>
      </c>
      <c r="T43" s="155" t="s">
        <v>512</v>
      </c>
      <c r="U43" s="156" t="s"/>
      <c r="V43" s="156" t="s"/>
      <c r="W43" s="156" t="s">
        <v>567</v>
      </c>
      <c r="X43" s="157" t="s"/>
      <c r="Y43" s="158" t="s"/>
      <c r="Z43" s="158" t="s"/>
      <c r="AA43" s="158" t="s"/>
      <c r="AB43" s="158" t="s"/>
      <c r="AC43" s="158" t="s"/>
      <c r="AD43" s="159" t="s"/>
      <c r="AE43" s="171">
        <f>=SUM(X43:AD43)/6</f>
        <v>0</v>
      </c>
      <c r="AF43" s="159" t="s"/>
      <c r="AG43" s="161" t="s"/>
      <c r="AL43" s="162" t="s"/>
      <c r="AM43" s="162" t="s"/>
      <c r="AN43" s="162" t="s"/>
      <c r="AO43" s="162">
        <v>0.5</v>
      </c>
      <c r="AP43" s="160">
        <f>=SUM(AF43:AO43)/7.5</f>
        <v>0.0666666666666667</v>
      </c>
      <c r="AQ43" s="162" t="s"/>
      <c r="AR43" s="162" t="s"/>
      <c r="AS43" s="162" t="s"/>
      <c r="AT43" s="162" t="s"/>
      <c r="AU43" s="162" t="s"/>
      <c r="AV43" s="162" t="s"/>
      <c r="AW43" s="162" t="s"/>
      <c r="AX43" s="162" t="s"/>
      <c r="AY43" s="162" t="s"/>
      <c r="AZ43" s="162" t="s"/>
      <c r="BA43" s="162" t="s"/>
      <c r="BB43" s="160">
        <f>=SUM(AQ43:BA43)/7.5</f>
        <v>0</v>
      </c>
      <c r="BC43" s="163" t="s"/>
      <c r="BD43" s="163" t="s"/>
      <c r="BE43" s="163" t="s"/>
      <c r="BF43" s="163" t="s"/>
      <c r="BG43" s="163" t="s"/>
      <c r="BH43" s="163" t="s"/>
      <c r="BI43" s="164" t="s"/>
      <c r="BJ43" s="163">
        <v>0.5</v>
      </c>
      <c r="BK43" s="164" t="s"/>
      <c r="BL43" s="163" t="s"/>
      <c r="BM43" s="163" t="s"/>
      <c r="BN43" s="166">
        <f>=SUM(BC43:BM43)/9</f>
        <v>0.0555555555555556</v>
      </c>
      <c r="BO43" s="163" t="s"/>
      <c r="BP43" s="163" t="s"/>
    </row>
    <row r="44" spans="1:68" ht="13.5">
      <c r="A44" s="18">
        <v>23167</v>
      </c>
      <c r="B44" s="18" t="s">
        <v>107</v>
      </c>
      <c r="C44" s="18" t="s">
        <v>31</v>
      </c>
      <c r="D44" s="18" t="s">
        <v>32</v>
      </c>
      <c r="E44" s="18" t="s">
        <v>267</v>
      </c>
      <c r="F44" s="18" t="s"/>
      <c r="G44" s="18" t="s">
        <v>44</v>
      </c>
      <c r="H44" s="175">
        <v>43068</v>
      </c>
      <c r="I44" s="18">
        <f>=SUM(X44:AD44)</f>
        <v>2.5</v>
      </c>
      <c r="J44" s="18" t="s">
        <f>=VLOOKUP(A44,绩效计算表!A:AI,9,FALSE)</f>
        <v>108</v>
      </c>
      <c r="K44" s="18">
        <f>=SUM(AF44:AO44)</f>
        <v>3</v>
      </c>
      <c r="L44" s="18" t="s">
        <f>=VLOOKUP(A44,绩效计算表!A:AI,15,FALSE)</f>
        <v>108</v>
      </c>
      <c r="M44" s="18">
        <f>=SUM(AQ44:BA44)</f>
        <v>2</v>
      </c>
      <c r="N44" s="18" t="s">
        <f>=VLOOKUP(A44,绩效计算表!A:AI,23,FALSE)</f>
        <v>108</v>
      </c>
      <c r="O44" s="18">
        <f>=SUM(BC44:BM44)+SUM(BO44:BP44)</f>
        <v>4</v>
      </c>
      <c r="P44" s="18" t="s">
        <f>=VLOOKUP(A44,绩效计算表!A:AI,30,FALSE)</f>
        <v>108</v>
      </c>
      <c r="Q44" s="18">
        <f>=I44+K44+M44+O44</f>
        <v>11.5</v>
      </c>
      <c r="R44" s="156" t="s">
        <v>568</v>
      </c>
      <c r="S44" s="156" t="s">
        <v>569</v>
      </c>
      <c r="T44" s="155" t="s">
        <v>501</v>
      </c>
      <c r="U44" s="156" t="s"/>
      <c r="V44" s="156" t="s">
        <v>570</v>
      </c>
      <c r="W44" s="156" t="s">
        <v>571</v>
      </c>
      <c r="X44" s="157" t="s"/>
      <c r="Y44" s="158">
        <v>1</v>
      </c>
      <c r="Z44" s="158">
        <v>0.5</v>
      </c>
      <c r="AA44" s="158" t="s"/>
      <c r="AB44" s="158" t="s"/>
      <c r="AC44" s="158">
        <v>1</v>
      </c>
      <c r="AD44" s="159" t="s"/>
      <c r="AE44" s="160">
        <f>=SUM(X44:AD44)/6</f>
        <v>0.416666666666667</v>
      </c>
      <c r="AF44" s="159" t="s"/>
      <c r="AG44" s="161">
        <v>1</v>
      </c>
      <c r="AI44" s="158">
        <v>1</v>
      </c>
      <c r="AL44" s="162" t="s"/>
      <c r="AM44" s="162">
        <v>1</v>
      </c>
      <c r="AN44" s="162" t="s"/>
      <c r="AO44" s="162" t="s"/>
      <c r="AP44" s="160">
        <f>=SUM(AF44:AO44)/7.5</f>
        <v>0.4</v>
      </c>
      <c r="AQ44" s="162" t="s"/>
      <c r="AR44" s="162">
        <v>1</v>
      </c>
      <c r="AS44" s="162" t="s"/>
      <c r="AT44" s="162" t="s"/>
      <c r="AU44" s="162" t="s"/>
      <c r="AV44" s="162" t="s"/>
      <c r="AW44" s="162" t="s"/>
      <c r="AX44" s="162" t="s"/>
      <c r="AY44" s="162" t="s"/>
      <c r="AZ44" s="162" t="s"/>
      <c r="BA44" s="162">
        <v>1</v>
      </c>
      <c r="BB44" s="160">
        <f>=SUM(AQ44:BA44)/7.5</f>
        <v>0.266666666666667</v>
      </c>
      <c r="BC44" s="163" t="s"/>
      <c r="BD44" s="163" t="s"/>
      <c r="BE44" s="163" t="s"/>
      <c r="BF44" s="163" t="s"/>
      <c r="BG44" s="163">
        <v>1</v>
      </c>
      <c r="BH44" s="163" t="s"/>
      <c r="BI44" s="164">
        <v>1</v>
      </c>
      <c r="BJ44" s="163" t="s"/>
      <c r="BK44" s="164" t="s"/>
      <c r="BL44" s="165">
        <v>1</v>
      </c>
      <c r="BM44" s="163">
        <v>1</v>
      </c>
      <c r="BN44" s="166">
        <f>=SUM(BC44:BM44)/9</f>
        <v>0.444444444444445</v>
      </c>
      <c r="BO44" s="163" t="s"/>
      <c r="BP44" s="163" t="s"/>
    </row>
    <row r="45" spans="1:68" ht="13.5">
      <c r="A45" s="18">
        <v>60993</v>
      </c>
      <c r="B45" s="18" t="s">
        <v>129</v>
      </c>
      <c r="C45" s="18" t="s">
        <v>31</v>
      </c>
      <c r="D45" s="18" t="s">
        <v>32</v>
      </c>
      <c r="E45" s="18" t="s">
        <v>267</v>
      </c>
      <c r="F45" s="18" t="s"/>
      <c r="G45" s="18" t="s">
        <v>44</v>
      </c>
      <c r="H45" s="175">
        <v>44746</v>
      </c>
      <c r="I45" s="18">
        <f>=SUM(X45:AD45)</f>
        <v>0</v>
      </c>
      <c r="J45" s="18" t="s">
        <f>=VLOOKUP(A45,绩效计算表!A:AI,9,FALSE)</f>
        <v>116</v>
      </c>
      <c r="K45" s="18">
        <f>=SUM(AF45:AO45)</f>
        <v>0</v>
      </c>
      <c r="L45" s="18" t="s">
        <f>=VLOOKUP(A45,绩效计算表!A:AI,15,FALSE)</f>
        <v>116</v>
      </c>
      <c r="M45" s="18">
        <f>=SUM(AQ45:BA45)</f>
        <v>0</v>
      </c>
      <c r="N45" s="18" t="s">
        <f>=VLOOKUP(A45,绩效计算表!A:AI,23,FALSE)</f>
        <v>116</v>
      </c>
      <c r="O45" s="18">
        <f>=SUM(BC45:BM45)+SUM(BO45:BP45)</f>
        <v>0</v>
      </c>
      <c r="P45" s="18" t="s">
        <f>=VLOOKUP(A45,绩效计算表!A:AI,30,FALSE)</f>
        <v>116</v>
      </c>
      <c r="Q45" s="18">
        <f>=I45+K45+M45+O45</f>
        <v>0</v>
      </c>
      <c r="R45" s="156" t="s">
        <v>572</v>
      </c>
      <c r="S45" s="156" t="s">
        <v>573</v>
      </c>
      <c r="T45" s="155" t="s">
        <v>509</v>
      </c>
      <c r="U45" s="156" t="s"/>
      <c r="V45" s="156" t="s"/>
      <c r="W45" s="156" t="s">
        <v>574</v>
      </c>
      <c r="X45" s="157" t="s"/>
      <c r="Y45" s="158" t="s"/>
      <c r="Z45" s="158" t="s"/>
      <c r="AA45" s="158" t="s"/>
      <c r="AB45" s="158" t="s"/>
      <c r="AC45" s="158" t="s"/>
      <c r="AD45" s="159" t="s"/>
      <c r="AE45" s="171">
        <f>=SUM(X45:AD45)/6</f>
        <v>0</v>
      </c>
      <c r="AF45" s="159" t="s"/>
      <c r="AG45" s="161" t="s"/>
      <c r="AL45" s="162" t="s"/>
      <c r="AM45" s="162" t="s"/>
      <c r="AN45" s="162" t="s"/>
      <c r="AO45" s="162" t="s"/>
      <c r="AP45" s="160">
        <f>=SUM(AF45:AO45)/7.5</f>
        <v>0</v>
      </c>
      <c r="AQ45" s="162" t="s"/>
      <c r="AR45" s="162" t="s"/>
      <c r="AS45" s="162" t="s"/>
      <c r="AT45" s="162" t="s"/>
      <c r="AU45" s="162" t="s"/>
      <c r="AV45" s="162" t="s"/>
      <c r="AW45" s="162" t="s"/>
      <c r="AX45" s="162" t="s"/>
      <c r="AY45" s="162" t="s"/>
      <c r="AZ45" s="162" t="s"/>
      <c r="BA45" s="162" t="s"/>
      <c r="BB45" s="160">
        <f>=SUM(AQ45:BA45)/7.5</f>
        <v>0</v>
      </c>
      <c r="BC45" s="163" t="s"/>
      <c r="BD45" s="163" t="s"/>
      <c r="BE45" s="163" t="s"/>
      <c r="BF45" s="163" t="s"/>
      <c r="BG45" s="163" t="s"/>
      <c r="BH45" s="163" t="s"/>
      <c r="BI45" s="164" t="s"/>
      <c r="BJ45" s="163" t="s"/>
      <c r="BK45" s="164" t="s"/>
      <c r="BL45" s="163" t="s"/>
      <c r="BM45" s="163" t="s"/>
      <c r="BN45" s="166">
        <f>=SUM(BC45:BM45)/9</f>
        <v>0</v>
      </c>
      <c r="BO45" s="163" t="s"/>
      <c r="BP45" s="163" t="s"/>
    </row>
    <row r="46" spans="1:68" ht="13.5">
      <c r="A46" s="18">
        <v>75912</v>
      </c>
      <c r="B46" s="18" t="s">
        <v>119</v>
      </c>
      <c r="C46" s="18" t="s">
        <v>31</v>
      </c>
      <c r="D46" s="18" t="s">
        <v>32</v>
      </c>
      <c r="E46" s="18" t="s">
        <v>267</v>
      </c>
      <c r="F46" s="18" t="s"/>
      <c r="G46" s="18" t="s">
        <v>44</v>
      </c>
      <c r="H46" s="175">
        <v>39639</v>
      </c>
      <c r="I46" s="18">
        <f>=SUM(X46:AD46)</f>
        <v>3</v>
      </c>
      <c r="J46" s="18" t="s">
        <f>=VLOOKUP(A46,绩效计算表!A:AI,9,FALSE)</f>
        <v>108</v>
      </c>
      <c r="K46" s="18">
        <f>=SUM(AF46:AO46)</f>
        <v>3</v>
      </c>
      <c r="L46" s="18" t="s">
        <f>=VLOOKUP(A46,绩效计算表!A:AI,15,FALSE)</f>
        <v>116</v>
      </c>
      <c r="M46" s="18">
        <f>=SUM(AQ46:BA46)</f>
        <v>0</v>
      </c>
      <c r="N46" s="18" t="s">
        <f>=VLOOKUP(A46,绩效计算表!A:AI,23,FALSE)</f>
        <v>116</v>
      </c>
      <c r="O46" s="18">
        <f>=SUM(BC46:BM46)+SUM(BO46:BP46)</f>
        <v>0</v>
      </c>
      <c r="P46" s="18" t="s">
        <f>=VLOOKUP(A46,绩效计算表!A:AI,30,FALSE)</f>
        <v>116</v>
      </c>
      <c r="Q46" s="18">
        <f>=I46+K46+M46+O46</f>
        <v>6</v>
      </c>
      <c r="R46" s="156" t="s">
        <v>575</v>
      </c>
      <c r="S46" s="156" t="s">
        <v>576</v>
      </c>
      <c r="T46" s="155" t="s">
        <v>512</v>
      </c>
      <c r="U46" s="156" t="s"/>
      <c r="V46" s="156" t="s"/>
      <c r="W46" s="156" t="s">
        <v>577</v>
      </c>
      <c r="X46" s="157" t="s"/>
      <c r="Y46" s="158">
        <v>1</v>
      </c>
      <c r="Z46" s="158" t="s"/>
      <c r="AA46" s="158">
        <v>1</v>
      </c>
      <c r="AB46" s="158" t="s"/>
      <c r="AC46" s="158">
        <v>1</v>
      </c>
      <c r="AD46" s="159" t="s"/>
      <c r="AE46" s="160">
        <f>=SUM(X46:AD46)/6</f>
        <v>0.5</v>
      </c>
      <c r="AF46" s="159" t="s"/>
      <c r="AG46" s="161">
        <v>1</v>
      </c>
      <c r="AL46" s="162" t="s"/>
      <c r="AM46" s="162">
        <v>1</v>
      </c>
      <c r="AN46" s="162">
        <v>1</v>
      </c>
      <c r="AO46" s="162" t="s"/>
      <c r="AP46" s="160">
        <f>=SUM(AF46:AO46)/7.5</f>
        <v>0.4</v>
      </c>
      <c r="AQ46" s="162" t="s"/>
      <c r="AR46" s="162" t="s"/>
      <c r="AS46" s="162" t="s"/>
      <c r="AT46" s="162" t="s"/>
      <c r="AU46" s="162" t="s"/>
      <c r="AV46" s="162" t="s"/>
      <c r="AW46" s="162" t="s"/>
      <c r="AX46" s="162" t="s"/>
      <c r="AY46" s="162" t="s"/>
      <c r="AZ46" s="162" t="s"/>
      <c r="BA46" s="162" t="s"/>
      <c r="BB46" s="160">
        <f>=SUM(AQ46:BA46)/7.5</f>
        <v>0</v>
      </c>
      <c r="BC46" s="163" t="s"/>
      <c r="BD46" s="163" t="s"/>
      <c r="BE46" s="163" t="s"/>
      <c r="BF46" s="163" t="s"/>
      <c r="BG46" s="163" t="s"/>
      <c r="BH46" s="163" t="s"/>
      <c r="BI46" s="164" t="s"/>
      <c r="BJ46" s="163" t="s"/>
      <c r="BK46" s="164" t="s"/>
      <c r="BL46" s="163" t="s"/>
      <c r="BM46" s="163" t="s"/>
      <c r="BN46" s="166">
        <f>=SUM(BC46:BM46)/9</f>
        <v>0</v>
      </c>
      <c r="BO46" s="163" t="s"/>
      <c r="BP46" s="163" t="s"/>
    </row>
    <row r="47" spans="1:68" ht="13.5">
      <c r="A47" s="18">
        <v>29586</v>
      </c>
      <c r="B47" s="18" t="s">
        <v>143</v>
      </c>
      <c r="C47" s="18" t="s">
        <v>31</v>
      </c>
      <c r="D47" s="18" t="s">
        <v>32</v>
      </c>
      <c r="E47" s="18" t="s">
        <v>267</v>
      </c>
      <c r="F47" s="18" t="s"/>
      <c r="G47" s="18" t="s">
        <v>44</v>
      </c>
      <c r="H47" s="175">
        <v>43035</v>
      </c>
      <c r="I47" s="18">
        <f>=SUM(X47:AD47)</f>
        <v>0</v>
      </c>
      <c r="J47" s="18" t="s">
        <f>=VLOOKUP(A47,绩效计算表!A:AI,9,FALSE)</f>
        <v>116</v>
      </c>
      <c r="K47" s="18">
        <f>=SUM(AF47:AO47)</f>
        <v>0</v>
      </c>
      <c r="L47" s="18" t="s">
        <f>=VLOOKUP(A47,绩效计算表!A:AI,15,FALSE)</f>
        <v>116</v>
      </c>
      <c r="M47" s="18">
        <f>=SUM(AQ47:BA47)</f>
        <v>1.5</v>
      </c>
      <c r="N47" s="18" t="s">
        <f>=VLOOKUP(A47,绩效计算表!A:AI,23,FALSE)</f>
        <v>116</v>
      </c>
      <c r="O47" s="18">
        <f>=SUM(BC47:BM47)+SUM(BO47:BP47)</f>
        <v>0.5</v>
      </c>
      <c r="P47" s="18" t="s">
        <f>=VLOOKUP(A47,绩效计算表!A:AI,30,FALSE)</f>
        <v>116</v>
      </c>
      <c r="Q47" s="18">
        <f>=I47+K47+M47+O47</f>
        <v>2</v>
      </c>
      <c r="R47" s="156" t="s">
        <v>578</v>
      </c>
      <c r="S47" s="156" t="s">
        <v>579</v>
      </c>
      <c r="T47" s="155" t="s">
        <v>512</v>
      </c>
      <c r="U47" s="156" t="s"/>
      <c r="V47" s="156" t="s"/>
      <c r="W47" s="156" t="s">
        <v>580</v>
      </c>
      <c r="X47" s="157" t="s"/>
      <c r="Y47" s="158" t="s"/>
      <c r="Z47" s="158" t="s"/>
      <c r="AA47" s="158" t="s"/>
      <c r="AB47" s="158" t="s"/>
      <c r="AC47" s="158" t="s"/>
      <c r="AD47" s="159" t="s"/>
      <c r="AE47" s="171">
        <f>=SUM(X47:AD47)/6</f>
        <v>0</v>
      </c>
      <c r="AF47" s="159" t="s"/>
      <c r="AG47" s="161" t="s"/>
      <c r="AL47" s="162" t="s"/>
      <c r="AM47" s="162" t="s"/>
      <c r="AN47" s="162" t="s"/>
      <c r="AO47" s="162" t="s"/>
      <c r="AP47" s="160">
        <f>=SUM(AF47:AO47)/7.5</f>
        <v>0</v>
      </c>
      <c r="AQ47" s="162" t="s"/>
      <c r="AR47" s="162" t="s"/>
      <c r="AS47" s="162" t="s"/>
      <c r="AT47" s="162" t="s"/>
      <c r="AU47" s="162" t="s"/>
      <c r="AV47" s="162" t="s"/>
      <c r="AW47" s="162" t="s"/>
      <c r="AX47" s="162">
        <v>1</v>
      </c>
      <c r="AY47" s="162">
        <v>0.5</v>
      </c>
      <c r="AZ47" s="162" t="s"/>
      <c r="BA47" s="162" t="s"/>
      <c r="BB47" s="160">
        <f>=SUM(AQ47:BA47)/7.5</f>
        <v>0.2</v>
      </c>
      <c r="BC47" s="163" t="s"/>
      <c r="BD47" s="163" t="s"/>
      <c r="BE47" s="163" t="s"/>
      <c r="BF47" s="163" t="s"/>
      <c r="BG47" s="163" t="s"/>
      <c r="BH47" s="163" t="s"/>
      <c r="BI47" s="164" t="s"/>
      <c r="BJ47" s="163">
        <v>0.5</v>
      </c>
      <c r="BK47" s="164" t="s"/>
      <c r="BL47" s="163" t="s"/>
      <c r="BM47" s="163" t="s"/>
      <c r="BN47" s="166">
        <f>=SUM(BC47:BM47)/9</f>
        <v>0.0555555555555556</v>
      </c>
      <c r="BO47" s="163" t="s"/>
      <c r="BP47" s="163" t="s"/>
    </row>
    <row r="48" spans="1:68" ht="13.5">
      <c r="A48" s="176">
        <v>49066</v>
      </c>
      <c r="B48" s="19" t="s">
        <v>581</v>
      </c>
      <c r="C48" s="18" t="s"/>
      <c r="D48" s="18" t="s"/>
      <c r="E48" s="18" t="s"/>
      <c r="F48" s="18" t="s"/>
      <c r="G48" s="18" t="s"/>
      <c r="H48" s="179" t="s"/>
      <c r="I48" s="18" t="s"/>
      <c r="J48" s="18" t="s"/>
      <c r="K48" s="18" t="s"/>
      <c r="L48" s="18" t="s"/>
      <c r="M48" s="18" t="s"/>
      <c r="N48" s="18" t="s"/>
      <c r="O48" s="18" t="s"/>
      <c r="P48" s="18" t="s"/>
      <c r="Q48" s="18">
        <f>=I48+K48+M48+O48</f>
        <v>0</v>
      </c>
      <c r="S48" s="156" t="s"/>
      <c r="T48" s="155" t="s"/>
      <c r="U48" s="156" t="s"/>
      <c r="V48" s="156" t="s"/>
      <c r="W48" s="156" t="s"/>
      <c r="X48" s="157" t="s"/>
      <c r="Y48" s="158" t="s"/>
      <c r="Z48" s="158" t="s"/>
      <c r="AA48" s="158" t="s"/>
      <c r="AB48" s="158" t="s"/>
      <c r="AC48" s="158" t="s"/>
      <c r="AD48" s="159" t="s"/>
      <c r="AE48" s="160" t="s"/>
      <c r="AF48" s="159" t="s"/>
      <c r="AG48" s="161" t="s"/>
      <c r="AL48" s="162" t="s"/>
      <c r="AM48" s="162" t="s"/>
      <c r="AN48" s="162" t="s"/>
      <c r="AO48" s="162" t="s"/>
      <c r="AP48" s="160" t="s"/>
      <c r="AQ48" s="162" t="s"/>
      <c r="AR48" s="162" t="s"/>
      <c r="AS48" s="162" t="s"/>
      <c r="AT48" s="162" t="s"/>
      <c r="AU48" s="162" t="s"/>
      <c r="AV48" s="162" t="s"/>
      <c r="AW48" s="162" t="s"/>
      <c r="AX48" s="162" t="s"/>
      <c r="AY48" s="162" t="s"/>
      <c r="AZ48" s="162" t="s"/>
      <c r="BA48" s="162" t="s"/>
      <c r="BB48" s="160" t="s"/>
      <c r="BC48" s="163" t="s"/>
      <c r="BD48" s="163" t="s"/>
      <c r="BE48" s="163" t="s"/>
      <c r="BF48" s="163" t="s"/>
      <c r="BG48" s="163" t="s"/>
      <c r="BH48" s="163" t="s"/>
      <c r="BI48" s="164" t="s"/>
      <c r="BJ48" s="163" t="s"/>
      <c r="BK48" s="164" t="s"/>
      <c r="BL48" s="163" t="s"/>
      <c r="BM48" s="163" t="s"/>
      <c r="BN48" s="180" t="s"/>
      <c r="BO48" s="163" t="s"/>
      <c r="BP48" s="163" t="s"/>
    </row>
    <row r="49" spans="1:68" ht="13.5">
      <c r="A49" s="18">
        <v>46032</v>
      </c>
      <c r="B49" s="19" t="s">
        <v>400</v>
      </c>
      <c r="C49" s="18" t="s">
        <v>31</v>
      </c>
      <c r="D49" s="18" t="s">
        <v>32</v>
      </c>
      <c r="E49" s="18" t="s">
        <v>267</v>
      </c>
      <c r="F49" s="18" t="s">
        <v>64</v>
      </c>
      <c r="G49" s="18" t="s">
        <v>44</v>
      </c>
      <c r="H49" s="179">
        <v>45901</v>
      </c>
      <c r="I49" s="18" t="s"/>
      <c r="J49" s="18" t="s"/>
      <c r="K49" s="18" t="s"/>
      <c r="L49" s="18" t="s"/>
      <c r="M49" s="18" t="s"/>
      <c r="N49" s="18" t="s"/>
      <c r="O49" s="18" t="s"/>
      <c r="P49" s="18" t="s"/>
      <c r="Q49" s="18">
        <f>=I49+K49+M49+O49</f>
        <v>0</v>
      </c>
      <c r="S49" s="156" t="s"/>
      <c r="T49" s="155" t="s"/>
      <c r="U49" s="156" t="s"/>
      <c r="V49" s="156" t="s"/>
      <c r="W49" s="156" t="s"/>
      <c r="X49" s="157" t="s"/>
      <c r="Y49" s="158" t="s"/>
      <c r="Z49" s="158" t="s"/>
      <c r="AA49" s="158" t="s"/>
      <c r="AB49" s="158" t="s"/>
      <c r="AC49" s="158" t="s"/>
      <c r="AD49" s="159" t="s"/>
      <c r="AE49" s="160" t="s"/>
      <c r="AF49" s="159" t="s"/>
      <c r="AG49" s="161" t="s"/>
      <c r="AL49" s="162" t="s"/>
      <c r="AM49" s="162" t="s"/>
      <c r="AN49" s="162" t="s"/>
      <c r="AO49" s="162" t="s"/>
      <c r="AP49" s="160" t="s"/>
      <c r="AQ49" s="162" t="s"/>
      <c r="AR49" s="162" t="s"/>
      <c r="AS49" s="162" t="s"/>
      <c r="AT49" s="162" t="s"/>
      <c r="AU49" s="162" t="s"/>
      <c r="AV49" s="162" t="s"/>
      <c r="AW49" s="162" t="s"/>
      <c r="AX49" s="162" t="s"/>
      <c r="AY49" s="162" t="s"/>
      <c r="AZ49" s="162" t="s"/>
      <c r="BA49" s="162" t="s"/>
      <c r="BB49" s="160">
        <f>=SUM(AQ49:BA49)/7.5</f>
        <v>0</v>
      </c>
      <c r="BC49" s="163" t="s"/>
      <c r="BD49" s="163" t="s"/>
      <c r="BE49" s="163" t="s"/>
      <c r="BF49" s="163" t="s"/>
      <c r="BG49" s="163" t="s"/>
      <c r="BH49" s="163" t="s"/>
      <c r="BI49" s="164" t="s"/>
      <c r="BJ49" s="163" t="s"/>
      <c r="BK49" s="164" t="s"/>
      <c r="BL49" s="163" t="s"/>
      <c r="BM49" s="163" t="s"/>
      <c r="BN49" s="166">
        <f>=SUM(BC49:BM49)/9</f>
        <v>0</v>
      </c>
      <c r="BO49" s="163" t="s"/>
      <c r="BP49" s="163" t="s"/>
    </row>
    <row r="50" spans="1:68" ht="13.5">
      <c r="A50" s="18">
        <v>49087</v>
      </c>
      <c r="B50" s="18" t="s">
        <v>103</v>
      </c>
      <c r="C50" s="18" t="s">
        <v>31</v>
      </c>
      <c r="D50" s="18" t="s">
        <v>32</v>
      </c>
      <c r="E50" s="18" t="s">
        <v>267</v>
      </c>
      <c r="F50" s="18" t="s"/>
      <c r="G50" s="18" t="s">
        <v>44</v>
      </c>
      <c r="H50" s="175">
        <v>41099</v>
      </c>
      <c r="I50" s="18">
        <f>=SUM(X50:AD50)</f>
        <v>3.5</v>
      </c>
      <c r="J50" s="18" t="s">
        <f>=VLOOKUP(A50,绩效计算表!A:AI,9,FALSE)</f>
        <v>101</v>
      </c>
      <c r="K50" s="18">
        <f>=SUM(AF50:AO50)</f>
        <v>6.5</v>
      </c>
      <c r="L50" s="18" t="s">
        <f>=VLOOKUP(A50,绩效计算表!A:AI,15,FALSE)</f>
        <v>101</v>
      </c>
      <c r="M50" s="18">
        <f>=SUM(AQ50:BA50)</f>
        <v>6.75</v>
      </c>
      <c r="N50" s="18" t="s">
        <f>=VLOOKUP(A50,绩效计算表!A:AI,23,FALSE)</f>
        <v>101</v>
      </c>
      <c r="O50" s="18">
        <f>=SUM(BC50:BM50)+SUM(BO50:BP50)</f>
        <v>10</v>
      </c>
      <c r="P50" s="18" t="s">
        <f>=VLOOKUP(A50,绩效计算表!A:AI,30,FALSE)</f>
        <v>101</v>
      </c>
      <c r="Q50" s="18">
        <f>=I50+K50+M50+O50</f>
        <v>26.75</v>
      </c>
      <c r="R50" s="156" t="s">
        <v>582</v>
      </c>
      <c r="S50" s="156" t="s">
        <v>583</v>
      </c>
      <c r="T50" s="155" t="s">
        <v>501</v>
      </c>
      <c r="U50" s="156" t="s"/>
      <c r="V50" s="156" t="s">
        <v>584</v>
      </c>
      <c r="W50" s="156" t="s">
        <v>585</v>
      </c>
      <c r="X50" s="157" t="s"/>
      <c r="Y50" s="158">
        <v>1</v>
      </c>
      <c r="Z50" s="158">
        <v>0.5</v>
      </c>
      <c r="AA50" s="158">
        <v>1</v>
      </c>
      <c r="AB50" s="158" t="s"/>
      <c r="AC50" s="158">
        <v>1</v>
      </c>
      <c r="AD50" s="159" t="s"/>
      <c r="AE50" s="160">
        <f>=SUM(X50:AD50)/6</f>
        <v>0.583333333333334</v>
      </c>
      <c r="AF50" s="159">
        <v>0.5</v>
      </c>
      <c r="AG50" s="161">
        <v>0.5</v>
      </c>
      <c r="AI50" s="158">
        <v>1</v>
      </c>
      <c r="AJ50" s="158">
        <v>1</v>
      </c>
      <c r="AL50" s="162">
        <v>1</v>
      </c>
      <c r="AM50" s="162">
        <v>1</v>
      </c>
      <c r="AN50" s="162">
        <v>1</v>
      </c>
      <c r="AO50" s="162">
        <v>0.5</v>
      </c>
      <c r="AP50" s="160">
        <f>=SUM(AF50:AO50)/7.5</f>
        <v>0.866666666666667</v>
      </c>
      <c r="AQ50" s="162" t="s"/>
      <c r="AR50" s="162">
        <v>0.75</v>
      </c>
      <c r="AS50" s="162">
        <v>0.5</v>
      </c>
      <c r="AT50" s="162">
        <v>0.5</v>
      </c>
      <c r="AU50" s="162">
        <v>1</v>
      </c>
      <c r="AV50" s="162">
        <v>1</v>
      </c>
      <c r="AW50" s="162">
        <v>1</v>
      </c>
      <c r="AX50" s="162">
        <v>1</v>
      </c>
      <c r="AY50" s="162" t="s"/>
      <c r="AZ50" s="162">
        <v>1</v>
      </c>
      <c r="BA50" s="162" t="s"/>
      <c r="BB50" s="160">
        <f>=SUM(AQ50:BA50)/7.5</f>
        <v>0.9</v>
      </c>
      <c r="BC50" s="163">
        <v>0.5</v>
      </c>
      <c r="BD50" s="163">
        <v>1</v>
      </c>
      <c r="BE50" s="163">
        <v>0.5</v>
      </c>
      <c r="BF50" s="163">
        <v>1</v>
      </c>
      <c r="BG50" s="163">
        <v>1</v>
      </c>
      <c r="BH50" s="163">
        <v>1</v>
      </c>
      <c r="BI50" s="164" t="s"/>
      <c r="BJ50" s="163">
        <v>0.5</v>
      </c>
      <c r="BK50" s="164">
        <v>1</v>
      </c>
      <c r="BL50" s="165">
        <v>1</v>
      </c>
      <c r="BM50" s="163">
        <v>1</v>
      </c>
      <c r="BN50" s="166">
        <f>=SUM(BC50:BM50)/9</f>
        <v>0.944444444444445</v>
      </c>
      <c r="BO50" s="165">
        <v>1</v>
      </c>
      <c r="BP50" s="163">
        <v>0.5</v>
      </c>
    </row>
    <row r="51" spans="1:68" ht="13.5">
      <c r="A51" s="181" t="s"/>
      <c r="B51" s="182" t="s">
        <v>331</v>
      </c>
      <c r="C51" s="181" t="s"/>
      <c r="D51" s="181" t="s"/>
      <c r="E51" s="181" t="s"/>
      <c r="F51" s="181" t="s"/>
      <c r="G51" s="181" t="s"/>
      <c r="H51" s="183" t="s"/>
      <c r="I51" s="184" t="s"/>
      <c r="J51" s="184" t="s"/>
      <c r="K51" s="184" t="s"/>
      <c r="L51" s="184" t="s"/>
      <c r="M51" s="184" t="s"/>
      <c r="N51" s="184" t="s"/>
      <c r="O51" s="184" t="s"/>
      <c r="P51" s="184" t="s"/>
      <c r="Q51" s="184" t="s"/>
      <c r="R51" s="155" t="s"/>
      <c r="S51" s="155" t="s"/>
      <c r="T51" s="155" t="s"/>
      <c r="U51" s="155" t="s"/>
      <c r="V51" s="155" t="s"/>
      <c r="W51" s="155" t="s"/>
      <c r="X51" s="157" t="s"/>
      <c r="Y51" s="158">
        <v>1</v>
      </c>
      <c r="Z51" s="158">
        <v>0.5</v>
      </c>
      <c r="AA51" s="158" t="s"/>
      <c r="AB51" s="158">
        <v>1</v>
      </c>
      <c r="AC51" s="158">
        <v>1</v>
      </c>
      <c r="AD51" s="159">
        <v>1</v>
      </c>
      <c r="AE51" s="160">
        <f>=SUM(X51:AD51)/6</f>
        <v>0.75</v>
      </c>
      <c r="AF51" s="159">
        <v>0.5</v>
      </c>
      <c r="AG51" s="161">
        <v>1</v>
      </c>
      <c r="AI51" s="158">
        <v>1</v>
      </c>
      <c r="AJ51" s="158">
        <v>1</v>
      </c>
      <c r="AK51" s="159">
        <v>0.5</v>
      </c>
      <c r="AL51" s="162">
        <v>1</v>
      </c>
      <c r="AM51" s="162">
        <v>1</v>
      </c>
      <c r="AN51" s="162">
        <v>1</v>
      </c>
      <c r="AO51" s="162">
        <v>0.5</v>
      </c>
      <c r="AP51" s="160">
        <f>=SUM(AF51:AO51)/7.5</f>
        <v>1</v>
      </c>
      <c r="AQ51" s="162" t="s"/>
      <c r="AR51" s="162" t="s"/>
      <c r="AS51" s="162">
        <v>1</v>
      </c>
      <c r="AT51" s="162">
        <v>0.5</v>
      </c>
      <c r="AU51" s="162">
        <v>1</v>
      </c>
      <c r="AV51" s="162">
        <v>1</v>
      </c>
      <c r="AW51" s="162" t="s"/>
      <c r="AX51" s="162">
        <v>1</v>
      </c>
      <c r="AY51" s="162">
        <v>0.5</v>
      </c>
      <c r="AZ51" s="162">
        <v>1</v>
      </c>
      <c r="BA51" s="162">
        <v>1</v>
      </c>
      <c r="BB51" s="160">
        <f>=SUM(AQ51:BA51)/7.5</f>
        <v>0.933333333333334</v>
      </c>
      <c r="BC51" s="163">
        <v>0.5</v>
      </c>
      <c r="BD51" s="163">
        <v>1</v>
      </c>
      <c r="BE51" s="163">
        <v>0.5</v>
      </c>
      <c r="BF51" s="163" t="s"/>
      <c r="BG51" s="163">
        <v>1</v>
      </c>
      <c r="BH51" s="163">
        <v>1</v>
      </c>
      <c r="BI51" s="164">
        <v>1</v>
      </c>
      <c r="BJ51" s="163">
        <v>0.5</v>
      </c>
      <c r="BK51" s="164" t="s"/>
      <c r="BL51" s="165">
        <v>1</v>
      </c>
      <c r="BM51" s="163">
        <v>1</v>
      </c>
      <c r="BN51" s="166">
        <f>=SUM(BC51:BM51)/9</f>
        <v>0.833333333333334</v>
      </c>
      <c r="BO51" s="165">
        <v>1</v>
      </c>
      <c r="BP51" s="165">
        <v>0.5</v>
      </c>
    </row>
    <row r="52" spans="1:68" ht="13.5">
      <c r="A52" s="181" t="s"/>
      <c r="B52" s="182" t="s">
        <v>410</v>
      </c>
      <c r="C52" s="181" t="s"/>
      <c r="D52" s="181" t="s"/>
      <c r="E52" s="181" t="s"/>
      <c r="F52" s="181" t="s"/>
      <c r="G52" s="181" t="s"/>
      <c r="H52" s="183" t="s"/>
      <c r="I52" s="185" t="s"/>
      <c r="J52" s="185" t="s"/>
      <c r="K52" s="185" t="s"/>
      <c r="L52" s="185" t="s"/>
      <c r="M52" s="185" t="s"/>
      <c r="N52" s="185" t="s"/>
      <c r="O52" s="185" t="s"/>
      <c r="P52" s="185" t="s"/>
      <c r="Q52" s="185" t="s"/>
      <c r="R52" s="155" t="s"/>
      <c r="S52" s="155" t="s"/>
      <c r="T52" s="155" t="s"/>
      <c r="U52" s="155" t="s"/>
      <c r="V52" s="155" t="s"/>
      <c r="W52" s="155" t="s"/>
      <c r="X52" s="157" t="s"/>
      <c r="Y52" s="158" t="s"/>
      <c r="Z52" s="158">
        <v>0.5</v>
      </c>
      <c r="AA52" s="158">
        <v>1</v>
      </c>
      <c r="AB52" s="158" t="s"/>
      <c r="AC52" s="158">
        <v>1</v>
      </c>
      <c r="AD52" s="159" t="s"/>
      <c r="AE52" s="160">
        <f>=SUM(X52:AD52)/6</f>
        <v>0.416666666666667</v>
      </c>
      <c r="AF52" s="159">
        <v>0.5</v>
      </c>
      <c r="AG52" s="161">
        <v>1</v>
      </c>
      <c r="AL52" s="162">
        <v>1</v>
      </c>
      <c r="AM52" s="162" t="s"/>
      <c r="AN52" s="162">
        <v>0.5</v>
      </c>
      <c r="AO52" s="162">
        <v>0.5</v>
      </c>
      <c r="AP52" s="160">
        <f>=SUM(AF52:AO52)/7.5</f>
        <v>0.466666666666667</v>
      </c>
      <c r="AQ52" s="162" t="s"/>
      <c r="AR52" s="162" t="s"/>
      <c r="AS52" s="162">
        <v>1</v>
      </c>
      <c r="AT52" s="162">
        <v>0.5</v>
      </c>
      <c r="AU52" s="162">
        <v>0.75</v>
      </c>
      <c r="AV52" s="162">
        <v>1</v>
      </c>
      <c r="AW52" s="162" t="s"/>
      <c r="AX52" s="162" t="s"/>
      <c r="AY52" s="162">
        <v>0.5</v>
      </c>
      <c r="AZ52" s="162" t="s"/>
      <c r="BA52" s="162">
        <v>1</v>
      </c>
      <c r="BB52" s="160">
        <f>=SUM(AQ52:BA52)/7.5</f>
        <v>0.633333333333333</v>
      </c>
      <c r="BC52" s="163" t="s"/>
      <c r="BD52" s="163" t="s"/>
      <c r="BE52" s="163">
        <v>0.5</v>
      </c>
      <c r="BF52" s="163" t="s"/>
      <c r="BG52" s="163" t="s"/>
      <c r="BH52" s="163">
        <v>1</v>
      </c>
      <c r="BI52" s="164" t="s"/>
      <c r="BJ52" s="163">
        <v>0.5</v>
      </c>
      <c r="BK52" s="164" t="s"/>
      <c r="BL52" s="165">
        <v>1</v>
      </c>
      <c r="BM52" s="163" t="s"/>
      <c r="BN52" s="166">
        <f>=SUM(BC52:BM52)/9</f>
        <v>0.333333333333333</v>
      </c>
      <c r="BO52" s="163" t="s"/>
      <c r="BP52" s="163" t="s"/>
    </row>
    <row r="53" spans="1:68" ht="13.5">
      <c r="A53" s="181" t="s"/>
      <c r="B53" s="182" t="s">
        <v>422</v>
      </c>
      <c r="C53" s="181" t="s"/>
      <c r="D53" s="181" t="s"/>
      <c r="E53" s="181" t="s"/>
      <c r="F53" s="181" t="s"/>
      <c r="G53" s="181" t="s"/>
      <c r="H53" s="183" t="s"/>
      <c r="I53" s="185" t="s"/>
      <c r="J53" s="185" t="s"/>
      <c r="K53" s="185" t="s"/>
      <c r="L53" s="185" t="s"/>
      <c r="M53" s="185" t="s"/>
      <c r="N53" s="185" t="s"/>
      <c r="O53" s="185" t="s"/>
      <c r="P53" s="185" t="s"/>
      <c r="Q53" s="185" t="s"/>
      <c r="R53" s="155" t="s"/>
      <c r="S53" s="155" t="s"/>
      <c r="T53" s="155" t="s"/>
      <c r="U53" s="155" t="s"/>
      <c r="V53" s="155" t="s"/>
      <c r="W53" s="155" t="s"/>
      <c r="X53" s="157" t="s"/>
      <c r="Y53" s="158" t="s"/>
      <c r="Z53" s="158">
        <v>0.5</v>
      </c>
      <c r="AA53" s="158">
        <v>1</v>
      </c>
      <c r="AB53" s="158" t="s"/>
      <c r="AC53" s="158">
        <v>0.5</v>
      </c>
      <c r="AD53" s="159" t="s"/>
      <c r="AE53" s="171">
        <f>=SUM(X53:AD53)/6</f>
        <v>0.333333333333333</v>
      </c>
      <c r="AF53" s="159">
        <v>0.5</v>
      </c>
      <c r="AG53" s="161" t="s"/>
      <c r="AI53" s="158">
        <v>1</v>
      </c>
      <c r="AJ53" s="158">
        <v>1</v>
      </c>
      <c r="AK53" s="159">
        <v>0.5</v>
      </c>
      <c r="AL53" s="162" t="s"/>
      <c r="AM53" s="162" t="s"/>
      <c r="AN53" s="162">
        <v>1</v>
      </c>
      <c r="AO53" s="162">
        <v>0.5</v>
      </c>
      <c r="AP53" s="160">
        <f>=SUM(AF53:AO53)/7.5</f>
        <v>0.6</v>
      </c>
      <c r="AQ53" s="162" t="s"/>
      <c r="AR53" s="162">
        <v>0.5</v>
      </c>
      <c r="AS53" s="162" t="s"/>
      <c r="AT53" s="162">
        <v>0.5</v>
      </c>
      <c r="AU53" s="162">
        <v>1</v>
      </c>
      <c r="AV53" s="162" t="s"/>
      <c r="AW53" s="162">
        <v>1</v>
      </c>
      <c r="AX53" s="162" t="s"/>
      <c r="AY53" s="162">
        <v>0.5</v>
      </c>
      <c r="AZ53" s="162" t="s"/>
      <c r="BA53" s="162" t="s"/>
      <c r="BB53" s="160">
        <f>=SUM(AQ53:BA53)/7.5</f>
        <v>0.466666666666667</v>
      </c>
      <c r="BC53" s="163">
        <v>0.25</v>
      </c>
      <c r="BD53" s="163">
        <v>0.5</v>
      </c>
      <c r="BE53" s="163">
        <v>0.5</v>
      </c>
      <c r="BF53" s="163" t="s"/>
      <c r="BG53" s="163">
        <v>1</v>
      </c>
      <c r="BH53" s="163" t="s"/>
      <c r="BI53" s="164" t="s"/>
      <c r="BJ53" s="163" t="s"/>
      <c r="BK53" s="164">
        <v>1</v>
      </c>
      <c r="BL53" s="165">
        <v>1</v>
      </c>
      <c r="BM53" s="163" t="s"/>
      <c r="BN53" s="166">
        <f>=SUM(BC53:BM53)/9</f>
        <v>0.472222222222222</v>
      </c>
      <c r="BO53" s="163" t="s"/>
      <c r="BP53" s="163" t="s"/>
    </row>
    <row r="54" spans="1:68" ht="13.5">
      <c r="A54" s="181" t="s"/>
      <c r="B54" s="182" t="s">
        <v>423</v>
      </c>
      <c r="C54" s="181" t="s"/>
      <c r="D54" s="181" t="s"/>
      <c r="E54" s="181" t="s"/>
      <c r="F54" s="181" t="s"/>
      <c r="G54" s="181" t="s"/>
      <c r="H54" s="183" t="s"/>
      <c r="I54" s="185" t="s"/>
      <c r="J54" s="185" t="s"/>
      <c r="K54" s="185" t="s"/>
      <c r="L54" s="185" t="s"/>
      <c r="M54" s="185" t="s"/>
      <c r="N54" s="185" t="s"/>
      <c r="O54" s="185" t="s"/>
      <c r="P54" s="185" t="s"/>
      <c r="Q54" s="185" t="s"/>
      <c r="R54" s="155" t="s"/>
      <c r="S54" s="155" t="s"/>
      <c r="T54" s="155" t="s"/>
      <c r="U54" s="155" t="s"/>
      <c r="V54" s="155" t="s"/>
      <c r="W54" s="155" t="s"/>
      <c r="X54" s="157" t="s"/>
      <c r="Y54" s="158" t="s"/>
      <c r="Z54" s="158">
        <v>0.5</v>
      </c>
      <c r="AA54" s="158" t="s"/>
      <c r="AB54" s="158" t="s"/>
      <c r="AC54" s="158" t="s"/>
      <c r="AD54" s="159" t="s"/>
      <c r="AE54" s="171">
        <f>=SUM(X54:AD54)/6</f>
        <v>0.0833333333333333</v>
      </c>
      <c r="AF54" s="159" t="s"/>
      <c r="AG54" s="161" t="s"/>
      <c r="AL54" s="162" t="s"/>
      <c r="AM54" s="162">
        <v>1</v>
      </c>
      <c r="AN54" s="162" t="s"/>
      <c r="AO54" s="162" t="s"/>
      <c r="AP54" s="160">
        <f>=SUM(AF54:AO54)/7.5</f>
        <v>0.133333333333333</v>
      </c>
      <c r="AQ54" s="162" t="s"/>
      <c r="AR54" s="162" t="s"/>
      <c r="AS54" s="162" t="s"/>
      <c r="AT54" s="162" t="s"/>
      <c r="AU54" s="162" t="s"/>
      <c r="AV54" s="162" t="s"/>
      <c r="AW54" s="162" t="s"/>
      <c r="AX54" s="162" t="s"/>
      <c r="AY54" s="162">
        <v>0.5</v>
      </c>
      <c r="AZ54" s="162" t="s"/>
      <c r="BA54" s="162" t="s"/>
      <c r="BB54" s="160">
        <f>=SUM(AQ54:BA54)/7.5</f>
        <v>0.0666666666666667</v>
      </c>
      <c r="BC54" s="163" t="s"/>
      <c r="BD54" s="163" t="s"/>
      <c r="BE54" s="163" t="s"/>
      <c r="BF54" s="163" t="s"/>
      <c r="BG54" s="163" t="s"/>
      <c r="BH54" s="163" t="s"/>
      <c r="BI54" s="164" t="s"/>
      <c r="BJ54" s="163" t="s"/>
      <c r="BK54" s="164" t="s"/>
      <c r="BL54" s="163" t="s"/>
      <c r="BM54" s="163" t="s"/>
      <c r="BN54" s="166">
        <f>=SUM(BC54:BM54)/9</f>
        <v>0</v>
      </c>
      <c r="BO54" s="163" t="s"/>
      <c r="BP54" s="163" t="s"/>
    </row>
    <row r="55" spans="1:68" ht="13.5">
      <c r="A55" s="181" t="s"/>
      <c r="B55" s="182" t="s">
        <v>408</v>
      </c>
      <c r="C55" s="181" t="s"/>
      <c r="D55" s="181" t="s"/>
      <c r="E55" s="181" t="s"/>
      <c r="F55" s="181" t="s"/>
      <c r="G55" s="181" t="s"/>
      <c r="H55" s="183" t="s"/>
      <c r="I55" s="185" t="s"/>
      <c r="J55" s="185" t="s"/>
      <c r="K55" s="185" t="s"/>
      <c r="L55" s="185" t="s"/>
      <c r="M55" s="185" t="s"/>
      <c r="N55" s="185" t="s"/>
      <c r="O55" s="185" t="s"/>
      <c r="P55" s="185" t="s"/>
      <c r="Q55" s="185" t="s"/>
      <c r="R55" s="155" t="s"/>
      <c r="S55" s="155" t="s"/>
      <c r="T55" s="155" t="s"/>
      <c r="U55" s="155" t="s"/>
      <c r="V55" s="155" t="s"/>
      <c r="W55" s="155" t="s"/>
      <c r="X55" s="157" t="s"/>
      <c r="Y55" s="158" t="s"/>
      <c r="Z55" s="158" t="s"/>
      <c r="AA55" s="158" t="s"/>
      <c r="AB55" s="158" t="s"/>
      <c r="AC55" s="158" t="s"/>
      <c r="AD55" s="159" t="s"/>
      <c r="AE55" s="171">
        <f>=SUM(X55:AD55)/6</f>
        <v>0</v>
      </c>
      <c r="AF55" s="159" t="s"/>
      <c r="AG55" s="161">
        <v>1</v>
      </c>
      <c r="AK55" s="159">
        <v>0.5</v>
      </c>
      <c r="AL55" s="162" t="s"/>
      <c r="AM55" s="162" t="s"/>
      <c r="AN55" s="162" t="s"/>
      <c r="AO55" s="162" t="s"/>
      <c r="AP55" s="160">
        <f>=SUM(AF55:AO55)/7.5</f>
        <v>0.2</v>
      </c>
      <c r="AQ55" s="162" t="s"/>
      <c r="AR55" s="162">
        <v>1</v>
      </c>
      <c r="AS55" s="162" t="s"/>
      <c r="AT55" s="162" t="s"/>
      <c r="AU55" s="162" t="s"/>
      <c r="AV55" s="162" t="s"/>
      <c r="AW55" s="162" t="s"/>
      <c r="AX55" s="162" t="s"/>
      <c r="AY55" s="162" t="s"/>
      <c r="AZ55" s="162" t="s"/>
      <c r="BA55" s="162">
        <v>1</v>
      </c>
      <c r="BB55" s="160">
        <f>=SUM(AQ55:BA55)/7.5</f>
        <v>0.266666666666667</v>
      </c>
      <c r="BC55" s="163" t="s"/>
      <c r="BD55" s="163" t="s"/>
      <c r="BE55" s="163" t="s"/>
      <c r="BF55" s="163" t="s"/>
      <c r="BG55" s="163" t="s"/>
      <c r="BH55" s="163" t="s"/>
      <c r="BI55" s="164" t="s"/>
      <c r="BJ55" s="163" t="s"/>
      <c r="BK55" s="164" t="s"/>
      <c r="BL55" s="163" t="s"/>
      <c r="BM55" s="163" t="s"/>
      <c r="BN55" s="166">
        <f>=SUM(BC55:BM55)/9</f>
        <v>0</v>
      </c>
      <c r="BO55" s="163" t="s"/>
      <c r="BP55" s="163" t="s"/>
    </row>
    <row r="56" spans="1:68" ht="13.5">
      <c r="A56" s="181" t="s"/>
      <c r="B56" s="182" t="s">
        <v>405</v>
      </c>
      <c r="C56" s="181" t="s"/>
      <c r="D56" s="181" t="s"/>
      <c r="E56" s="181" t="s"/>
      <c r="F56" s="181" t="s"/>
      <c r="G56" s="181" t="s"/>
      <c r="H56" s="183" t="s"/>
      <c r="I56" s="185" t="s"/>
      <c r="J56" s="185" t="s"/>
      <c r="K56" s="185" t="s"/>
      <c r="L56" s="185" t="s"/>
      <c r="M56" s="185" t="s"/>
      <c r="N56" s="185" t="s"/>
      <c r="O56" s="185" t="s"/>
      <c r="P56" s="185" t="s"/>
      <c r="Q56" s="185" t="s"/>
      <c r="R56" s="155" t="s"/>
      <c r="S56" s="155" t="s"/>
      <c r="T56" s="155" t="s"/>
      <c r="U56" s="155" t="s"/>
      <c r="V56" s="155" t="s"/>
      <c r="W56" s="155" t="s"/>
      <c r="X56" s="157" t="s"/>
      <c r="Y56" s="158" t="s"/>
      <c r="Z56" s="158">
        <v>0.5</v>
      </c>
      <c r="AA56" s="158" t="s"/>
      <c r="AB56" s="158">
        <v>0.5</v>
      </c>
      <c r="AC56" s="158" t="s"/>
      <c r="AD56" s="159" t="s"/>
      <c r="AE56" s="171">
        <f>=SUM(X56:AD56)/6</f>
        <v>0.166666666666667</v>
      </c>
      <c r="AF56" s="159" t="s"/>
      <c r="AG56" s="161" t="s"/>
      <c r="AL56" s="162">
        <v>1</v>
      </c>
      <c r="AM56" s="162">
        <v>1</v>
      </c>
      <c r="AN56" s="162" t="s"/>
      <c r="AO56" s="162" t="s"/>
      <c r="AP56" s="160">
        <f>=SUM(AF56:AO56)/7.5</f>
        <v>0.266666666666667</v>
      </c>
      <c r="AQ56" s="162" t="s"/>
      <c r="AR56" s="162" t="s"/>
      <c r="AS56" s="162">
        <v>1</v>
      </c>
      <c r="AT56" s="162" t="s"/>
      <c r="AU56" s="162">
        <v>0.5</v>
      </c>
      <c r="AV56" s="162" t="s"/>
      <c r="AW56" s="162">
        <v>1</v>
      </c>
      <c r="AX56" s="162">
        <v>0.5</v>
      </c>
      <c r="AY56" s="162" t="s"/>
      <c r="AZ56" s="162" t="s"/>
      <c r="BA56" s="162" t="s"/>
      <c r="BB56" s="160">
        <f>=SUM(AQ56:BA56)/7.5</f>
        <v>0.4</v>
      </c>
      <c r="BC56" s="163" t="s"/>
      <c r="BD56" s="163" t="s"/>
      <c r="BE56" s="163" t="s"/>
      <c r="BF56" s="163" t="s"/>
      <c r="BG56" s="163">
        <v>1</v>
      </c>
      <c r="BH56" s="163" t="s"/>
      <c r="BI56" s="164" t="s"/>
      <c r="BJ56" s="163">
        <v>0.5</v>
      </c>
      <c r="BK56" s="164" t="s"/>
      <c r="BL56" s="163" t="s"/>
      <c r="BM56" s="163" t="s"/>
      <c r="BN56" s="166">
        <f>=SUM(BC56:BM56)/9</f>
        <v>0.166666666666667</v>
      </c>
      <c r="BO56" s="163" t="s"/>
      <c r="BP56" s="163" t="s"/>
    </row>
    <row r="57" spans="1:68" ht="13.5">
      <c r="A57" s="181" t="s"/>
      <c r="B57" s="182" t="s">
        <v>586</v>
      </c>
      <c r="C57" s="181" t="s"/>
      <c r="D57" s="181" t="s"/>
      <c r="E57" s="181" t="s"/>
      <c r="F57" s="181" t="s"/>
      <c r="G57" s="181" t="s"/>
      <c r="H57" s="183" t="s"/>
      <c r="I57" s="185" t="s"/>
      <c r="J57" s="185" t="s"/>
      <c r="K57" s="185" t="s"/>
      <c r="L57" s="185" t="s"/>
      <c r="M57" s="185" t="s"/>
      <c r="N57" s="185" t="s"/>
      <c r="O57" s="185" t="s"/>
      <c r="P57" s="185" t="s"/>
      <c r="Q57" s="185" t="s"/>
      <c r="R57" s="155" t="s"/>
      <c r="S57" s="155" t="s"/>
      <c r="T57" s="155" t="s"/>
      <c r="U57" s="155" t="s"/>
      <c r="V57" s="155" t="s"/>
      <c r="W57" s="155" t="s"/>
      <c r="X57" s="157" t="s"/>
      <c r="Y57" s="158" t="s"/>
      <c r="Z57" s="158">
        <v>0.5</v>
      </c>
      <c r="AA57" s="158" t="s"/>
      <c r="AB57" s="158" t="s"/>
      <c r="AC57" s="158">
        <v>0.5</v>
      </c>
      <c r="AD57" s="159" t="s"/>
      <c r="AE57" s="171">
        <f>=SUM(X57:AD57)/6</f>
        <v>0.166666666666667</v>
      </c>
      <c r="AF57" s="159" t="s"/>
      <c r="AG57" s="161" t="s"/>
      <c r="AL57" s="162" t="s"/>
      <c r="AM57" s="162" t="s"/>
      <c r="AN57" s="162" t="s"/>
      <c r="AO57" s="162" t="s"/>
      <c r="AP57" s="160">
        <f>=SUM(AF57:AO57)/7.5</f>
        <v>0</v>
      </c>
      <c r="AQ57" s="162" t="s"/>
      <c r="AR57" s="162" t="s"/>
      <c r="AS57" s="162" t="s"/>
      <c r="AT57" s="162">
        <v>0.5</v>
      </c>
      <c r="AU57" s="162" t="s"/>
      <c r="AV57" s="162">
        <v>1</v>
      </c>
      <c r="AW57" s="162" t="s"/>
      <c r="AX57" s="162" t="s"/>
      <c r="AY57" s="162">
        <v>0.5</v>
      </c>
      <c r="AZ57" s="162" t="s"/>
      <c r="BA57" s="162" t="s"/>
      <c r="BB57" s="160">
        <f>=SUM(AQ57:BA57)/7.5</f>
        <v>0.266666666666667</v>
      </c>
      <c r="BC57" s="163" t="s"/>
      <c r="BD57" s="163" t="s"/>
      <c r="BE57" s="163" t="s"/>
      <c r="BF57" s="163">
        <v>1</v>
      </c>
      <c r="BG57" s="163" t="s"/>
      <c r="BH57" s="163" t="s"/>
      <c r="BI57" s="164" t="s"/>
      <c r="BJ57" s="163" t="s"/>
      <c r="BK57" s="164" t="s"/>
      <c r="BL57" s="163" t="s"/>
      <c r="BM57" s="163" t="s"/>
      <c r="BN57" s="166">
        <f>=SUM(BC57:BM57)/9</f>
        <v>0.111111111111111</v>
      </c>
      <c r="BO57" s="163" t="s"/>
      <c r="BP57" s="163" t="s"/>
    </row>
    <row r="58" spans="1:68" ht="13.5">
      <c r="A58" s="181" t="s"/>
      <c r="B58" s="182" t="s">
        <v>587</v>
      </c>
      <c r="C58" s="181" t="s"/>
      <c r="D58" s="181" t="s"/>
      <c r="E58" s="181" t="s"/>
      <c r="F58" s="181" t="s"/>
      <c r="G58" s="181" t="s"/>
      <c r="H58" s="183" t="s"/>
      <c r="I58" s="185" t="s"/>
      <c r="J58" s="185" t="s"/>
      <c r="K58" s="185" t="s"/>
      <c r="L58" s="185" t="s"/>
      <c r="M58" s="185" t="s"/>
      <c r="N58" s="185" t="s"/>
      <c r="O58" s="185" t="s"/>
      <c r="P58" s="185" t="s"/>
      <c r="Q58" s="185" t="s"/>
      <c r="R58" s="155" t="s"/>
      <c r="S58" s="155" t="s"/>
      <c r="T58" s="155" t="s"/>
      <c r="U58" s="155" t="s"/>
      <c r="V58" s="155" t="s"/>
      <c r="W58" s="155" t="s"/>
      <c r="X58" s="157" t="s"/>
      <c r="Y58" s="158" t="s"/>
      <c r="Z58" s="158" t="s"/>
      <c r="AA58" s="158" t="s"/>
      <c r="AB58" s="158" t="s"/>
      <c r="AC58" s="158" t="s"/>
      <c r="AD58" s="159" t="s"/>
      <c r="AE58" s="171">
        <f>=SUM(X58:AD58)/6</f>
        <v>0</v>
      </c>
      <c r="AF58" s="159" t="s"/>
      <c r="AG58" s="161">
        <v>0.5</v>
      </c>
      <c r="AL58" s="162" t="s"/>
      <c r="AM58" s="162" t="s"/>
      <c r="AN58" s="162" t="s"/>
      <c r="AO58" s="162" t="s"/>
      <c r="AP58" s="160">
        <f>=SUM(AF58:AO58)/7.5</f>
        <v>0.0666666666666667</v>
      </c>
      <c r="AQ58" s="162" t="s"/>
      <c r="AR58" s="162" t="s"/>
      <c r="AS58" s="162">
        <v>0.5</v>
      </c>
      <c r="AT58" s="162" t="s"/>
      <c r="AU58" s="162" t="s"/>
      <c r="AV58" s="162" t="s"/>
      <c r="AW58" s="162" t="s"/>
      <c r="AX58" s="162" t="s"/>
      <c r="AY58" s="162" t="s"/>
      <c r="AZ58" s="162" t="s"/>
      <c r="BA58" s="162" t="s"/>
      <c r="BB58" s="160">
        <f>=SUM(AQ58:BA58)/7.5</f>
        <v>0.0666666666666667</v>
      </c>
      <c r="BC58" s="163" t="s"/>
      <c r="BD58" s="163" t="s"/>
      <c r="BE58" s="163" t="s"/>
      <c r="BF58" s="163" t="s"/>
      <c r="BG58" s="163" t="s"/>
      <c r="BH58" s="163" t="s"/>
      <c r="BI58" s="164" t="s"/>
      <c r="BJ58" s="163" t="s"/>
      <c r="BK58" s="164" t="s"/>
      <c r="BL58" s="163" t="s"/>
      <c r="BM58" s="163" t="s"/>
      <c r="BN58" s="166">
        <f>=SUM(BC58:BM58)/9</f>
        <v>0</v>
      </c>
      <c r="BO58" s="163" t="s"/>
      <c r="BP58" s="163" t="s"/>
    </row>
    <row r="59" spans="1:68" ht="13.5">
      <c r="A59" s="181" t="s"/>
      <c r="B59" s="182" t="s">
        <v>428</v>
      </c>
      <c r="C59" s="181" t="s"/>
      <c r="D59" s="181" t="s"/>
      <c r="E59" s="181" t="s"/>
      <c r="F59" s="181" t="s"/>
      <c r="G59" s="181" t="s"/>
      <c r="H59" s="183" t="s"/>
      <c r="I59" s="185" t="s"/>
      <c r="J59" s="185" t="s"/>
      <c r="K59" s="185" t="s"/>
      <c r="L59" s="185" t="s"/>
      <c r="M59" s="185" t="s"/>
      <c r="N59" s="185" t="s"/>
      <c r="O59" s="185" t="s"/>
      <c r="P59" s="185" t="s"/>
      <c r="Q59" s="185" t="s"/>
      <c r="R59" s="155" t="s"/>
      <c r="S59" s="155" t="s"/>
      <c r="T59" s="155" t="s"/>
      <c r="U59" s="155" t="s"/>
      <c r="V59" s="155" t="s"/>
      <c r="W59" s="155" t="s"/>
      <c r="X59" s="157" t="s"/>
      <c r="Y59" s="158">
        <v>1</v>
      </c>
      <c r="Z59" s="158">
        <v>0.5</v>
      </c>
      <c r="AA59" s="158" t="s"/>
      <c r="AB59" s="158" t="s"/>
      <c r="AC59" s="158" t="s"/>
      <c r="AD59" s="159" t="s"/>
      <c r="AE59" s="171">
        <f>=SUM(X59:AD59)/6</f>
        <v>0.25</v>
      </c>
      <c r="AF59" s="159" t="s"/>
      <c r="AG59" s="161" t="s"/>
      <c r="AL59" s="162" t="s"/>
      <c r="AM59" s="162">
        <v>1</v>
      </c>
      <c r="AN59" s="162" t="s"/>
      <c r="AO59" s="162" t="s"/>
      <c r="AP59" s="160">
        <f>=SUM(AF59:AO59)/7.5</f>
        <v>0.133333333333333</v>
      </c>
      <c r="AQ59" s="162" t="s"/>
      <c r="AR59" s="162" t="s"/>
      <c r="AS59" s="162">
        <v>0.5</v>
      </c>
      <c r="AT59" s="162">
        <v>0.5</v>
      </c>
      <c r="AU59" s="162" t="s"/>
      <c r="AV59" s="162">
        <v>0.5</v>
      </c>
      <c r="AW59" s="162" t="s"/>
      <c r="AX59" s="162" t="s"/>
      <c r="AY59" s="162">
        <v>0.5</v>
      </c>
      <c r="AZ59" s="162" t="s"/>
      <c r="BA59" s="162">
        <v>1</v>
      </c>
      <c r="BB59" s="160">
        <f>=SUM(AQ59:BA59)/7.5</f>
        <v>0.4</v>
      </c>
      <c r="BC59" s="163" t="s"/>
      <c r="BD59" s="163" t="s"/>
      <c r="BE59" s="163" t="s"/>
      <c r="BF59" s="163" t="s"/>
      <c r="BG59" s="163" t="s"/>
      <c r="BH59" s="163" t="s"/>
      <c r="BI59" s="164" t="s"/>
      <c r="BJ59" s="163">
        <v>0.5</v>
      </c>
      <c r="BK59" s="164" t="s"/>
      <c r="BL59" s="163" t="s"/>
      <c r="BM59" s="163" t="s"/>
      <c r="BN59" s="166">
        <f>=SUM(BC59:BM59)/9</f>
        <v>0.0555555555555556</v>
      </c>
      <c r="BO59" s="165">
        <v>0.5</v>
      </c>
      <c r="BP59" s="165" t="s"/>
    </row>
    <row r="60" spans="24:68" ht="13.5">
      <c r="X60" s="186">
        <v>0.5</v>
      </c>
      <c r="Z60" s="177">
        <v>0.5</v>
      </c>
      <c r="AA60" s="177">
        <v>1</v>
      </c>
      <c r="AB60" s="177">
        <v>1</v>
      </c>
      <c r="AC60" s="177">
        <v>1</v>
      </c>
      <c r="AD60" s="187">
        <v>1</v>
      </c>
      <c r="AE60" s="171">
        <f>=SUM(X60:AD60)/6</f>
        <v>0.833333333333334</v>
      </c>
      <c r="AF60" s="159">
        <v>0.5</v>
      </c>
      <c r="AG60" s="161" t="s"/>
      <c r="AJ60" s="158">
        <v>1</v>
      </c>
      <c r="AP60" s="160" t="s"/>
      <c r="BI60" s="162" t="s"/>
      <c r="BJ60" s="188" t="s"/>
      <c r="BK60" s="188" t="s"/>
      <c r="BL60" s="188" t="s"/>
      <c r="BM60" s="188" t="s"/>
      <c r="BN60" s="162" t="s"/>
      <c r="BO60" s="188" t="s"/>
      <c r="BP60" s="188" t="s"/>
    </row>
    <row r="61" spans="61:68" ht="13.5">
      <c r="BI61" s="162" t="s"/>
      <c r="BJ61" s="188" t="s"/>
      <c r="BK61" s="188" t="s"/>
      <c r="BL61" s="188" t="s"/>
      <c r="BM61" s="188" t="s"/>
      <c r="BN61" s="162" t="s"/>
      <c r="BO61" s="188" t="s"/>
      <c r="BP61" s="188" t="s"/>
    </row>
    <row r="62" spans="61:68" ht="13.5">
      <c r="BI62" s="162" t="s"/>
      <c r="BJ62" s="188" t="s"/>
      <c r="BK62" s="188" t="s"/>
      <c r="BL62" s="188" t="s"/>
      <c r="BM62" s="188" t="s"/>
      <c r="BN62" s="162" t="s"/>
      <c r="BO62" s="188" t="s"/>
      <c r="BP62" s="188" t="s"/>
    </row>
    <row r="63" spans="61:68" ht="13.5">
      <c r="BI63" s="162" t="s"/>
      <c r="BJ63" s="188" t="s"/>
      <c r="BK63" s="188" t="s"/>
      <c r="BL63" s="188" t="s"/>
      <c r="BM63" s="188" t="s"/>
      <c r="BN63" s="162" t="s"/>
      <c r="BO63" s="188" t="s"/>
      <c r="BP63" s="188" t="s"/>
    </row>
    <row r="64" spans="61:68" ht="13.5">
      <c r="BI64" s="162" t="s"/>
      <c r="BJ64" s="188" t="s"/>
      <c r="BK64" s="188" t="s"/>
      <c r="BL64" s="188" t="s"/>
      <c r="BM64" s="188" t="s"/>
      <c r="BN64" s="162" t="s"/>
      <c r="BO64" s="188" t="s"/>
      <c r="BP64" s="188" t="s"/>
    </row>
    <row r="65" spans="61:68" ht="13.5">
      <c r="BI65" s="162" t="s"/>
      <c r="BJ65" s="188" t="s"/>
      <c r="BK65" s="188" t="s"/>
      <c r="BL65" s="188" t="s"/>
      <c r="BM65" s="188" t="s"/>
      <c r="BN65" s="162" t="s"/>
      <c r="BO65" s="188" t="s"/>
      <c r="BP65" s="188" t="s"/>
    </row>
    <row r="66" spans="61:68" ht="13.5">
      <c r="BI66" s="162" t="s"/>
      <c r="BJ66" s="188" t="s"/>
      <c r="BK66" s="188" t="s"/>
      <c r="BL66" s="188" t="s"/>
      <c r="BM66" s="188" t="s"/>
      <c r="BN66" s="162" t="s"/>
      <c r="BO66" s="188" t="s"/>
      <c r="BP66" s="188" t="s"/>
    </row>
    <row r="67" spans="61:68" ht="13.5">
      <c r="BI67" s="162" t="s"/>
      <c r="BJ67" s="188" t="s"/>
      <c r="BK67" s="188" t="s"/>
      <c r="BL67" s="188" t="s"/>
      <c r="BM67" s="188" t="s"/>
      <c r="BN67" s="162" t="s"/>
      <c r="BO67" s="188" t="s"/>
      <c r="BP67" s="188" t="s"/>
    </row>
    <row r="68" spans="61:68" ht="13.5">
      <c r="BI68" s="162" t="s"/>
      <c r="BJ68" s="188" t="s"/>
      <c r="BK68" s="188" t="s"/>
      <c r="BL68" s="188" t="s"/>
      <c r="BM68" s="188" t="s"/>
      <c r="BN68" s="162" t="s"/>
      <c r="BO68" s="188" t="s"/>
      <c r="BP68" s="188" t="s"/>
    </row>
    <row r="69" spans="61:68" ht="13.5">
      <c r="BI69" s="162" t="s"/>
      <c r="BJ69" s="188" t="s"/>
      <c r="BK69" s="188" t="s"/>
      <c r="BL69" s="188" t="s"/>
      <c r="BM69" s="188" t="s"/>
      <c r="BN69" s="162" t="s"/>
      <c r="BO69" s="188" t="s"/>
      <c r="BP69" s="188" t="s"/>
    </row>
    <row r="70" spans="61:68" ht="13.5">
      <c r="BI70" s="162" t="s"/>
      <c r="BJ70" s="188" t="s"/>
      <c r="BK70" s="188" t="s"/>
      <c r="BL70" s="188" t="s"/>
      <c r="BM70" s="188" t="s"/>
      <c r="BN70" s="162" t="s"/>
      <c r="BO70" s="188" t="s"/>
      <c r="BP70" s="188" t="s"/>
    </row>
    <row r="71" spans="61:68" ht="13.5">
      <c r="BI71" s="162" t="s"/>
      <c r="BJ71" s="188" t="s"/>
      <c r="BK71" s="188" t="s"/>
      <c r="BL71" s="188" t="s"/>
      <c r="BM71" s="188" t="s"/>
      <c r="BN71" s="162" t="s"/>
      <c r="BO71" s="188" t="s"/>
      <c r="BP71" s="188" t="s"/>
    </row>
    <row r="72" spans="61:68" ht="13.5">
      <c r="BI72" s="162" t="s"/>
      <c r="BJ72" s="188" t="s"/>
      <c r="BK72" s="188" t="s"/>
      <c r="BL72" s="188" t="s"/>
      <c r="BM72" s="188" t="s"/>
      <c r="BN72" s="162" t="s"/>
      <c r="BO72" s="188" t="s"/>
      <c r="BP72" s="188" t="s"/>
    </row>
    <row r="73" spans="61:68" ht="13.5">
      <c r="BI73" s="162" t="s"/>
      <c r="BJ73" s="188" t="s"/>
      <c r="BK73" s="188" t="s"/>
      <c r="BL73" s="188" t="s"/>
      <c r="BM73" s="188" t="s"/>
      <c r="BN73" s="162" t="s"/>
      <c r="BO73" s="188" t="s"/>
      <c r="BP73" s="188" t="s"/>
    </row>
    <row r="74" spans="61:68" ht="13.5">
      <c r="BI74" s="162" t="s"/>
      <c r="BJ74" s="188" t="s"/>
      <c r="BK74" s="188" t="s"/>
      <c r="BL74" s="188" t="s"/>
      <c r="BM74" s="188" t="s"/>
      <c r="BN74" s="162" t="s"/>
      <c r="BO74" s="188" t="s"/>
      <c r="BP74" s="188" t="s"/>
    </row>
    <row r="75" spans="61:68" ht="13.5">
      <c r="BI75" s="162" t="s"/>
      <c r="BJ75" s="188" t="s"/>
      <c r="BK75" s="188" t="s"/>
      <c r="BL75" s="188" t="s"/>
      <c r="BM75" s="188" t="s"/>
      <c r="BN75" s="162" t="s"/>
      <c r="BO75" s="188" t="s"/>
      <c r="BP75" s="188" t="s"/>
    </row>
    <row r="76" spans="61:68" ht="13.5">
      <c r="BI76" s="162" t="s"/>
      <c r="BJ76" s="188" t="s"/>
      <c r="BK76" s="188" t="s"/>
      <c r="BL76" s="188" t="s"/>
      <c r="BM76" s="188" t="s"/>
      <c r="BN76" s="162" t="s"/>
      <c r="BO76" s="188" t="s"/>
      <c r="BP76" s="188" t="s"/>
    </row>
    <row r="77" spans="61:68" ht="13.5">
      <c r="BI77" s="162" t="s"/>
      <c r="BJ77" s="188" t="s"/>
      <c r="BK77" s="188" t="s"/>
      <c r="BL77" s="188" t="s"/>
      <c r="BM77" s="188" t="s"/>
      <c r="BN77" s="162" t="s"/>
      <c r="BO77" s="188" t="s"/>
      <c r="BP77" s="188" t="s"/>
    </row>
    <row r="78" spans="61:68" ht="13.5">
      <c r="BI78" s="162" t="s"/>
      <c r="BJ78" s="188" t="s"/>
      <c r="BK78" s="188" t="s"/>
      <c r="BL78" s="188" t="s"/>
      <c r="BM78" s="188" t="s"/>
      <c r="BN78" s="162" t="s"/>
      <c r="BO78" s="188" t="s"/>
      <c r="BP78" s="188" t="s"/>
    </row>
    <row r="79" spans="61:68" ht="13.5">
      <c r="BI79" s="162" t="s"/>
      <c r="BJ79" s="188" t="s"/>
      <c r="BK79" s="188" t="s"/>
      <c r="BL79" s="188" t="s"/>
      <c r="BM79" s="188" t="s"/>
      <c r="BN79" s="162" t="s"/>
      <c r="BO79" s="188" t="s"/>
      <c r="BP79" s="188" t="s"/>
    </row>
    <row r="80" spans="61:68" ht="13.5">
      <c r="BI80" s="162" t="s"/>
      <c r="BJ80" s="188" t="s"/>
      <c r="BK80" s="188" t="s"/>
      <c r="BL80" s="188" t="s"/>
      <c r="BM80" s="188" t="s"/>
      <c r="BN80" s="162" t="s"/>
      <c r="BO80" s="188" t="s"/>
      <c r="BP80" s="188" t="s"/>
    </row>
    <row r="81" spans="61:68" ht="13.5">
      <c r="BI81" s="162" t="s"/>
      <c r="BJ81" s="188" t="s"/>
      <c r="BK81" s="188" t="s"/>
      <c r="BL81" s="188" t="s"/>
      <c r="BM81" s="188" t="s"/>
      <c r="BN81" s="162" t="s"/>
      <c r="BO81" s="188" t="s"/>
      <c r="BP81" s="188" t="s"/>
    </row>
    <row r="82" spans="61:68" ht="13.5">
      <c r="BI82" s="162" t="s"/>
      <c r="BJ82" s="188" t="s"/>
      <c r="BK82" s="188" t="s"/>
      <c r="BL82" s="188" t="s"/>
      <c r="BM82" s="188" t="s"/>
      <c r="BN82" s="162" t="s"/>
      <c r="BO82" s="188" t="s"/>
      <c r="BP82" s="188" t="s"/>
    </row>
    <row r="83" spans="61:68" ht="13.5">
      <c r="BI83" s="162" t="s"/>
      <c r="BJ83" s="188" t="s"/>
      <c r="BK83" s="188" t="s"/>
      <c r="BL83" s="188" t="s"/>
      <c r="BM83" s="188" t="s"/>
      <c r="BN83" s="162" t="s"/>
      <c r="BO83" s="188" t="s"/>
      <c r="BP83" s="188" t="s"/>
    </row>
    <row r="84" spans="61:68" ht="13.5">
      <c r="BI84" s="162" t="s"/>
      <c r="BJ84" s="188" t="s"/>
      <c r="BK84" s="188" t="s"/>
      <c r="BL84" s="188" t="s"/>
      <c r="BM84" s="188" t="s"/>
      <c r="BN84" s="162" t="s"/>
      <c r="BO84" s="188" t="s"/>
      <c r="BP84" s="188" t="s"/>
    </row>
    <row r="85" spans="61:68" ht="13.5">
      <c r="BI85" s="162" t="s"/>
      <c r="BJ85" s="188" t="s"/>
      <c r="BK85" s="188" t="s"/>
      <c r="BL85" s="188" t="s"/>
      <c r="BM85" s="188" t="s"/>
      <c r="BN85" s="162" t="s"/>
      <c r="BO85" s="188" t="s"/>
      <c r="BP85" s="188" t="s"/>
    </row>
    <row r="86" spans="61:68" ht="13.5">
      <c r="BI86" s="162" t="s"/>
      <c r="BJ86" s="188" t="s"/>
      <c r="BK86" s="188" t="s"/>
      <c r="BL86" s="188" t="s"/>
      <c r="BM86" s="188" t="s"/>
      <c r="BN86" s="162" t="s"/>
      <c r="BO86" s="188" t="s"/>
      <c r="BP86" s="188" t="s"/>
    </row>
    <row r="87" spans="61:68" ht="13.5">
      <c r="BI87" s="162" t="s"/>
      <c r="BJ87" s="188" t="s"/>
      <c r="BK87" s="188" t="s"/>
      <c r="BL87" s="188" t="s"/>
      <c r="BM87" s="188" t="s"/>
      <c r="BN87" s="162" t="s"/>
      <c r="BO87" s="188" t="s"/>
      <c r="BP87" s="188" t="s"/>
    </row>
    <row r="88" spans="61:68" ht="13.5">
      <c r="BI88" s="162" t="s"/>
      <c r="BJ88" s="188" t="s"/>
      <c r="BK88" s="188" t="s"/>
      <c r="BL88" s="188" t="s"/>
      <c r="BM88" s="188" t="s"/>
      <c r="BN88" s="162" t="s"/>
      <c r="BO88" s="188" t="s"/>
      <c r="BP88" s="188" t="s"/>
    </row>
    <row r="89" spans="61:68" ht="13.5">
      <c r="BI89" s="162" t="s"/>
      <c r="BJ89" s="188" t="s"/>
      <c r="BK89" s="188" t="s"/>
      <c r="BL89" s="188" t="s"/>
      <c r="BM89" s="188" t="s"/>
      <c r="BN89" s="162" t="s"/>
      <c r="BO89" s="188" t="s"/>
      <c r="BP89" s="188" t="s"/>
    </row>
    <row r="90" spans="61:68" ht="13.5">
      <c r="BI90" s="162" t="s"/>
      <c r="BJ90" s="188" t="s"/>
      <c r="BK90" s="188" t="s"/>
      <c r="BL90" s="188" t="s"/>
      <c r="BM90" s="188" t="s"/>
      <c r="BN90" s="162" t="s"/>
      <c r="BO90" s="188" t="s"/>
      <c r="BP90" s="188" t="s"/>
    </row>
    <row r="91" spans="61:68" ht="13.5">
      <c r="BI91" s="162" t="s"/>
      <c r="BJ91" s="188" t="s"/>
      <c r="BK91" s="188" t="s"/>
      <c r="BL91" s="188" t="s"/>
      <c r="BM91" s="188" t="s"/>
      <c r="BN91" s="162" t="s"/>
      <c r="BO91" s="188" t="s"/>
      <c r="BP91" s="188" t="s"/>
    </row>
    <row r="92" spans="61:68" ht="13.5">
      <c r="BI92" s="162" t="s"/>
      <c r="BJ92" s="188" t="s"/>
      <c r="BK92" s="188" t="s"/>
      <c r="BL92" s="188" t="s"/>
      <c r="BM92" s="188" t="s"/>
      <c r="BN92" s="162" t="s"/>
      <c r="BO92" s="188" t="s"/>
      <c r="BP92" s="188" t="s"/>
    </row>
    <row r="93" spans="61:68" ht="13.5">
      <c r="BI93" s="162" t="s"/>
      <c r="BJ93" s="188" t="s"/>
      <c r="BK93" s="188" t="s"/>
      <c r="BL93" s="188" t="s"/>
      <c r="BM93" s="188" t="s"/>
      <c r="BN93" s="162" t="s"/>
      <c r="BO93" s="188" t="s"/>
      <c r="BP93" s="188" t="s"/>
    </row>
    <row r="94" spans="61:68" ht="13.5">
      <c r="BI94" s="162" t="s"/>
      <c r="BJ94" s="188" t="s"/>
      <c r="BK94" s="188" t="s"/>
      <c r="BL94" s="188" t="s"/>
      <c r="BM94" s="188" t="s"/>
      <c r="BN94" s="162" t="s"/>
      <c r="BO94" s="188" t="s"/>
      <c r="BP94" s="188" t="s"/>
    </row>
    <row r="95" spans="61:68" ht="13.5">
      <c r="BI95" s="162" t="s"/>
      <c r="BJ95" s="188" t="s"/>
      <c r="BK95" s="188" t="s"/>
      <c r="BL95" s="188" t="s"/>
      <c r="BM95" s="188" t="s"/>
      <c r="BN95" s="162" t="s"/>
      <c r="BO95" s="188" t="s"/>
      <c r="BP95" s="188" t="s"/>
    </row>
    <row r="96" spans="61:68" ht="13.5">
      <c r="BI96" s="162" t="s"/>
      <c r="BJ96" s="188" t="s"/>
      <c r="BK96" s="188" t="s"/>
      <c r="BL96" s="188" t="s"/>
      <c r="BM96" s="188" t="s"/>
      <c r="BN96" s="162" t="s"/>
      <c r="BO96" s="188" t="s"/>
      <c r="BP96" s="188" t="s"/>
    </row>
    <row r="97" spans="61:68" ht="13.5">
      <c r="BI97" s="162" t="s"/>
      <c r="BJ97" s="188" t="s"/>
      <c r="BK97" s="188" t="s"/>
      <c r="BL97" s="188" t="s"/>
      <c r="BM97" s="188" t="s"/>
      <c r="BN97" s="162" t="s"/>
      <c r="BO97" s="188" t="s"/>
      <c r="BP97" s="188" t="s"/>
    </row>
    <row r="98" spans="61:68" ht="13.5">
      <c r="BI98" s="162" t="s"/>
      <c r="BJ98" s="188" t="s"/>
      <c r="BK98" s="188" t="s"/>
      <c r="BL98" s="188" t="s"/>
      <c r="BM98" s="188" t="s"/>
      <c r="BN98" s="162" t="s"/>
      <c r="BO98" s="188" t="s"/>
      <c r="BP98" s="188" t="s"/>
    </row>
    <row r="99" spans="61:68" ht="13.5">
      <c r="BI99" s="162" t="s"/>
      <c r="BJ99" s="188" t="s"/>
      <c r="BK99" s="188" t="s"/>
      <c r="BL99" s="188" t="s"/>
      <c r="BM99" s="188" t="s"/>
      <c r="BN99" s="162" t="s"/>
      <c r="BO99" s="188" t="s"/>
      <c r="BP99" s="188" t="s"/>
    </row>
    <row r="100" spans="61:68" ht="13.5">
      <c r="BI100" s="162" t="s"/>
      <c r="BJ100" s="188" t="s"/>
      <c r="BK100" s="188" t="s"/>
      <c r="BL100" s="188" t="s"/>
      <c r="BM100" s="188" t="s"/>
      <c r="BN100" s="162" t="s"/>
      <c r="BO100" s="188" t="s"/>
      <c r="BP100" s="188" t="s"/>
    </row>
    <row r="101" spans="61:68" ht="13.5">
      <c r="BI101" s="162" t="s"/>
      <c r="BJ101" s="188" t="s"/>
      <c r="BK101" s="188" t="s"/>
      <c r="BL101" s="188" t="s"/>
      <c r="BM101" s="188" t="s"/>
      <c r="BN101" s="162" t="s"/>
      <c r="BO101" s="188" t="s"/>
      <c r="BP101" s="188" t="s"/>
    </row>
    <row r="102" spans="61:68" ht="13.5">
      <c r="BI102" s="162" t="s"/>
      <c r="BJ102" s="188" t="s"/>
      <c r="BK102" s="188" t="s"/>
      <c r="BL102" s="188" t="s"/>
      <c r="BM102" s="188" t="s"/>
      <c r="BN102" s="162" t="s"/>
      <c r="BO102" s="188" t="s"/>
      <c r="BP102" s="188" t="s"/>
    </row>
    <row r="103" spans="61:68" ht="13.5">
      <c r="BI103" s="162" t="s"/>
      <c r="BJ103" s="188" t="s"/>
      <c r="BK103" s="188" t="s"/>
      <c r="BL103" s="188" t="s"/>
      <c r="BM103" s="188" t="s"/>
      <c r="BN103" s="162" t="s"/>
      <c r="BO103" s="188" t="s"/>
      <c r="BP103" s="188" t="s"/>
    </row>
    <row r="104" spans="61:68" ht="13.5">
      <c r="BI104" s="162" t="s"/>
      <c r="BJ104" s="188" t="s"/>
      <c r="BK104" s="188" t="s"/>
      <c r="BL104" s="188" t="s"/>
      <c r="BM104" s="188" t="s"/>
      <c r="BN104" s="162" t="s"/>
      <c r="BO104" s="188" t="s"/>
      <c r="BP104" s="188" t="s"/>
    </row>
    <row r="105" spans="61:68" ht="13.5">
      <c r="BI105" s="162" t="s"/>
      <c r="BJ105" s="188" t="s"/>
      <c r="BK105" s="188" t="s"/>
      <c r="BL105" s="188" t="s"/>
      <c r="BM105" s="188" t="s"/>
      <c r="BN105" s="162" t="s"/>
      <c r="BO105" s="188" t="s"/>
      <c r="BP105" s="188" t="s"/>
    </row>
    <row r="106" spans="61:68" ht="13.5">
      <c r="BI106" s="162" t="s"/>
      <c r="BJ106" s="188" t="s"/>
      <c r="BK106" s="188" t="s"/>
      <c r="BL106" s="188" t="s"/>
      <c r="BM106" s="188" t="s"/>
      <c r="BN106" s="162" t="s"/>
      <c r="BO106" s="188" t="s"/>
      <c r="BP106" s="188" t="s"/>
    </row>
    <row r="107" spans="61:68" ht="13.5">
      <c r="BI107" s="162" t="s"/>
      <c r="BJ107" s="188" t="s"/>
      <c r="BK107" s="188" t="s"/>
      <c r="BL107" s="188" t="s"/>
      <c r="BM107" s="188" t="s"/>
      <c r="BN107" s="162" t="s"/>
      <c r="BO107" s="188" t="s"/>
      <c r="BP107" s="188" t="s"/>
    </row>
    <row r="108" spans="61:68" ht="13.5">
      <c r="BI108" s="162" t="s"/>
      <c r="BJ108" s="188" t="s"/>
      <c r="BK108" s="188" t="s"/>
      <c r="BL108" s="188" t="s"/>
      <c r="BM108" s="188" t="s"/>
      <c r="BN108" s="162" t="s"/>
      <c r="BO108" s="188" t="s"/>
      <c r="BP108" s="188" t="s"/>
    </row>
    <row r="109" spans="61:68" ht="13.5">
      <c r="BI109" s="162" t="s"/>
      <c r="BJ109" s="188" t="s"/>
      <c r="BK109" s="188" t="s"/>
      <c r="BL109" s="188" t="s"/>
      <c r="BM109" s="188" t="s"/>
      <c r="BN109" s="162" t="s"/>
      <c r="BO109" s="188" t="s"/>
      <c r="BP109" s="188" t="s"/>
    </row>
    <row r="110" spans="61:68" ht="13.5">
      <c r="BI110" s="162" t="s"/>
      <c r="BJ110" s="188" t="s"/>
      <c r="BK110" s="188" t="s"/>
      <c r="BL110" s="188" t="s"/>
      <c r="BM110" s="188" t="s"/>
      <c r="BN110" s="162" t="s"/>
      <c r="BO110" s="188" t="s"/>
      <c r="BP110" s="188" t="s"/>
    </row>
    <row r="111" spans="61:68" ht="13.5">
      <c r="BI111" s="162" t="s"/>
      <c r="BJ111" s="188" t="s"/>
      <c r="BK111" s="188" t="s"/>
      <c r="BL111" s="188" t="s"/>
      <c r="BM111" s="188" t="s"/>
      <c r="BN111" s="162" t="s"/>
      <c r="BO111" s="188" t="s"/>
      <c r="BP111" s="188" t="s"/>
    </row>
    <row r="112" spans="61:68" ht="13.5">
      <c r="BI112" s="162" t="s"/>
      <c r="BJ112" s="188" t="s"/>
      <c r="BK112" s="188" t="s"/>
      <c r="BL112" s="188" t="s"/>
      <c r="BM112" s="188" t="s"/>
      <c r="BN112" s="162" t="s"/>
      <c r="BO112" s="188" t="s"/>
      <c r="BP112" s="188" t="s"/>
    </row>
    <row r="113" spans="61:68" ht="13.5">
      <c r="BI113" s="162" t="s"/>
      <c r="BJ113" s="188" t="s"/>
      <c r="BK113" s="188" t="s"/>
      <c r="BL113" s="188" t="s"/>
      <c r="BM113" s="188" t="s"/>
      <c r="BN113" s="162" t="s"/>
      <c r="BO113" s="188" t="s"/>
      <c r="BP113" s="188" t="s"/>
    </row>
    <row r="114" spans="61:68" ht="13.5">
      <c r="BI114" s="162" t="s"/>
      <c r="BJ114" s="188" t="s"/>
      <c r="BK114" s="188" t="s"/>
      <c r="BL114" s="188" t="s"/>
      <c r="BM114" s="188" t="s"/>
      <c r="BN114" s="162" t="s"/>
      <c r="BO114" s="188" t="s"/>
      <c r="BP114" s="188" t="s"/>
    </row>
    <row r="115" spans="61:68" ht="13.5">
      <c r="BI115" s="162" t="s"/>
      <c r="BJ115" s="188" t="s"/>
      <c r="BK115" s="188" t="s"/>
      <c r="BL115" s="188" t="s"/>
      <c r="BM115" s="188" t="s"/>
      <c r="BN115" s="162" t="s"/>
      <c r="BO115" s="188" t="s"/>
      <c r="BP115" s="188" t="s"/>
    </row>
    <row r="116" spans="61:68" ht="13.5">
      <c r="BI116" s="162" t="s"/>
      <c r="BJ116" s="188" t="s"/>
      <c r="BK116" s="188" t="s"/>
      <c r="BL116" s="188" t="s"/>
      <c r="BM116" s="188" t="s"/>
      <c r="BN116" s="162" t="s"/>
      <c r="BO116" s="188" t="s"/>
      <c r="BP116" s="188" t="s"/>
    </row>
    <row r="117" spans="61:68" ht="13.5">
      <c r="BI117" s="162" t="s"/>
      <c r="BJ117" s="188" t="s"/>
      <c r="BK117" s="188" t="s"/>
      <c r="BL117" s="188" t="s"/>
      <c r="BM117" s="188" t="s"/>
      <c r="BN117" s="162" t="s"/>
      <c r="BO117" s="188" t="s"/>
      <c r="BP117" s="188" t="s"/>
    </row>
    <row r="118" spans="61:68" ht="13.5">
      <c r="BI118" s="162" t="s"/>
      <c r="BJ118" s="188" t="s"/>
      <c r="BK118" s="188" t="s"/>
      <c r="BL118" s="188" t="s"/>
      <c r="BM118" s="188" t="s"/>
      <c r="BN118" s="162" t="s"/>
      <c r="BO118" s="188" t="s"/>
      <c r="BP118" s="188" t="s"/>
    </row>
    <row r="119" spans="61:68" ht="13.5">
      <c r="BI119" s="162" t="s"/>
      <c r="BJ119" s="188" t="s"/>
      <c r="BK119" s="188" t="s"/>
      <c r="BL119" s="188" t="s"/>
      <c r="BM119" s="188" t="s"/>
      <c r="BN119" s="162" t="s"/>
      <c r="BO119" s="188" t="s"/>
      <c r="BP119" s="188" t="s"/>
    </row>
    <row r="120" spans="61:68" ht="13.5">
      <c r="BI120" s="162" t="s"/>
      <c r="BJ120" s="188" t="s"/>
      <c r="BK120" s="188" t="s"/>
      <c r="BL120" s="188" t="s"/>
      <c r="BM120" s="188" t="s"/>
      <c r="BN120" s="162" t="s"/>
      <c r="BO120" s="188" t="s"/>
      <c r="BP120" s="188" t="s"/>
    </row>
    <row r="121" spans="61:68" ht="13.5">
      <c r="BI121" s="162" t="s"/>
      <c r="BJ121" s="188" t="s"/>
      <c r="BK121" s="188" t="s"/>
      <c r="BL121" s="188" t="s"/>
      <c r="BM121" s="188" t="s"/>
      <c r="BN121" s="162" t="s"/>
      <c r="BO121" s="188" t="s"/>
      <c r="BP121" s="188" t="s"/>
    </row>
    <row r="122" spans="61:68" ht="13.5">
      <c r="BI122" s="162" t="s"/>
      <c r="BJ122" s="188" t="s"/>
      <c r="BK122" s="188" t="s"/>
      <c r="BL122" s="188" t="s"/>
      <c r="BM122" s="188" t="s"/>
      <c r="BN122" s="162" t="s"/>
      <c r="BO122" s="188" t="s"/>
      <c r="BP122" s="188" t="s"/>
    </row>
    <row r="123" spans="61:68" ht="13.5">
      <c r="BI123" s="162" t="s"/>
      <c r="BJ123" s="188" t="s"/>
      <c r="BK123" s="188" t="s"/>
      <c r="BL123" s="188" t="s"/>
      <c r="BM123" s="188" t="s"/>
      <c r="BN123" s="162" t="s"/>
      <c r="BO123" s="188" t="s"/>
      <c r="BP123" s="188" t="s"/>
    </row>
    <row r="124" spans="61:68" ht="13.5">
      <c r="BI124" s="162" t="s"/>
      <c r="BJ124" s="188" t="s"/>
      <c r="BK124" s="188" t="s"/>
      <c r="BL124" s="188" t="s"/>
      <c r="BM124" s="188" t="s"/>
      <c r="BN124" s="162" t="s"/>
      <c r="BO124" s="188" t="s"/>
      <c r="BP124" s="188" t="s"/>
    </row>
    <row r="125" spans="61:68" ht="13.5">
      <c r="BI125" s="162" t="s"/>
      <c r="BJ125" s="188" t="s"/>
      <c r="BK125" s="188" t="s"/>
      <c r="BL125" s="188" t="s"/>
      <c r="BM125" s="188" t="s"/>
      <c r="BN125" s="162" t="s"/>
      <c r="BO125" s="188" t="s"/>
      <c r="BP125" s="188" t="s"/>
    </row>
    <row r="126" spans="61:68" ht="13.5">
      <c r="BI126" s="162" t="s"/>
      <c r="BJ126" s="188" t="s"/>
      <c r="BK126" s="188" t="s"/>
      <c r="BL126" s="188" t="s"/>
      <c r="BM126" s="188" t="s"/>
      <c r="BN126" s="162" t="s"/>
      <c r="BO126" s="188" t="s"/>
      <c r="BP126" s="188" t="s"/>
    </row>
    <row r="127" spans="61:68" ht="13.5">
      <c r="BI127" s="162" t="s"/>
      <c r="BJ127" s="188" t="s"/>
      <c r="BK127" s="188" t="s"/>
      <c r="BL127" s="188" t="s"/>
      <c r="BM127" s="188" t="s"/>
      <c r="BN127" s="162" t="s"/>
      <c r="BO127" s="188" t="s"/>
      <c r="BP127" s="188" t="s"/>
    </row>
    <row r="128" spans="61:68" ht="13.5">
      <c r="BI128" s="162" t="s"/>
      <c r="BJ128" s="188" t="s"/>
      <c r="BK128" s="188" t="s"/>
      <c r="BL128" s="188" t="s"/>
      <c r="BM128" s="188" t="s"/>
      <c r="BN128" s="162" t="s"/>
      <c r="BO128" s="188" t="s"/>
      <c r="BP128" s="188" t="s"/>
    </row>
    <row r="129" spans="61:68" ht="13.5">
      <c r="BI129" s="162" t="s"/>
      <c r="BJ129" s="188" t="s"/>
      <c r="BK129" s="188" t="s"/>
      <c r="BL129" s="188" t="s"/>
      <c r="BM129" s="188" t="s"/>
      <c r="BN129" s="162" t="s"/>
      <c r="BO129" s="188" t="s"/>
      <c r="BP129" s="188" t="s"/>
    </row>
    <row r="130" spans="61:68" ht="13.5">
      <c r="BI130" s="162" t="s"/>
      <c r="BJ130" s="188" t="s"/>
      <c r="BK130" s="188" t="s"/>
      <c r="BL130" s="188" t="s"/>
      <c r="BM130" s="188" t="s"/>
      <c r="BN130" s="162" t="s"/>
      <c r="BO130" s="188" t="s"/>
      <c r="BP130" s="188" t="s"/>
    </row>
    <row r="131" spans="61:68" ht="13.5">
      <c r="BI131" s="162" t="s"/>
      <c r="BJ131" s="188" t="s"/>
      <c r="BK131" s="188" t="s"/>
      <c r="BL131" s="188" t="s"/>
      <c r="BM131" s="188" t="s"/>
      <c r="BN131" s="162" t="s"/>
      <c r="BO131" s="188" t="s"/>
      <c r="BP131" s="188" t="s"/>
    </row>
    <row r="132" spans="61:68" ht="13.5">
      <c r="BI132" s="162" t="s"/>
      <c r="BJ132" s="188" t="s"/>
      <c r="BK132" s="188" t="s"/>
      <c r="BL132" s="188" t="s"/>
      <c r="BM132" s="188" t="s"/>
      <c r="BN132" s="162" t="s"/>
      <c r="BO132" s="188" t="s"/>
      <c r="BP132" s="188" t="s"/>
    </row>
    <row r="133" spans="61:68" ht="13.5">
      <c r="BI133" s="162" t="s"/>
      <c r="BJ133" s="188" t="s"/>
      <c r="BK133" s="188" t="s"/>
      <c r="BL133" s="188" t="s"/>
      <c r="BM133" s="188" t="s"/>
      <c r="BN133" s="162" t="s"/>
      <c r="BO133" s="188" t="s"/>
      <c r="BP133" s="188" t="s"/>
    </row>
    <row r="134" spans="61:68" ht="13.5">
      <c r="BI134" s="162" t="s"/>
      <c r="BJ134" s="188" t="s"/>
      <c r="BK134" s="188" t="s"/>
      <c r="BL134" s="188" t="s"/>
      <c r="BM134" s="188" t="s"/>
      <c r="BN134" s="162" t="s"/>
      <c r="BO134" s="188" t="s"/>
      <c r="BP134" s="188" t="s"/>
    </row>
    <row r="135" spans="61:68" ht="13.5">
      <c r="BI135" s="162" t="s"/>
      <c r="BJ135" s="188" t="s"/>
      <c r="BK135" s="188" t="s"/>
      <c r="BL135" s="188" t="s"/>
      <c r="BM135" s="188" t="s"/>
      <c r="BN135" s="162" t="s"/>
      <c r="BO135" s="188" t="s"/>
      <c r="BP135" s="188" t="s"/>
    </row>
    <row r="136" spans="61:68" ht="13.5">
      <c r="BI136" s="162" t="s"/>
      <c r="BJ136" s="188" t="s"/>
      <c r="BK136" s="188" t="s"/>
      <c r="BL136" s="188" t="s"/>
      <c r="BM136" s="188" t="s"/>
      <c r="BN136" s="162" t="s"/>
      <c r="BO136" s="188" t="s"/>
      <c r="BP136" s="188" t="s"/>
    </row>
    <row r="137" spans="61:68" ht="13.5">
      <c r="BI137" s="162" t="s"/>
      <c r="BJ137" s="188" t="s"/>
      <c r="BK137" s="188" t="s"/>
      <c r="BL137" s="188" t="s"/>
      <c r="BM137" s="188" t="s"/>
      <c r="BN137" s="162" t="s"/>
      <c r="BO137" s="188" t="s"/>
      <c r="BP137" s="188" t="s"/>
    </row>
    <row r="138" spans="61:68" ht="13.5">
      <c r="BI138" s="162" t="s"/>
      <c r="BJ138" s="188" t="s"/>
      <c r="BK138" s="188" t="s"/>
      <c r="BL138" s="188" t="s"/>
      <c r="BM138" s="188" t="s"/>
      <c r="BN138" s="162" t="s"/>
      <c r="BO138" s="188" t="s"/>
      <c r="BP138" s="188" t="s"/>
    </row>
    <row r="139" spans="61:68" ht="13.5">
      <c r="BI139" s="162" t="s"/>
      <c r="BJ139" s="188" t="s"/>
      <c r="BK139" s="188" t="s"/>
      <c r="BL139" s="188" t="s"/>
      <c r="BM139" s="188" t="s"/>
      <c r="BN139" s="162" t="s"/>
      <c r="BO139" s="188" t="s"/>
      <c r="BP139" s="188" t="s"/>
    </row>
    <row r="140" spans="61:68" ht="13.5">
      <c r="BI140" s="162" t="s"/>
      <c r="BJ140" s="188" t="s"/>
      <c r="BK140" s="188" t="s"/>
      <c r="BL140" s="188" t="s"/>
      <c r="BM140" s="188" t="s"/>
      <c r="BN140" s="162" t="s"/>
      <c r="BO140" s="188" t="s"/>
      <c r="BP140" s="188" t="s"/>
    </row>
    <row r="141" spans="61:68" ht="13.5">
      <c r="BI141" s="162" t="s"/>
      <c r="BJ141" s="188" t="s"/>
      <c r="BK141" s="188" t="s"/>
      <c r="BL141" s="188" t="s"/>
      <c r="BM141" s="188" t="s"/>
      <c r="BN141" s="162" t="s"/>
      <c r="BO141" s="188" t="s"/>
      <c r="BP141" s="188" t="s"/>
    </row>
    <row r="142" spans="61:68" ht="13.5">
      <c r="BI142" s="162" t="s"/>
      <c r="BJ142" s="188" t="s"/>
      <c r="BK142" s="188" t="s"/>
      <c r="BL142" s="188" t="s"/>
      <c r="BM142" s="188" t="s"/>
      <c r="BN142" s="162" t="s"/>
      <c r="BO142" s="188" t="s"/>
      <c r="BP142" s="188" t="s"/>
    </row>
    <row r="143" spans="61:68" ht="13.5">
      <c r="BI143" s="162" t="s"/>
      <c r="BJ143" s="188" t="s"/>
      <c r="BK143" s="188" t="s"/>
      <c r="BL143" s="188" t="s"/>
      <c r="BM143" s="188" t="s"/>
      <c r="BN143" s="162" t="s"/>
      <c r="BO143" s="188" t="s"/>
      <c r="BP143" s="188" t="s"/>
    </row>
    <row r="144" spans="61:68" ht="13.5">
      <c r="BI144" s="162" t="s"/>
      <c r="BJ144" s="188" t="s"/>
      <c r="BK144" s="188" t="s"/>
      <c r="BL144" s="188" t="s"/>
      <c r="BM144" s="188" t="s"/>
      <c r="BN144" s="162" t="s"/>
      <c r="BO144" s="188" t="s"/>
      <c r="BP144" s="188" t="s"/>
    </row>
    <row r="145" spans="61:68" ht="13.5">
      <c r="BI145" s="162" t="s"/>
      <c r="BJ145" s="188" t="s"/>
      <c r="BK145" s="188" t="s"/>
      <c r="BL145" s="188" t="s"/>
      <c r="BM145" s="188" t="s"/>
      <c r="BN145" s="162" t="s"/>
      <c r="BO145" s="188" t="s"/>
      <c r="BP145" s="188" t="s"/>
    </row>
    <row r="146" spans="61:68" ht="13.5">
      <c r="BI146" s="162" t="s"/>
      <c r="BJ146" s="188" t="s"/>
      <c r="BK146" s="188" t="s"/>
      <c r="BL146" s="188" t="s"/>
      <c r="BM146" s="188" t="s"/>
      <c r="BN146" s="162" t="s"/>
      <c r="BO146" s="188" t="s"/>
      <c r="BP146" s="188" t="s"/>
    </row>
    <row r="147" spans="61:68" ht="13.5">
      <c r="BI147" s="162" t="s"/>
      <c r="BJ147" s="188" t="s"/>
      <c r="BK147" s="188" t="s"/>
      <c r="BL147" s="188" t="s"/>
      <c r="BM147" s="188" t="s"/>
      <c r="BN147" s="162" t="s"/>
      <c r="BO147" s="188" t="s"/>
      <c r="BP147" s="188" t="s"/>
    </row>
    <row r="148" spans="61:68" ht="13.5">
      <c r="BI148" s="162" t="s"/>
      <c r="BJ148" s="188" t="s"/>
      <c r="BK148" s="188" t="s"/>
      <c r="BL148" s="188" t="s"/>
      <c r="BM148" s="188" t="s"/>
      <c r="BN148" s="162" t="s"/>
      <c r="BO148" s="188" t="s"/>
      <c r="BP148" s="188" t="s"/>
    </row>
    <row r="149" spans="61:68" ht="13.5">
      <c r="BI149" s="162" t="s"/>
      <c r="BJ149" s="188" t="s"/>
      <c r="BK149" s="188" t="s"/>
      <c r="BL149" s="188" t="s"/>
      <c r="BM149" s="188" t="s"/>
      <c r="BN149" s="162" t="s"/>
      <c r="BO149" s="188" t="s"/>
      <c r="BP149" s="188" t="s"/>
    </row>
    <row r="150" spans="61:68" ht="13.5">
      <c r="BI150" s="162" t="s"/>
      <c r="BJ150" s="188" t="s"/>
      <c r="BK150" s="188" t="s"/>
      <c r="BL150" s="188" t="s"/>
      <c r="BM150" s="188" t="s"/>
      <c r="BN150" s="162" t="s"/>
      <c r="BO150" s="188" t="s"/>
      <c r="BP150" s="188" t="s"/>
    </row>
    <row r="151" spans="61:68" ht="13.5">
      <c r="BI151" s="162" t="s"/>
      <c r="BJ151" s="188" t="s"/>
      <c r="BK151" s="188" t="s"/>
      <c r="BL151" s="188" t="s"/>
      <c r="BM151" s="188" t="s"/>
      <c r="BN151" s="162" t="s"/>
      <c r="BO151" s="188" t="s"/>
      <c r="BP151" s="188" t="s"/>
    </row>
    <row r="152" spans="61:68" ht="13.5">
      <c r="BI152" s="162" t="s"/>
      <c r="BJ152" s="188" t="s"/>
      <c r="BK152" s="188" t="s"/>
      <c r="BL152" s="188" t="s"/>
      <c r="BM152" s="188" t="s"/>
      <c r="BN152" s="162" t="s"/>
      <c r="BO152" s="188" t="s"/>
      <c r="BP152" s="188" t="s"/>
    </row>
    <row r="153" spans="61:68" ht="13.5">
      <c r="BI153" s="162" t="s"/>
      <c r="BJ153" s="188" t="s"/>
      <c r="BK153" s="188" t="s"/>
      <c r="BL153" s="188" t="s"/>
      <c r="BM153" s="188" t="s"/>
      <c r="BN153" s="162" t="s"/>
      <c r="BO153" s="188" t="s"/>
      <c r="BP153" s="188" t="s"/>
    </row>
    <row r="154" spans="61:68" ht="13.5">
      <c r="BI154" s="162" t="s"/>
      <c r="BJ154" s="188" t="s"/>
      <c r="BK154" s="188" t="s"/>
      <c r="BL154" s="188" t="s"/>
      <c r="BM154" s="188" t="s"/>
      <c r="BN154" s="162" t="s"/>
      <c r="BO154" s="188" t="s"/>
      <c r="BP154" s="188" t="s"/>
    </row>
    <row r="155" spans="61:68" ht="13.5">
      <c r="BI155" s="162" t="s"/>
      <c r="BJ155" s="188" t="s"/>
      <c r="BK155" s="188" t="s"/>
      <c r="BL155" s="188" t="s"/>
      <c r="BM155" s="188" t="s"/>
      <c r="BN155" s="162" t="s"/>
      <c r="BO155" s="188" t="s"/>
      <c r="BP155" s="188" t="s"/>
    </row>
    <row r="156" spans="61:68" ht="13.5">
      <c r="BI156" s="162" t="s"/>
      <c r="BJ156" s="188" t="s"/>
      <c r="BK156" s="188" t="s"/>
      <c r="BL156" s="188" t="s"/>
      <c r="BM156" s="188" t="s"/>
      <c r="BN156" s="162" t="s"/>
      <c r="BO156" s="188" t="s"/>
      <c r="BP156" s="188" t="s"/>
    </row>
    <row r="157" spans="61:68" ht="13.5">
      <c r="BI157" s="162" t="s"/>
      <c r="BJ157" s="188" t="s"/>
      <c r="BK157" s="188" t="s"/>
      <c r="BL157" s="188" t="s"/>
      <c r="BM157" s="188" t="s"/>
      <c r="BN157" s="162" t="s"/>
      <c r="BO157" s="188" t="s"/>
      <c r="BP157" s="188" t="s"/>
    </row>
    <row r="158" spans="61:68" ht="13.5">
      <c r="BI158" s="162" t="s"/>
      <c r="BJ158" s="188" t="s"/>
      <c r="BK158" s="188" t="s"/>
      <c r="BL158" s="188" t="s"/>
      <c r="BM158" s="188" t="s"/>
      <c r="BN158" s="162" t="s"/>
      <c r="BO158" s="188" t="s"/>
      <c r="BP158" s="188" t="s"/>
    </row>
    <row r="159" spans="61:68" ht="13.5">
      <c r="BI159" s="162" t="s"/>
      <c r="BJ159" s="188" t="s"/>
      <c r="BK159" s="188" t="s"/>
      <c r="BL159" s="188" t="s"/>
      <c r="BM159" s="188" t="s"/>
      <c r="BN159" s="162" t="s"/>
      <c r="BO159" s="188" t="s"/>
      <c r="BP159" s="188" t="s"/>
    </row>
    <row r="160" spans="61:68" ht="13.5">
      <c r="BI160" s="162" t="s"/>
      <c r="BJ160" s="188" t="s"/>
      <c r="BK160" s="188" t="s"/>
      <c r="BL160" s="188" t="s"/>
      <c r="BM160" s="188" t="s"/>
      <c r="BN160" s="162" t="s"/>
      <c r="BO160" s="188" t="s"/>
      <c r="BP160" s="188" t="s"/>
    </row>
    <row r="161" spans="61:68" ht="13.5">
      <c r="BI161" s="162" t="s"/>
      <c r="BJ161" s="188" t="s"/>
      <c r="BK161" s="188" t="s"/>
      <c r="BL161" s="188" t="s"/>
      <c r="BM161" s="188" t="s"/>
      <c r="BN161" s="162" t="s"/>
      <c r="BO161" s="188" t="s"/>
      <c r="BP161" s="188" t="s"/>
    </row>
    <row r="162" spans="61:68" ht="13.5">
      <c r="BI162" s="162" t="s"/>
      <c r="BJ162" s="188" t="s"/>
      <c r="BK162" s="188" t="s"/>
      <c r="BL162" s="188" t="s"/>
      <c r="BM162" s="188" t="s"/>
      <c r="BN162" s="162" t="s"/>
      <c r="BO162" s="188" t="s"/>
      <c r="BP162" s="188" t="s"/>
    </row>
    <row r="163" spans="61:68" ht="13.5">
      <c r="BI163" s="162" t="s"/>
      <c r="BJ163" s="188" t="s"/>
      <c r="BK163" s="188" t="s"/>
      <c r="BL163" s="188" t="s"/>
      <c r="BM163" s="188" t="s"/>
      <c r="BN163" s="162" t="s"/>
      <c r="BO163" s="188" t="s"/>
      <c r="BP163" s="188" t="s"/>
    </row>
    <row r="164" spans="61:68" ht="13.5">
      <c r="BI164" s="162" t="s"/>
      <c r="BJ164" s="188" t="s"/>
      <c r="BK164" s="188" t="s"/>
      <c r="BL164" s="188" t="s"/>
      <c r="BM164" s="188" t="s"/>
      <c r="BN164" s="162" t="s"/>
      <c r="BO164" s="188" t="s"/>
      <c r="BP164" s="188" t="s"/>
    </row>
    <row r="165" spans="61:68" ht="13.5">
      <c r="BI165" s="162" t="s"/>
      <c r="BJ165" s="188" t="s"/>
      <c r="BK165" s="188" t="s"/>
      <c r="BL165" s="188" t="s"/>
      <c r="BM165" s="188" t="s"/>
      <c r="BN165" s="162" t="s"/>
      <c r="BO165" s="188" t="s"/>
      <c r="BP165" s="188" t="s"/>
    </row>
    <row r="166" spans="61:68" ht="13.5">
      <c r="BI166" s="162" t="s"/>
      <c r="BJ166" s="188" t="s"/>
      <c r="BK166" s="188" t="s"/>
      <c r="BL166" s="188" t="s"/>
      <c r="BM166" s="188" t="s"/>
      <c r="BN166" s="162" t="s"/>
      <c r="BO166" s="188" t="s"/>
      <c r="BP166" s="188" t="s"/>
    </row>
    <row r="167" spans="61:68" ht="13.5">
      <c r="BI167" s="162" t="s"/>
      <c r="BJ167" s="188" t="s"/>
      <c r="BK167" s="188" t="s"/>
      <c r="BL167" s="188" t="s"/>
      <c r="BM167" s="188" t="s"/>
      <c r="BN167" s="162" t="s"/>
      <c r="BO167" s="188" t="s"/>
      <c r="BP167" s="188" t="s"/>
    </row>
    <row r="168" spans="61:68" ht="13.5">
      <c r="BI168" s="162" t="s"/>
      <c r="BJ168" s="188" t="s"/>
      <c r="BK168" s="188" t="s"/>
      <c r="BL168" s="188" t="s"/>
      <c r="BM168" s="188" t="s"/>
      <c r="BN168" s="162" t="s"/>
      <c r="BO168" s="188" t="s"/>
      <c r="BP168" s="188" t="s"/>
    </row>
    <row r="169" spans="61:68" ht="13.5">
      <c r="BI169" s="162" t="s"/>
      <c r="BJ169" s="188" t="s"/>
      <c r="BK169" s="188" t="s"/>
      <c r="BL169" s="188" t="s"/>
      <c r="BM169" s="188" t="s"/>
      <c r="BN169" s="162" t="s"/>
      <c r="BO169" s="188" t="s"/>
      <c r="BP169" s="188" t="s"/>
    </row>
    <row r="170" spans="61:68" ht="13.5">
      <c r="BI170" s="162" t="s"/>
      <c r="BJ170" s="188" t="s"/>
      <c r="BK170" s="188" t="s"/>
      <c r="BL170" s="188" t="s"/>
      <c r="BM170" s="188" t="s"/>
      <c r="BN170" s="162" t="s"/>
      <c r="BO170" s="188" t="s"/>
      <c r="BP170" s="188" t="s"/>
    </row>
    <row r="171" spans="61:68" ht="13.5">
      <c r="BI171" s="162" t="s"/>
      <c r="BJ171" s="188" t="s"/>
      <c r="BK171" s="188" t="s"/>
      <c r="BL171" s="188" t="s"/>
      <c r="BM171" s="188" t="s"/>
      <c r="BN171" s="162" t="s"/>
      <c r="BO171" s="188" t="s"/>
      <c r="BP171" s="188" t="s"/>
    </row>
    <row r="172" spans="61:68" ht="13.5">
      <c r="BI172" s="162" t="s"/>
      <c r="BJ172" s="188" t="s"/>
      <c r="BK172" s="188" t="s"/>
      <c r="BL172" s="188" t="s"/>
      <c r="BM172" s="188" t="s"/>
      <c r="BN172" s="162" t="s"/>
      <c r="BO172" s="188" t="s"/>
      <c r="BP172" s="188" t="s"/>
    </row>
    <row r="173" spans="61:68" ht="13.5">
      <c r="BI173" s="162" t="s"/>
      <c r="BJ173" s="188" t="s"/>
      <c r="BK173" s="188" t="s"/>
      <c r="BL173" s="188" t="s"/>
      <c r="BM173" s="188" t="s"/>
      <c r="BN173" s="162" t="s"/>
      <c r="BO173" s="188" t="s"/>
      <c r="BP173" s="188" t="s"/>
    </row>
    <row r="174" spans="61:68" ht="13.5">
      <c r="BI174" s="162" t="s"/>
      <c r="BJ174" s="188" t="s"/>
      <c r="BK174" s="188" t="s"/>
      <c r="BL174" s="188" t="s"/>
      <c r="BM174" s="188" t="s"/>
      <c r="BN174" s="162" t="s"/>
      <c r="BO174" s="188" t="s"/>
      <c r="BP174" s="188" t="s"/>
    </row>
    <row r="175" spans="61:68" ht="13.5">
      <c r="BI175" s="162" t="s"/>
      <c r="BJ175" s="188" t="s"/>
      <c r="BK175" s="188" t="s"/>
      <c r="BL175" s="188" t="s"/>
      <c r="BM175" s="188" t="s"/>
      <c r="BN175" s="162" t="s"/>
      <c r="BO175" s="188" t="s"/>
      <c r="BP175" s="188" t="s"/>
    </row>
    <row r="176" spans="61:68" ht="13.5">
      <c r="BI176" s="162" t="s"/>
      <c r="BJ176" s="188" t="s"/>
      <c r="BK176" s="188" t="s"/>
      <c r="BL176" s="188" t="s"/>
      <c r="BM176" s="188" t="s"/>
      <c r="BN176" s="162" t="s"/>
      <c r="BO176" s="188" t="s"/>
      <c r="BP176" s="188" t="s"/>
    </row>
    <row r="177" spans="61:68" ht="13.5">
      <c r="BI177" s="162" t="s"/>
      <c r="BJ177" s="188" t="s"/>
      <c r="BK177" s="188" t="s"/>
      <c r="BL177" s="188" t="s"/>
      <c r="BM177" s="188" t="s"/>
      <c r="BN177" s="162" t="s"/>
      <c r="BO177" s="188" t="s"/>
      <c r="BP177" s="188" t="s"/>
    </row>
    <row r="178" spans="61:68" ht="13.5">
      <c r="BI178" s="162" t="s"/>
      <c r="BJ178" s="188" t="s"/>
      <c r="BK178" s="188" t="s"/>
      <c r="BL178" s="188" t="s"/>
      <c r="BM178" s="188" t="s"/>
      <c r="BN178" s="162" t="s"/>
      <c r="BO178" s="188" t="s"/>
      <c r="BP178" s="188" t="s"/>
    </row>
    <row r="179" spans="61:68" ht="13.5">
      <c r="BI179" s="162" t="s"/>
      <c r="BJ179" s="188" t="s"/>
      <c r="BK179" s="188" t="s"/>
      <c r="BL179" s="188" t="s"/>
      <c r="BM179" s="188" t="s"/>
      <c r="BN179" s="162" t="s"/>
      <c r="BO179" s="188" t="s"/>
      <c r="BP179" s="188" t="s"/>
    </row>
    <row r="180" spans="61:68" ht="13.5">
      <c r="BI180" s="162" t="s"/>
      <c r="BJ180" s="188" t="s"/>
      <c r="BK180" s="188" t="s"/>
      <c r="BL180" s="188" t="s"/>
      <c r="BM180" s="188" t="s"/>
      <c r="BN180" s="162" t="s"/>
      <c r="BO180" s="188" t="s"/>
      <c r="BP180" s="188" t="s"/>
    </row>
    <row r="181" spans="61:68" ht="13.5">
      <c r="BI181" s="162" t="s"/>
      <c r="BJ181" s="188" t="s"/>
      <c r="BK181" s="188" t="s"/>
      <c r="BL181" s="188" t="s"/>
      <c r="BM181" s="188" t="s"/>
      <c r="BN181" s="162" t="s"/>
      <c r="BO181" s="188" t="s"/>
      <c r="BP181" s="188" t="s"/>
    </row>
    <row r="182" spans="61:68" ht="13.5">
      <c r="BI182" s="162" t="s"/>
      <c r="BJ182" s="188" t="s"/>
      <c r="BK182" s="188" t="s"/>
      <c r="BL182" s="188" t="s"/>
      <c r="BM182" s="188" t="s"/>
      <c r="BN182" s="162" t="s"/>
      <c r="BO182" s="188" t="s"/>
      <c r="BP182" s="188" t="s"/>
    </row>
    <row r="183" spans="61:68" ht="13.5">
      <c r="BI183" s="162" t="s"/>
      <c r="BJ183" s="188" t="s"/>
      <c r="BK183" s="188" t="s"/>
      <c r="BL183" s="188" t="s"/>
      <c r="BM183" s="188" t="s"/>
      <c r="BN183" s="162" t="s"/>
      <c r="BO183" s="188" t="s"/>
      <c r="BP183" s="188" t="s"/>
    </row>
    <row r="184" spans="61:68" ht="13.5">
      <c r="BI184" s="162" t="s"/>
      <c r="BJ184" s="188" t="s"/>
      <c r="BK184" s="188" t="s"/>
      <c r="BL184" s="188" t="s"/>
      <c r="BM184" s="188" t="s"/>
      <c r="BN184" s="162" t="s"/>
      <c r="BO184" s="188" t="s"/>
      <c r="BP184" s="188" t="s"/>
    </row>
    <row r="185" spans="61:68" ht="13.5">
      <c r="BI185" s="162" t="s"/>
      <c r="BJ185" s="188" t="s"/>
      <c r="BK185" s="188" t="s"/>
      <c r="BL185" s="188" t="s"/>
      <c r="BM185" s="188" t="s"/>
      <c r="BN185" s="162" t="s"/>
      <c r="BO185" s="188" t="s"/>
      <c r="BP185" s="188" t="s"/>
    </row>
    <row r="186" spans="61:68" ht="13.5">
      <c r="BI186" s="162" t="s"/>
      <c r="BJ186" s="188" t="s"/>
      <c r="BK186" s="188" t="s"/>
      <c r="BL186" s="188" t="s"/>
      <c r="BM186" s="188" t="s"/>
      <c r="BN186" s="162" t="s"/>
      <c r="BO186" s="188" t="s"/>
      <c r="BP186" s="188" t="s"/>
    </row>
    <row r="187" spans="61:68" ht="13.5">
      <c r="BI187" s="162" t="s"/>
      <c r="BJ187" s="188" t="s"/>
      <c r="BK187" s="188" t="s"/>
      <c r="BL187" s="188" t="s"/>
      <c r="BM187" s="188" t="s"/>
      <c r="BN187" s="162" t="s"/>
      <c r="BO187" s="188" t="s"/>
      <c r="BP187" s="188" t="s"/>
    </row>
    <row r="188" spans="61:68" ht="13.5">
      <c r="BI188" s="162" t="s"/>
      <c r="BJ188" s="188" t="s"/>
      <c r="BK188" s="188" t="s"/>
      <c r="BL188" s="188" t="s"/>
      <c r="BM188" s="188" t="s"/>
      <c r="BN188" s="162" t="s"/>
      <c r="BO188" s="188" t="s"/>
      <c r="BP188" s="188" t="s"/>
    </row>
    <row r="189" spans="61:68" ht="13.5">
      <c r="BI189" s="162" t="s"/>
      <c r="BJ189" s="188" t="s"/>
      <c r="BK189" s="188" t="s"/>
      <c r="BL189" s="188" t="s"/>
      <c r="BM189" s="188" t="s"/>
      <c r="BN189" s="162" t="s"/>
      <c r="BO189" s="188" t="s"/>
      <c r="BP189" s="188" t="s"/>
    </row>
    <row r="190" spans="61:68" ht="13.5">
      <c r="BI190" s="162" t="s"/>
      <c r="BJ190" s="188" t="s"/>
      <c r="BK190" s="188" t="s"/>
      <c r="BL190" s="188" t="s"/>
      <c r="BM190" s="188" t="s"/>
      <c r="BN190" s="162" t="s"/>
      <c r="BO190" s="188" t="s"/>
      <c r="BP190" s="188" t="s"/>
    </row>
    <row r="191" spans="61:68" ht="13.5">
      <c r="BI191" s="162" t="s"/>
      <c r="BJ191" s="188" t="s"/>
      <c r="BK191" s="188" t="s"/>
      <c r="BL191" s="188" t="s"/>
      <c r="BM191" s="188" t="s"/>
      <c r="BN191" s="162" t="s"/>
      <c r="BO191" s="188" t="s"/>
      <c r="BP191" s="188" t="s"/>
    </row>
    <row r="192" spans="61:68" ht="13.5">
      <c r="BI192" s="162" t="s"/>
      <c r="BJ192" s="188" t="s"/>
      <c r="BK192" s="188" t="s"/>
      <c r="BL192" s="188" t="s"/>
      <c r="BM192" s="188" t="s"/>
      <c r="BN192" s="162" t="s"/>
      <c r="BO192" s="188" t="s"/>
      <c r="BP192" s="188" t="s"/>
    </row>
    <row r="193" spans="61:68" ht="13.5">
      <c r="BI193" s="162" t="s"/>
      <c r="BJ193" s="188" t="s"/>
      <c r="BK193" s="188" t="s"/>
      <c r="BL193" s="188" t="s"/>
      <c r="BM193" s="188" t="s"/>
      <c r="BN193" s="162" t="s"/>
      <c r="BO193" s="188" t="s"/>
      <c r="BP193" s="188" t="s"/>
    </row>
    <row r="194" spans="61:68" ht="13.5">
      <c r="BI194" s="162" t="s"/>
      <c r="BJ194" s="188" t="s"/>
      <c r="BK194" s="188" t="s"/>
      <c r="BL194" s="188" t="s"/>
      <c r="BM194" s="188" t="s"/>
      <c r="BN194" s="162" t="s"/>
      <c r="BO194" s="188" t="s"/>
      <c r="BP194" s="188" t="s"/>
    </row>
    <row r="195" spans="61:68" ht="13.5">
      <c r="BI195" s="162" t="s"/>
      <c r="BJ195" s="188" t="s"/>
      <c r="BK195" s="188" t="s"/>
      <c r="BL195" s="188" t="s"/>
      <c r="BM195" s="188" t="s"/>
      <c r="BN195" s="162" t="s"/>
      <c r="BO195" s="188" t="s"/>
      <c r="BP195" s="188" t="s"/>
    </row>
    <row r="196" spans="61:68" ht="13.5">
      <c r="BI196" s="162" t="s"/>
      <c r="BJ196" s="188" t="s"/>
      <c r="BK196" s="188" t="s"/>
      <c r="BL196" s="188" t="s"/>
      <c r="BM196" s="188" t="s"/>
      <c r="BN196" s="162" t="s"/>
      <c r="BO196" s="188" t="s"/>
      <c r="BP196" s="188" t="s"/>
    </row>
    <row r="197" spans="61:68" ht="13.5">
      <c r="BI197" s="162" t="s"/>
      <c r="BJ197" s="188" t="s"/>
      <c r="BK197" s="188" t="s"/>
      <c r="BL197" s="188" t="s"/>
      <c r="BM197" s="188" t="s"/>
      <c r="BN197" s="162" t="s"/>
      <c r="BO197" s="188" t="s"/>
      <c r="BP197" s="188" t="s"/>
    </row>
    <row r="198" spans="61:68" ht="13.5">
      <c r="BI198" s="162" t="s"/>
      <c r="BJ198" s="188" t="s"/>
      <c r="BK198" s="188" t="s"/>
      <c r="BL198" s="188" t="s"/>
      <c r="BM198" s="188" t="s"/>
      <c r="BN198" s="162" t="s"/>
      <c r="BO198" s="188" t="s"/>
      <c r="BP198" s="188" t="s"/>
    </row>
    <row r="199" spans="61:68" ht="13.5">
      <c r="BI199" s="162" t="s"/>
      <c r="BJ199" s="188" t="s"/>
      <c r="BK199" s="188" t="s"/>
      <c r="BL199" s="188" t="s"/>
      <c r="BM199" s="188" t="s"/>
      <c r="BN199" s="162" t="s"/>
      <c r="BO199" s="188" t="s"/>
      <c r="BP199" s="188" t="s"/>
    </row>
    <row r="200" spans="61:68" ht="13.5">
      <c r="BI200" s="162" t="s"/>
      <c r="BJ200" s="188" t="s"/>
      <c r="BK200" s="188" t="s"/>
      <c r="BL200" s="188" t="s"/>
      <c r="BM200" s="188" t="s"/>
      <c r="BN200" s="162" t="s"/>
      <c r="BO200" s="188" t="s"/>
      <c r="BP200" s="188" t="s"/>
    </row>
    <row r="201" spans="61:68" ht="13.5">
      <c r="BI201" s="162" t="s"/>
      <c r="BJ201" s="188" t="s"/>
      <c r="BK201" s="188" t="s"/>
      <c r="BL201" s="188" t="s"/>
      <c r="BM201" s="188" t="s"/>
      <c r="BN201" s="162" t="s"/>
      <c r="BO201" s="188" t="s"/>
      <c r="BP201" s="188" t="s"/>
    </row>
    <row r="202" spans="61:68" ht="13.5">
      <c r="BI202" s="162" t="s"/>
      <c r="BJ202" s="188" t="s"/>
      <c r="BK202" s="188" t="s"/>
      <c r="BL202" s="188" t="s"/>
      <c r="BM202" s="188" t="s"/>
      <c r="BN202" s="162" t="s"/>
      <c r="BO202" s="188" t="s"/>
      <c r="BP202" s="188" t="s"/>
    </row>
    <row r="203" spans="61:68" ht="13.5">
      <c r="BI203" s="162" t="s"/>
      <c r="BJ203" s="188" t="s"/>
      <c r="BK203" s="188" t="s"/>
      <c r="BL203" s="188" t="s"/>
      <c r="BM203" s="188" t="s"/>
      <c r="BN203" s="162" t="s"/>
      <c r="BO203" s="188" t="s"/>
      <c r="BP203" s="188" t="s"/>
    </row>
    <row r="204" spans="61:68" ht="13.5">
      <c r="BI204" s="162" t="s"/>
      <c r="BJ204" s="188" t="s"/>
      <c r="BK204" s="188" t="s"/>
      <c r="BL204" s="188" t="s"/>
      <c r="BM204" s="188" t="s"/>
      <c r="BN204" s="162" t="s"/>
      <c r="BO204" s="188" t="s"/>
      <c r="BP204" s="188" t="s"/>
    </row>
  </sheetData>
  <pageMargins left="0.75" right="0.75" top="1" bottom="1" header="0.5" footer="0.5"/>
  <pageSetup orientation="portrait"/>
</worksheet>
</file>

<file path=xl/worksheets/sheet12.xml><?xml version="1.0" encoding="utf-8"?>
<worksheet xmlns:r="http://schemas.openxmlformats.org/officeDocument/2006/relationships" xmlns="http://schemas.openxmlformats.org/spreadsheetml/2006/main">
  <sheetPr/>
  <dimension ref="M9"/>
  <sheetViews>
    <sheetView showGridLines="true" topLeftCell="A1" workbookViewId="0"/>
  </sheetViews>
  <sheetFormatPr defaultColWidth="9.025" defaultRowHeight="13.5" outlineLevelRow="6"/>
  <cols>
    <col min="9" max="10" width="12.5" customWidth="true"/>
  </cols>
  <sheetData>
    <row r="1" spans="1:48" s="383" customFormat="true" ht="16" customHeight="true">
      <c r="A1" s="4" t="s">
        <v>1</v>
      </c>
      <c r="B1" s="4" t="s">
        <v>2</v>
      </c>
      <c r="C1" s="4" t="s">
        <v>3</v>
      </c>
      <c r="D1" s="4" t="s">
        <v>4</v>
      </c>
      <c r="E1" s="4" t="s">
        <v>5</v>
      </c>
      <c r="F1" s="4" t="s">
        <v>6</v>
      </c>
      <c r="G1" s="4" t="s">
        <v>7</v>
      </c>
      <c r="H1" s="4" t="s">
        <v>8</v>
      </c>
      <c r="I1" s="5" t="s">
        <v>9</v>
      </c>
      <c r="J1" s="6" t="s">
        <v>10</v>
      </c>
      <c r="K1" s="7" t="s">
        <v>11</v>
      </c>
      <c r="L1" s="7" t="s">
        <v>12</v>
      </c>
      <c r="M1" s="8" t="s">
        <v>13</v>
      </c>
      <c r="N1" s="9" t="s"/>
      <c r="O1" s="8" t="s">
        <v>14</v>
      </c>
      <c r="P1" s="9" t="s"/>
      <c r="Q1" s="8" t="s">
        <v>15</v>
      </c>
      <c r="R1" s="9" t="s"/>
      <c r="S1" s="8" t="s">
        <v>16</v>
      </c>
      <c r="T1" s="9" t="s"/>
      <c r="U1" s="8" t="s">
        <v>17</v>
      </c>
      <c r="V1" s="9" t="s"/>
      <c r="W1" s="8" t="s">
        <v>18</v>
      </c>
      <c r="X1" s="9" t="s"/>
      <c r="Y1" s="8" t="s">
        <v>19</v>
      </c>
      <c r="Z1" s="9" t="s"/>
      <c r="AA1" s="8" t="s">
        <v>20</v>
      </c>
      <c r="AB1" s="9" t="s"/>
      <c r="AC1" s="8" t="s">
        <v>21</v>
      </c>
      <c r="AD1" s="9" t="s"/>
      <c r="AE1" s="8" t="s">
        <v>22</v>
      </c>
      <c r="AF1" s="9" t="s"/>
      <c r="AG1" s="8" t="s">
        <v>23</v>
      </c>
      <c r="AH1" s="9" t="s"/>
      <c r="AI1" s="8" t="s">
        <v>24</v>
      </c>
      <c r="AJ1" s="9" t="s"/>
      <c r="AK1" s="8" t="s">
        <v>25</v>
      </c>
      <c r="AL1" s="9" t="s"/>
      <c r="AM1" s="8" t="s">
        <v>26</v>
      </c>
      <c r="AN1" s="9" t="s"/>
      <c r="AO1" s="8" t="s">
        <v>27</v>
      </c>
      <c r="AP1" s="9" t="s"/>
      <c r="AQ1" s="8" t="s">
        <v>28</v>
      </c>
      <c r="AR1" s="9" t="s"/>
      <c r="AS1" s="8" t="s">
        <v>28</v>
      </c>
      <c r="AT1" s="9" t="s"/>
      <c r="AU1" s="8" t="s">
        <v>28</v>
      </c>
      <c r="AV1" s="9" t="s"/>
    </row>
    <row r="2" spans="1:48" s="383" customFormat="true" ht="16" customHeight="true">
      <c r="A2" s="10">
        <v>93641</v>
      </c>
      <c r="B2" s="10" t="s">
        <v>29</v>
      </c>
      <c r="C2" s="10" t="s">
        <v>30</v>
      </c>
      <c r="D2" s="10" t="s">
        <v>31</v>
      </c>
      <c r="E2" s="10" t="s">
        <v>32</v>
      </c>
      <c r="F2" s="10" t="s">
        <v>33</v>
      </c>
      <c r="G2" s="10" t="s">
        <v>34</v>
      </c>
      <c r="H2" s="10" t="s"/>
      <c r="I2" s="11" t="s"/>
      <c r="J2" s="12" t="s">
        <v>35</v>
      </c>
      <c r="K2" s="13" t="s"/>
      <c r="L2" s="13" t="s"/>
      <c r="M2" s="13" t="s"/>
      <c r="N2" s="13" t="s"/>
      <c r="O2" s="13" t="s"/>
      <c r="P2" s="13" t="s"/>
      <c r="Q2" s="13" t="s"/>
      <c r="R2" s="13" t="s"/>
      <c r="S2" s="13" t="s"/>
      <c r="T2" s="13" t="s"/>
      <c r="U2" s="13" t="s"/>
      <c r="V2" s="13" t="s"/>
      <c r="W2" s="14" t="s">
        <v>36</v>
      </c>
      <c r="X2" s="15" t="s">
        <v>37</v>
      </c>
      <c r="Y2" s="14" t="s">
        <v>36</v>
      </c>
      <c r="Z2" s="15" t="s">
        <v>37</v>
      </c>
      <c r="AA2" s="14" t="s">
        <v>36</v>
      </c>
      <c r="AB2" s="15" t="s">
        <v>37</v>
      </c>
      <c r="AC2" s="14" t="s">
        <v>36</v>
      </c>
      <c r="AD2" s="16" t="s">
        <v>37</v>
      </c>
      <c r="AE2" s="14" t="s">
        <v>36</v>
      </c>
      <c r="AF2" s="15" t="s">
        <v>38</v>
      </c>
      <c r="AG2" s="14" t="s">
        <v>36</v>
      </c>
      <c r="AH2" s="15" t="s">
        <v>38</v>
      </c>
      <c r="AI2" s="14" t="s">
        <v>36</v>
      </c>
      <c r="AJ2" s="15" t="s">
        <v>38</v>
      </c>
      <c r="AK2" s="14" t="s">
        <v>39</v>
      </c>
      <c r="AL2" s="15" t="s"/>
      <c r="AM2" s="14" t="s">
        <v>39</v>
      </c>
      <c r="AN2" s="15" t="s"/>
      <c r="AO2" s="14" t="s">
        <v>39</v>
      </c>
      <c r="AP2" s="15" t="s"/>
      <c r="AQ2" s="14" t="s">
        <v>40</v>
      </c>
      <c r="AR2" s="15" t="s">
        <v>41</v>
      </c>
      <c r="AS2" s="14" t="s"/>
      <c r="AT2" s="15" t="s"/>
      <c r="AU2" s="14" t="s"/>
      <c r="AV2" s="15" t="s"/>
    </row>
    <row r="3" spans="1:48" ht="16" customHeight="true">
      <c r="A3" s="10">
        <v>57305</v>
      </c>
      <c r="B3" s="10" t="s">
        <v>42</v>
      </c>
      <c r="C3" s="10" t="s">
        <v>43</v>
      </c>
      <c r="D3" s="10" t="s">
        <v>31</v>
      </c>
      <c r="E3" s="10" t="s">
        <v>32</v>
      </c>
      <c r="F3" s="10" t="s">
        <v>33</v>
      </c>
      <c r="G3" s="10" t="s"/>
      <c r="H3" s="10" t="s">
        <v>44</v>
      </c>
      <c r="I3" s="11">
        <v>43934</v>
      </c>
      <c r="J3" s="12" t="s">
        <v>45</v>
      </c>
      <c r="K3" s="13" t="s">
        <v>46</v>
      </c>
      <c r="L3" s="13" t="s">
        <v>46</v>
      </c>
      <c r="M3" s="14" t="s">
        <v>36</v>
      </c>
      <c r="N3" s="14" t="s">
        <v>47</v>
      </c>
      <c r="O3" s="13" t="s">
        <v>48</v>
      </c>
      <c r="P3" s="13" t="s">
        <v>49</v>
      </c>
      <c r="Q3" s="13" t="s">
        <v>48</v>
      </c>
      <c r="R3" s="13" t="s">
        <v>49</v>
      </c>
      <c r="S3" s="13" t="s">
        <v>48</v>
      </c>
      <c r="T3" s="13" t="s">
        <v>49</v>
      </c>
      <c r="U3" s="13" t="s">
        <v>48</v>
      </c>
      <c r="V3" s="13" t="s">
        <v>49</v>
      </c>
      <c r="W3" s="13" t="s">
        <v>48</v>
      </c>
      <c r="X3" s="13" t="s">
        <v>49</v>
      </c>
      <c r="Y3" s="13" t="s">
        <v>48</v>
      </c>
      <c r="Z3" s="13" t="s">
        <v>49</v>
      </c>
      <c r="AA3" s="13" t="s">
        <v>48</v>
      </c>
      <c r="AB3" s="13" t="s">
        <v>49</v>
      </c>
      <c r="AC3" s="13" t="s">
        <v>48</v>
      </c>
      <c r="AD3" s="13" t="s">
        <v>49</v>
      </c>
      <c r="AE3" s="13" t="s">
        <v>48</v>
      </c>
      <c r="AF3" s="13" t="s">
        <v>49</v>
      </c>
      <c r="AG3" s="13" t="s">
        <v>48</v>
      </c>
      <c r="AH3" s="13" t="s">
        <v>49</v>
      </c>
      <c r="AI3" s="13" t="s">
        <v>48</v>
      </c>
      <c r="AJ3" s="13" t="s">
        <v>49</v>
      </c>
      <c r="AK3" s="13" t="s">
        <v>48</v>
      </c>
      <c r="AL3" s="13" t="s">
        <v>49</v>
      </c>
      <c r="AM3" s="13" t="s">
        <v>48</v>
      </c>
      <c r="AN3" s="13" t="s">
        <v>49</v>
      </c>
      <c r="AO3" s="13" t="s">
        <v>48</v>
      </c>
      <c r="AP3" s="13" t="s">
        <v>49</v>
      </c>
      <c r="AQ3" s="13" t="s"/>
      <c r="AR3" s="13" t="s"/>
      <c r="AS3" s="13" t="s"/>
      <c r="AT3" s="13" t="s"/>
      <c r="AU3" s="13" t="s"/>
      <c r="AV3" s="13" t="s"/>
    </row>
    <row r="4" spans="1:60" ht="13.5" hidden="true">
      <c r="A4" s="10">
        <v>28062</v>
      </c>
      <c r="B4" s="10" t="s">
        <v>50</v>
      </c>
      <c r="C4" s="10" t="s">
        <v>51</v>
      </c>
      <c r="D4" s="10" t="s">
        <v>31</v>
      </c>
      <c r="E4" s="10" t="s">
        <v>32</v>
      </c>
      <c r="F4" s="10" t="s">
        <v>33</v>
      </c>
      <c r="G4" s="10" t="s"/>
      <c r="H4" s="10" t="s">
        <v>44</v>
      </c>
      <c r="I4" s="11">
        <v>41827</v>
      </c>
      <c r="J4" s="12" t="s"/>
      <c r="K4" s="13" t="s">
        <v>52</v>
      </c>
      <c r="L4" s="13" t="s">
        <v>52</v>
      </c>
      <c r="M4" s="13" t="s">
        <v>36</v>
      </c>
      <c r="N4" s="13" t="s">
        <v>53</v>
      </c>
      <c r="O4" s="13" t="s">
        <v>36</v>
      </c>
      <c r="P4" s="13" t="s">
        <v>53</v>
      </c>
      <c r="Q4" s="13" t="s">
        <v>36</v>
      </c>
      <c r="R4" s="13" t="s">
        <v>53</v>
      </c>
      <c r="S4" s="13" t="s">
        <v>36</v>
      </c>
      <c r="T4" s="13" t="s">
        <v>53</v>
      </c>
      <c r="U4" s="13" t="s">
        <v>52</v>
      </c>
      <c r="V4" s="13" t="s">
        <v>52</v>
      </c>
      <c r="W4" s="13" t="s">
        <v>52</v>
      </c>
      <c r="X4" s="13" t="s">
        <v>52</v>
      </c>
      <c r="Y4" s="13" t="s">
        <v>52</v>
      </c>
      <c r="Z4" s="13" t="s">
        <v>52</v>
      </c>
      <c r="AA4" s="13" t="s">
        <v>52</v>
      </c>
      <c r="AB4" s="13" t="s">
        <v>52</v>
      </c>
      <c r="AC4" s="13" t="s">
        <v>52</v>
      </c>
      <c r="AD4" s="13" t="s">
        <v>52</v>
      </c>
      <c r="AE4" s="13" t="s">
        <v>52</v>
      </c>
      <c r="AF4" s="13" t="s">
        <v>52</v>
      </c>
      <c r="AG4" s="13" t="s">
        <v>52</v>
      </c>
      <c r="AH4" s="13" t="s">
        <v>52</v>
      </c>
      <c r="AI4" s="13" t="s">
        <v>36</v>
      </c>
      <c r="AJ4" s="17" t="s">
        <v>54</v>
      </c>
      <c r="AK4" s="13" t="s">
        <v>36</v>
      </c>
      <c r="AL4" s="17" t="s">
        <v>54</v>
      </c>
      <c r="AM4" s="13" t="s">
        <v>36</v>
      </c>
      <c r="AN4" s="17" t="s">
        <v>54</v>
      </c>
      <c r="AO4" s="13" t="s">
        <v>36</v>
      </c>
      <c r="AP4" s="17" t="s">
        <v>54</v>
      </c>
      <c r="AQ4" s="13" t="s">
        <v>36</v>
      </c>
      <c r="AR4" s="17" t="s">
        <v>54</v>
      </c>
      <c r="AS4" s="13" t="s">
        <v>36</v>
      </c>
      <c r="AT4" s="17" t="s">
        <v>54</v>
      </c>
      <c r="AU4" s="13" t="s">
        <v>36</v>
      </c>
      <c r="AV4" s="17" t="s">
        <v>54</v>
      </c>
      <c r="AW4" s="13" t="s">
        <v>36</v>
      </c>
      <c r="AX4" s="17" t="s"/>
      <c r="AY4" s="13" t="s">
        <v>52</v>
      </c>
      <c r="AZ4" s="17" t="s">
        <v>55</v>
      </c>
      <c r="BA4" s="13" t="s">
        <v>52</v>
      </c>
      <c r="BB4" s="17" t="s">
        <v>55</v>
      </c>
      <c r="BC4" s="13" t="s">
        <v>52</v>
      </c>
      <c r="BD4" s="17" t="s">
        <v>55</v>
      </c>
      <c r="BE4" s="13" t="s">
        <v>52</v>
      </c>
      <c r="BF4" s="17" t="s">
        <v>55</v>
      </c>
      <c r="BG4" s="13" t="s">
        <v>52</v>
      </c>
      <c r="BH4" s="17" t="s">
        <v>55</v>
      </c>
    </row>
    <row r="5" spans="1:60" ht="13.5">
      <c r="A5" s="10">
        <v>40624</v>
      </c>
      <c r="B5" s="10" t="s">
        <v>56</v>
      </c>
      <c r="C5" s="10" t="s">
        <v>30</v>
      </c>
      <c r="D5" s="10" t="s">
        <v>31</v>
      </c>
      <c r="E5" s="10" t="s">
        <v>32</v>
      </c>
      <c r="F5" s="10" t="s">
        <v>33</v>
      </c>
      <c r="G5" s="10" t="s"/>
      <c r="H5" s="10" t="s">
        <v>44</v>
      </c>
      <c r="I5" s="11">
        <v>44746</v>
      </c>
      <c r="J5" s="12" t="s">
        <v>45</v>
      </c>
      <c r="K5" s="13" t="s">
        <v>57</v>
      </c>
      <c r="L5" s="13" t="s">
        <v>57</v>
      </c>
      <c r="M5" s="13" t="s">
        <v>57</v>
      </c>
      <c r="N5" s="13" t="s">
        <v>58</v>
      </c>
      <c r="O5" s="13" t="s">
        <v>57</v>
      </c>
      <c r="P5" s="13" t="s">
        <v>57</v>
      </c>
      <c r="Q5" s="13" t="s">
        <v>57</v>
      </c>
      <c r="R5" s="13" t="s">
        <v>57</v>
      </c>
      <c r="S5" s="13" t="s">
        <v>57</v>
      </c>
      <c r="T5" s="13" t="s">
        <v>57</v>
      </c>
      <c r="U5" s="13" t="s">
        <v>57</v>
      </c>
      <c r="V5" s="13" t="s">
        <v>57</v>
      </c>
      <c r="W5" s="13" t="s">
        <v>57</v>
      </c>
      <c r="X5" s="13" t="s">
        <v>57</v>
      </c>
      <c r="Y5" s="13" t="s">
        <v>57</v>
      </c>
      <c r="Z5" s="13" t="s">
        <v>57</v>
      </c>
      <c r="AA5" s="13" t="s">
        <v>57</v>
      </c>
      <c r="AB5" s="13" t="s">
        <v>57</v>
      </c>
      <c r="AC5" s="13" t="s">
        <v>57</v>
      </c>
      <c r="AD5" s="13" t="s">
        <v>57</v>
      </c>
      <c r="AE5" s="13" t="s">
        <v>57</v>
      </c>
      <c r="AF5" s="13" t="s">
        <v>57</v>
      </c>
      <c r="AG5" s="13" t="s">
        <v>57</v>
      </c>
      <c r="AH5" s="13" t="s">
        <v>57</v>
      </c>
      <c r="AI5" s="13" t="s">
        <v>57</v>
      </c>
      <c r="AJ5" s="13" t="s">
        <v>57</v>
      </c>
      <c r="AK5" s="13" t="s">
        <v>57</v>
      </c>
      <c r="AL5" s="13" t="s">
        <v>57</v>
      </c>
      <c r="AM5" s="13" t="s">
        <v>57</v>
      </c>
      <c r="AN5" s="13" t="s">
        <v>57</v>
      </c>
      <c r="AO5" s="13" t="s">
        <v>57</v>
      </c>
      <c r="AP5" s="13" t="s">
        <v>57</v>
      </c>
      <c r="AQ5" s="13" t="s">
        <v>57</v>
      </c>
      <c r="AR5" s="13" t="s">
        <v>57</v>
      </c>
      <c r="AS5" s="13" t="s">
        <v>57</v>
      </c>
      <c r="AT5" s="13" t="s">
        <v>57</v>
      </c>
      <c r="AU5" s="13" t="s">
        <v>57</v>
      </c>
      <c r="AV5" s="13" t="s">
        <v>57</v>
      </c>
      <c r="AW5" s="13" t="s">
        <v>57</v>
      </c>
      <c r="AX5" s="13" t="s">
        <v>57</v>
      </c>
      <c r="AY5" s="13" t="s">
        <v>57</v>
      </c>
      <c r="AZ5" s="13" t="s">
        <v>58</v>
      </c>
      <c r="BA5" s="13" t="s">
        <v>57</v>
      </c>
      <c r="BB5" s="13" t="s">
        <v>58</v>
      </c>
      <c r="BC5" s="13" t="s">
        <v>57</v>
      </c>
      <c r="BD5" s="13" t="s">
        <v>58</v>
      </c>
      <c r="BE5" s="13" t="s">
        <v>57</v>
      </c>
      <c r="BF5" s="13" t="s">
        <v>58</v>
      </c>
      <c r="BG5" s="13" t="s">
        <v>57</v>
      </c>
      <c r="BH5" s="13" t="s">
        <v>58</v>
      </c>
    </row>
    <row r="6" spans="1:60" ht="16" customHeight="true">
      <c r="A6" s="18">
        <v>73904</v>
      </c>
      <c r="B6" s="19" t="s">
        <v>59</v>
      </c>
      <c r="C6" s="18" t="s">
        <v>30</v>
      </c>
      <c r="D6" s="18" t="s">
        <v>31</v>
      </c>
      <c r="E6" s="18" t="s">
        <v>32</v>
      </c>
      <c r="F6" s="18" t="s">
        <v>60</v>
      </c>
      <c r="G6" s="18" t="s"/>
      <c r="H6" s="18" t="s">
        <v>44</v>
      </c>
      <c r="I6" s="20">
        <v>45901</v>
      </c>
      <c r="J6" s="21" t="s">
        <v>61</v>
      </c>
      <c r="K6" s="22" t="s"/>
      <c r="L6" s="22" t="s"/>
      <c r="M6" s="22" t="s"/>
      <c r="N6" s="22" t="s"/>
      <c r="O6" s="22" t="s"/>
      <c r="P6" s="22" t="s"/>
      <c r="Q6" s="22" t="s"/>
      <c r="R6" s="22" t="s"/>
      <c r="S6" s="22" t="s"/>
      <c r="T6" s="22" t="s"/>
      <c r="U6" s="22" t="s"/>
      <c r="V6" s="22" t="s"/>
      <c r="W6" s="22" t="s"/>
      <c r="X6" s="22" t="s"/>
      <c r="Y6" s="22" t="s"/>
      <c r="Z6" s="22" t="s"/>
      <c r="AA6" s="22" t="s"/>
      <c r="AB6" s="22" t="s"/>
      <c r="AC6" s="22" t="s"/>
      <c r="AE6" s="22" t="s"/>
      <c r="AG6" s="22" t="s"/>
      <c r="AH6" s="22" t="s"/>
      <c r="AI6" s="22" t="s"/>
      <c r="AJ6" s="22" t="s"/>
      <c r="AK6" s="22" t="s"/>
      <c r="AL6" s="22" t="s"/>
      <c r="AM6" s="22" t="s"/>
      <c r="AN6" s="22" t="s"/>
      <c r="AO6" s="22" t="s"/>
      <c r="AP6" s="22" t="s"/>
      <c r="AQ6" s="22" t="s"/>
      <c r="AR6" s="22" t="s"/>
      <c r="AS6" s="22" t="s"/>
      <c r="AT6" s="22" t="s"/>
      <c r="AU6" s="22" t="s"/>
      <c r="AV6" s="22" t="s"/>
      <c r="AW6" s="22" t="s"/>
      <c r="AX6" s="23" t="s"/>
      <c r="AY6" s="24" t="s"/>
      <c r="AZ6" s="24" t="s"/>
      <c r="BA6" s="24" t="s"/>
      <c r="BB6" s="24" t="s"/>
      <c r="BC6" s="22" t="s"/>
      <c r="BD6" s="25" t="s"/>
      <c r="BE6" s="22" t="s"/>
      <c r="BF6" s="25" t="s"/>
      <c r="BG6" s="22" t="s"/>
      <c r="BH6" s="25" t="s"/>
    </row>
    <row r="7" spans="1:11" ht="16" customHeight="true">
      <c r="A7" s="26">
        <v>32629</v>
      </c>
      <c r="B7" s="27" t="s">
        <v>62</v>
      </c>
      <c r="C7" s="26" t="s">
        <v>63</v>
      </c>
      <c r="D7" s="26" t="s">
        <v>31</v>
      </c>
      <c r="E7" s="26" t="s">
        <v>32</v>
      </c>
      <c r="F7" s="26" t="s">
        <v>64</v>
      </c>
      <c r="G7" s="26" t="s"/>
      <c r="H7" s="26" t="s">
        <v>44</v>
      </c>
      <c r="I7" s="28">
        <v>44125</v>
      </c>
      <c r="J7" s="21" t="s">
        <v>61</v>
      </c>
      <c r="K7" s="16" t="s"/>
    </row>
    <row r="8" spans="1:10" ht="16" customHeight="true">
      <c r="A8" s="26">
        <v>17855</v>
      </c>
      <c r="B8" s="27" t="s">
        <v>65</v>
      </c>
      <c r="C8" s="26" t="s">
        <v>66</v>
      </c>
      <c r="D8" s="26" t="s">
        <v>31</v>
      </c>
      <c r="E8" s="26" t="s">
        <v>32</v>
      </c>
      <c r="F8" s="26" t="s">
        <v>64</v>
      </c>
      <c r="G8" s="26" t="s"/>
      <c r="H8" s="26" t="s">
        <v>44</v>
      </c>
      <c r="I8" s="28">
        <v>43752</v>
      </c>
      <c r="J8" s="21" t="s">
        <v>61</v>
      </c>
    </row>
    <row r="9" spans="1:13">
      <c r="A9" s="29">
        <v>16761</v>
      </c>
      <c r="B9" s="29" t="s">
        <v>67</v>
      </c>
      <c r="C9" s="29" t="s">
        <v>68</v>
      </c>
      <c r="D9" s="29" t="s">
        <v>31</v>
      </c>
      <c r="E9" s="29" t="s">
        <v>32</v>
      </c>
      <c r="F9" s="29" t="s">
        <v>33</v>
      </c>
      <c r="G9" s="29" t="s"/>
      <c r="H9" s="30">
        <v>44382</v>
      </c>
      <c r="I9" s="31" t="s">
        <v>69</v>
      </c>
      <c r="J9" s="31" t="s">
        <v>70</v>
      </c>
      <c r="K9" s="32" t="s"/>
      <c r="L9" s="33" t="s"/>
      <c r="M9" s="33" t="s"/>
    </row>
  </sheetData>
  <mergeCells count="18">
    <mergeCell ref="M1:N1"/>
    <mergeCell ref="O1:P1"/>
    <mergeCell ref="Q1:R1"/>
    <mergeCell ref="S1:T1"/>
    <mergeCell ref="U1:V1"/>
    <mergeCell ref="W1:X1"/>
    <mergeCell ref="Y1:Z1"/>
    <mergeCell ref="AA1:AB1"/>
    <mergeCell ref="AC1:AD1"/>
    <mergeCell ref="AE1:AF1"/>
    <mergeCell ref="AG1:AH1"/>
    <mergeCell ref="AI1:AJ1"/>
    <mergeCell ref="AK1:AL1"/>
    <mergeCell ref="AM1:AN1"/>
    <mergeCell ref="AO1:AP1"/>
    <mergeCell ref="AQ1:AR1"/>
    <mergeCell ref="AS1:AT1"/>
    <mergeCell ref="AU1:AV1"/>
  </mergeCells>
  <pageMargins left="0.75" right="0.75" top="1" bottom="1" header="0.5" footer="0.5"/>
  <pageSetup orientation="portrait"/>
  <legacyDrawing r:id="rId0"/>
</worksheet>
</file>

<file path=xl/worksheets/sheet13.xml><?xml version="1.0" encoding="utf-8"?>
<worksheet xmlns:r="http://schemas.openxmlformats.org/officeDocument/2006/relationships" xmlns="http://schemas.openxmlformats.org/spreadsheetml/2006/main">
  <sheetPr codeName="对外承诺项"/>
  <dimension ref="A35"/>
  <sheetViews>
    <sheetView showGridLines="true" workbookViewId="0">
      <pane xSplit="1" ySplit="2" topLeftCell="B3" state="frozen"/>
    </sheetView>
  </sheetViews>
  <sheetFormatPr baseColWidth="13" defaultRowHeight="18" customHeight="true"/>
  <cols>
    <col min="2" max="2" width="46.3594" customWidth="true"/>
  </cols>
  <sheetData>
    <row r="1" spans="1:3">
      <c r="A1" s="353" t="s">
        <v>715</v>
      </c>
      <c r="B1" s="354" t="s">
        <v>716</v>
      </c>
      <c r="C1" s="353" t="s">
        <v>717</v>
      </c>
    </row>
    <row r="2" spans="1:3" s="80" customFormat="true" ht="36.75" customHeight="true">
      <c r="A2" s="355" t="s">
        <v>718</v>
      </c>
      <c r="B2" s="356" t="s">
        <v>776</v>
      </c>
      <c r="C2" s="80" t="s">
        <v>719</v>
      </c>
    </row>
    <row r="3" spans="1:3" s="80" customFormat="true" ht="18" customHeight="true">
      <c r="A3" s="355" t="s">
        <v>718</v>
      </c>
      <c r="B3" s="357" t="s">
        <v>720</v>
      </c>
      <c r="C3" s="80" t="s">
        <v>721</v>
      </c>
    </row>
    <row r="4" spans="1:3" s="80" customFormat="true" ht="18" customHeight="true">
      <c r="A4" s="358" t="s">
        <v>722</v>
      </c>
      <c r="B4" s="357" t="s">
        <v>723</v>
      </c>
      <c r="C4" s="80" t="s">
        <v>724</v>
      </c>
    </row>
    <row r="5" spans="1:3" s="80" customFormat="true" ht="18" customHeight="true">
      <c r="A5" s="206" t="s">
        <v>725</v>
      </c>
      <c r="B5" s="359" t="s">
        <v>726</v>
      </c>
      <c r="C5" s="80" t="s">
        <v>724</v>
      </c>
    </row>
    <row r="6" spans="1:3" s="80" customFormat="true">
      <c r="A6" s="206" t="s">
        <v>727</v>
      </c>
      <c r="B6" s="359" t="s">
        <v>728</v>
      </c>
      <c r="C6" s="80" t="s">
        <v>729</v>
      </c>
    </row>
    <row r="7" spans="1:3" s="80" customFormat="true" ht="34.5" customHeight="true">
      <c r="A7" s="206" t="s">
        <v>727</v>
      </c>
      <c r="B7" s="360" t="s">
        <v>777</v>
      </c>
      <c r="C7" s="80" t="s">
        <v>730</v>
      </c>
    </row>
    <row r="8" spans="1:3" s="80" customFormat="true">
      <c r="A8" s="361" t="s">
        <v>731</v>
      </c>
      <c r="B8" s="359" t="s">
        <v>732</v>
      </c>
      <c r="C8" s="80" t="s">
        <v>733</v>
      </c>
    </row>
    <row r="9" spans="1:3" s="80" customFormat="true">
      <c r="A9" s="361" t="s">
        <v>731</v>
      </c>
      <c r="B9" s="359" t="s">
        <v>734</v>
      </c>
      <c r="C9" s="80" t="s">
        <v>735</v>
      </c>
    </row>
    <row r="10" spans="1:2" s="80" customFormat="true">
      <c r="A10" s="355" t="s"/>
      <c r="B10" s="359" t="s"/>
    </row>
    <row r="11" spans="1:2" s="80" customFormat="true">
      <c r="A11" s="355" t="s"/>
      <c r="B11" s="359" t="s"/>
    </row>
    <row r="12" spans="1:14" s="80" customFormat="true">
      <c r="A12" s="355" t="s"/>
      <c r="B12" s="359" t="s"/>
      <c r="C12" s="80" t="s"/>
      <c r="D12" s="80" t="s"/>
      <c r="E12" s="80" t="s"/>
      <c r="F12" s="80" t="s"/>
      <c r="G12" s="80" t="s"/>
      <c r="H12" s="80" t="s"/>
      <c r="I12" s="80" t="s"/>
      <c r="J12" s="80" t="s"/>
      <c r="K12" s="80" t="s"/>
      <c r="L12" s="80" t="s"/>
      <c r="M12" s="80" t="s"/>
      <c r="N12" s="80" t="s"/>
    </row>
    <row r="13" spans="1:14" s="80" customFormat="true" ht="21.75" customHeight="true">
      <c r="A13" s="355" t="s"/>
      <c r="B13" s="359" t="s"/>
      <c r="C13" s="80" t="s"/>
      <c r="D13" s="80" t="s"/>
      <c r="E13" s="80" t="s"/>
      <c r="F13" s="80" t="s"/>
      <c r="G13" s="80" t="s"/>
      <c r="H13" s="80" t="s"/>
      <c r="I13" s="80" t="s"/>
      <c r="J13" s="80" t="s"/>
      <c r="K13" s="80" t="s"/>
      <c r="L13" s="80" t="s"/>
      <c r="M13" s="80" t="s"/>
      <c r="N13" s="80" t="s"/>
    </row>
    <row r="14" spans="1:2">
      <c r="A14" s="206" t="s"/>
      <c r="B14" s="362" t="s"/>
    </row>
    <row r="15" spans="1:2">
      <c r="A15" s="363" t="s"/>
      <c r="B15" s="364" t="s"/>
    </row>
    <row r="16" spans="1:2">
      <c r="A16" s="363" t="s"/>
      <c r="B16" s="364" t="s"/>
    </row>
    <row r="17" spans="1:2" s="80" customFormat="true">
      <c r="A17" s="206" t="s"/>
      <c r="B17" s="355" t="s"/>
    </row>
    <row r="18" spans="1:1">
      <c r="A18" s="365" t="s"/>
    </row>
    <row r="23" spans="1:1">
      <c r="A23" s="366" t="s"/>
    </row>
    <row r="24" spans="1:1" ht="64.5" customHeight="true">
      <c r="A24" s="366" t="s"/>
    </row>
    <row r="25" spans="1:2">
      <c r="A25" s="367" t="s"/>
      <c r="B25" s="368" t="s"/>
    </row>
    <row r="26" spans="1:1">
      <c r="A26" s="208" t="s"/>
    </row>
    <row r="27" spans="1:1">
      <c r="A27" s="208" t="s"/>
    </row>
    <row r="28" spans="1:1">
      <c r="A28" s="208" t="s"/>
    </row>
    <row r="29" spans="1:1" ht="66.75" customHeight="true">
      <c r="A29" s="208" t="s"/>
    </row>
    <row r="30" spans="1:1" ht="45" customHeight="true">
      <c r="A30" s="208" t="s"/>
    </row>
    <row r="31" spans="1:1">
      <c r="A31" s="208" t="s"/>
    </row>
    <row r="32" spans="1:1">
      <c r="A32" s="208" t="s"/>
    </row>
    <row r="33" spans="1:1">
      <c r="A33" s="208" t="s"/>
    </row>
    <row r="34" spans="1:1">
      <c r="A34" s="208" t="s"/>
    </row>
    <row r="35" spans="1:1">
      <c r="A35" s="208" t="s"/>
    </row>
  </sheetData>
  <mergeCells count="13">
    <mergeCell ref="A23:B23"/>
    <mergeCell ref="A24:B24"/>
    <mergeCell ref="A25:B25"/>
    <mergeCell ref="A26:B26"/>
    <mergeCell ref="A27:B27"/>
    <mergeCell ref="A28:B28"/>
    <mergeCell ref="A29:B29"/>
    <mergeCell ref="A30:B30"/>
    <mergeCell ref="A31:B31"/>
    <mergeCell ref="A32:B32"/>
    <mergeCell ref="A33:B33"/>
    <mergeCell ref="A34:B34"/>
    <mergeCell ref="A35:B35"/>
  </mergeCells>
  <hyperlinks>
    <hyperlink ref="B2" r:id="rId0"/>
    <hyperlink ref="B7" r:id="rId1"/>
  </hyperlinks>
</worksheet>
</file>

<file path=xl/worksheets/sheet14.xml><?xml version="1.0" encoding="utf-8"?>
<worksheet xmlns="http://schemas.openxmlformats.org/spreadsheetml/2006/main">
  <sheetPr/>
  <dimension ref="A1"/>
  <sheetViews>
    <sheetView showGridLines="true" topLeftCell="A1" workbookViewId="0">
      <pane xSplit="2" ySplit="2" topLeftCell="K3" activePane="bottomRight" state="frozen"/>
    </sheetView>
  </sheetViews>
  <sheetFormatPr defaultColWidth="9.025" defaultRowHeight="13.5"/>
  <sheetData/>
  <pageMargins left="0.75" right="0.75" top="1" bottom="1" header="0.5" footer="0.5"/>
  <pageSetup orientation="portrait"/>
</worksheet>
</file>

<file path=xl/worksheets/sheet15.xml><?xml version="1.0" encoding="utf-8"?>
<worksheet xmlns="http://schemas.openxmlformats.org/spreadsheetml/2006/main">
  <sheetPr/>
  <dimension ref="A1"/>
  <sheetViews>
    <sheetView showGridLines="true" topLeftCell="A1" zoomScale="85" zoomScaleNormal="85" workbookViewId="0">
      <pane xSplit="2" ySplit="3" topLeftCell="L4" activePane="bottomRight" state="frozen"/>
    </sheetView>
  </sheetViews>
  <sheetFormatPr defaultColWidth="8.735" defaultRowHeight="13.5"/>
  <sheetData/>
  <pageMargins left="0.75" right="0.75" top="1" bottom="1" header="0.5" footer="0.5"/>
  <pageSetup orientation="portrait"/>
</worksheet>
</file>

<file path=xl/worksheets/sheet16.xml><?xml version="1.0" encoding="utf-8"?>
<worksheet xmlns="http://schemas.openxmlformats.org/spreadsheetml/2006/main">
  <sheetPr codeName="绩效汇总表Q4"/>
  <dimension ref="A1"/>
  <sheetViews>
    <sheetView showGridLines="true" topLeftCell="A1" zoomScale="85" zoomScaleNormal="85" workbookViewId="0">
      <pane xSplit="2" ySplit="3" topLeftCell="L4" activePane="bottomRight" state="frozen"/>
    </sheetView>
  </sheetViews>
  <sheetFormatPr defaultColWidth="8.735" defaultRowHeight="13.5"/>
  <sheetData/>
  <pageMargins left="0.75" right="0.75" top="1" bottom="1" header="0.5" footer="0.5"/>
  <pageSetup orientation="portrait"/>
</worksheet>
</file>

<file path=xl/worksheets/sheet17.xml><?xml version="1.0" encoding="utf-8"?>
<worksheet xmlns:r="http://schemas.openxmlformats.org/officeDocument/2006/relationships" xmlns="http://schemas.openxmlformats.org/spreadsheetml/2006/main">
  <sheetPr/>
  <dimension ref="A1"/>
  <sheetViews>
    <sheetView showGridLines="true" topLeftCell="A1" zoomScale="85" zoomScaleNormal="85" workbookViewId="0">
      <pane xSplit="2" ySplit="3" topLeftCell="E4" activePane="bottomRight" state="frozen"/>
    </sheetView>
  </sheetViews>
  <sheetFormatPr defaultColWidth="8.735" defaultRowHeight="13.5"/>
  <sheetData/>
  <pageMargins left="0.75" right="0.75" top="1" bottom="1" header="0.5" footer="0.5"/>
  <pageSetup orientation="portrait"/>
  <legacyDrawing r:id="rId0"/>
</worksheet>
</file>

<file path=xl/worksheets/sheet18.xml><?xml version="1.0" encoding="utf-8"?>
<worksheet xmlns="http://schemas.openxmlformats.org/spreadsheetml/2006/main">
  <sheetPr/>
  <dimension ref="AC35"/>
  <sheetViews>
    <sheetView showGridLines="true" topLeftCell="A1" workbookViewId="0"/>
  </sheetViews>
  <sheetFormatPr defaultColWidth="9.025" defaultRowHeight="13.5"/>
  <sheetData>
    <row r="1" spans="1:29" s="390" customFormat="true" ht="105" customHeight="true">
      <c r="A1" s="53">
        <v>14659</v>
      </c>
      <c r="B1" s="54" t="s">
        <v>98</v>
      </c>
      <c r="C1" s="55" t="s">
        <v>99</v>
      </c>
      <c r="D1" s="55" t="s">
        <v>100</v>
      </c>
      <c r="E1" s="56" t="s">
        <v>66</v>
      </c>
      <c r="F1" s="57">
        <v>44265</v>
      </c>
      <c r="G1" s="55" t="s">
        <v>101</v>
      </c>
      <c r="H1" s="58" t="s">
        <v>102</v>
      </c>
      <c r="I1" s="59">
        <v>4.58</v>
      </c>
      <c r="J1" s="60" t="s">
        <v>103</v>
      </c>
      <c r="K1" s="61" t="s">
        <v>101</v>
      </c>
      <c r="L1" s="58" t="s">
        <v>104</v>
      </c>
      <c r="M1" s="62" t="s">
        <v>105</v>
      </c>
      <c r="N1" s="62" t="s"/>
      <c r="O1" s="62" t="s"/>
      <c r="P1" s="62" t="s"/>
      <c r="Q1" s="62" t="s"/>
      <c r="R1" s="62" t="s">
        <v>106</v>
      </c>
      <c r="S1" s="62" t="s">
        <v>106</v>
      </c>
      <c r="T1" s="62" t="s"/>
      <c r="U1" s="62" t="s"/>
      <c r="V1" s="62" t="s"/>
      <c r="W1" s="62" t="s"/>
      <c r="X1" s="62" t="s"/>
      <c r="Y1" s="62" t="s"/>
      <c r="Z1" s="63" t="s"/>
      <c r="AC1" s="64" t="s"/>
    </row>
    <row r="2" spans="1:29" s="390" customFormat="true" ht="138" customHeight="true">
      <c r="A2" s="65">
        <v>98532</v>
      </c>
      <c r="B2" s="54" t="s">
        <v>107</v>
      </c>
      <c r="C2" s="55" t="s">
        <v>99</v>
      </c>
      <c r="D2" s="55" t="s">
        <v>100</v>
      </c>
      <c r="E2" s="65" t="s">
        <v>63</v>
      </c>
      <c r="F2" s="57">
        <v>42944</v>
      </c>
      <c r="G2" s="55" t="s">
        <v>108</v>
      </c>
      <c r="H2" s="58" t="s">
        <v>109</v>
      </c>
      <c r="I2" s="59">
        <v>4.18</v>
      </c>
      <c r="J2" s="60" t="s">
        <v>103</v>
      </c>
      <c r="K2" s="61" t="s">
        <v>108</v>
      </c>
      <c r="L2" s="58" t="s">
        <v>110</v>
      </c>
      <c r="M2" s="62" t="s">
        <v>111</v>
      </c>
      <c r="N2" s="62" t="s"/>
      <c r="O2" s="62" t="s"/>
      <c r="P2" s="62" t="s"/>
      <c r="Q2" s="62" t="s"/>
      <c r="R2" s="62" t="s">
        <v>106</v>
      </c>
      <c r="S2" s="62" t="s">
        <v>106</v>
      </c>
      <c r="T2" s="62" t="s"/>
      <c r="U2" s="62" t="s"/>
      <c r="V2" s="62" t="s"/>
      <c r="W2" s="62" t="s"/>
      <c r="X2" s="62" t="s"/>
      <c r="Y2" s="62" t="s"/>
      <c r="Z2" s="63" t="s"/>
      <c r="AC2" s="64" t="s"/>
    </row>
    <row r="3" spans="1:29" s="390" customFormat="true" ht="100" customHeight="true">
      <c r="A3" s="65">
        <v>93622</v>
      </c>
      <c r="B3" s="54" t="s">
        <v>112</v>
      </c>
      <c r="C3" s="55" t="s">
        <v>99</v>
      </c>
      <c r="D3" s="55" t="s">
        <v>100</v>
      </c>
      <c r="E3" s="65" t="s">
        <v>66</v>
      </c>
      <c r="F3" s="57">
        <v>42880</v>
      </c>
      <c r="G3" s="55" t="s">
        <v>108</v>
      </c>
      <c r="H3" s="58" t="s">
        <v>113</v>
      </c>
      <c r="I3" s="59">
        <v>3.94</v>
      </c>
      <c r="J3" s="60" t="s">
        <v>103</v>
      </c>
      <c r="K3" s="61" t="s">
        <v>108</v>
      </c>
      <c r="L3" s="58" t="s">
        <v>114</v>
      </c>
      <c r="M3" s="62" t="s">
        <v>111</v>
      </c>
      <c r="N3" s="62" t="s"/>
      <c r="O3" s="62" t="s"/>
      <c r="P3" s="62" t="s"/>
      <c r="Q3" s="62" t="s"/>
      <c r="R3" s="62" t="s">
        <v>106</v>
      </c>
      <c r="S3" s="62" t="s">
        <v>106</v>
      </c>
      <c r="T3" s="62" t="s"/>
      <c r="U3" s="62" t="s"/>
      <c r="V3" s="62" t="s"/>
      <c r="W3" s="62" t="s"/>
      <c r="X3" s="62" t="s"/>
      <c r="Y3" s="62" t="s"/>
      <c r="Z3" s="63" t="s"/>
      <c r="AC3" s="64" t="s"/>
    </row>
    <row r="4" spans="1:29" s="390" customFormat="true" ht="96" customHeight="true">
      <c r="A4" s="65">
        <v>37038</v>
      </c>
      <c r="B4" s="54" t="s">
        <v>115</v>
      </c>
      <c r="C4" s="55" t="s">
        <v>99</v>
      </c>
      <c r="D4" s="55" t="s">
        <v>100</v>
      </c>
      <c r="E4" s="65" t="s">
        <v>66</v>
      </c>
      <c r="F4" s="57">
        <v>42552</v>
      </c>
      <c r="G4" s="55" t="s">
        <v>116</v>
      </c>
      <c r="H4" s="58" t="s">
        <v>117</v>
      </c>
      <c r="I4" s="59">
        <v>3.55</v>
      </c>
      <c r="J4" s="60" t="s">
        <v>103</v>
      </c>
      <c r="K4" s="61" t="s">
        <v>108</v>
      </c>
      <c r="L4" s="58" t="s">
        <v>118</v>
      </c>
      <c r="M4" s="62" t="s">
        <v>111</v>
      </c>
      <c r="N4" s="62" t="s"/>
      <c r="O4" s="62" t="s"/>
      <c r="P4" s="62" t="s"/>
      <c r="Q4" s="62" t="s"/>
      <c r="R4" s="62" t="s">
        <v>106</v>
      </c>
      <c r="S4" s="62" t="s">
        <v>106</v>
      </c>
      <c r="T4" s="62" t="s"/>
      <c r="U4" s="62" t="s"/>
      <c r="V4" s="62" t="s"/>
      <c r="W4" s="62" t="s"/>
      <c r="X4" s="62" t="s"/>
      <c r="Y4" s="62" t="s"/>
      <c r="Z4" s="63" t="s"/>
      <c r="AC4" s="64" t="s"/>
    </row>
    <row r="5" spans="1:29" s="390" customFormat="true" ht="95" customHeight="true">
      <c r="A5" s="65">
        <v>75912</v>
      </c>
      <c r="B5" s="55" t="s">
        <v>119</v>
      </c>
      <c r="C5" s="55" t="s">
        <v>99</v>
      </c>
      <c r="D5" s="55" t="s">
        <v>100</v>
      </c>
      <c r="E5" s="61" t="s">
        <v>63</v>
      </c>
      <c r="F5" s="57">
        <v>40277</v>
      </c>
      <c r="G5" s="55" t="s">
        <v>108</v>
      </c>
      <c r="H5" s="58" t="s">
        <v>120</v>
      </c>
      <c r="I5" s="59">
        <v>3.86</v>
      </c>
      <c r="J5" s="60" t="s">
        <v>103</v>
      </c>
      <c r="K5" s="61" t="s">
        <v>108</v>
      </c>
      <c r="L5" s="58" t="s">
        <v>121</v>
      </c>
      <c r="M5" s="62" t="s">
        <v>122</v>
      </c>
      <c r="N5" s="62" t="s"/>
      <c r="O5" s="62" t="s"/>
      <c r="P5" s="62" t="s"/>
      <c r="Q5" s="62" t="s"/>
      <c r="R5" s="62" t="s">
        <v>106</v>
      </c>
      <c r="S5" s="62" t="s">
        <v>106</v>
      </c>
      <c r="T5" s="62" t="s"/>
      <c r="U5" s="62" t="s"/>
      <c r="V5" s="62" t="s"/>
      <c r="W5" s="62" t="s"/>
      <c r="X5" s="62" t="s"/>
      <c r="Y5" s="62" t="s"/>
      <c r="Z5" s="63" t="s"/>
      <c r="AC5" s="64" t="s"/>
    </row>
    <row r="6" spans="1:29" s="390" customFormat="true" ht="79" customHeight="true">
      <c r="A6" s="66">
        <v>32629</v>
      </c>
      <c r="B6" s="54" t="s">
        <v>62</v>
      </c>
      <c r="C6" s="55" t="s">
        <v>99</v>
      </c>
      <c r="D6" s="55" t="s">
        <v>100</v>
      </c>
      <c r="E6" s="65" t="s">
        <v>63</v>
      </c>
      <c r="F6" s="57">
        <v>44125</v>
      </c>
      <c r="G6" s="55" t="s">
        <v>101</v>
      </c>
      <c r="H6" s="58" t="s">
        <v>123</v>
      </c>
      <c r="I6" s="59">
        <v>4.63</v>
      </c>
      <c r="J6" s="60" t="s">
        <v>103</v>
      </c>
      <c r="K6" s="61" t="s">
        <v>108</v>
      </c>
      <c r="L6" s="58" t="s">
        <v>124</v>
      </c>
      <c r="M6" s="62" t="s">
        <v>111</v>
      </c>
      <c r="N6" s="62" t="s"/>
      <c r="O6" s="62" t="s"/>
      <c r="P6" s="62" t="s"/>
      <c r="Q6" s="62" t="s"/>
      <c r="R6" s="62" t="s">
        <v>106</v>
      </c>
      <c r="S6" s="62" t="s">
        <v>106</v>
      </c>
      <c r="T6" s="62" t="s"/>
      <c r="U6" s="62" t="s"/>
      <c r="V6" s="62" t="s"/>
      <c r="W6" s="62" t="s"/>
      <c r="X6" s="62" t="s"/>
      <c r="Y6" s="62" t="s"/>
      <c r="Z6" s="63" t="s"/>
      <c r="AC6" s="64" t="s"/>
    </row>
    <row r="7" spans="1:29" s="391" customFormat="true" ht="93" customHeight="true">
      <c r="A7" s="53">
        <v>65248</v>
      </c>
      <c r="B7" s="54" t="s">
        <v>125</v>
      </c>
      <c r="C7" s="55" t="s">
        <v>99</v>
      </c>
      <c r="D7" s="55" t="s">
        <v>100</v>
      </c>
      <c r="E7" s="56" t="s">
        <v>43</v>
      </c>
      <c r="F7" s="57">
        <v>43672</v>
      </c>
      <c r="G7" s="55" t="s">
        <v>108</v>
      </c>
      <c r="H7" s="58" t="s">
        <v>126</v>
      </c>
      <c r="I7" s="59">
        <v>4.15</v>
      </c>
      <c r="J7" s="60" t="s">
        <v>103</v>
      </c>
      <c r="K7" s="61" t="s">
        <v>108</v>
      </c>
      <c r="L7" s="58" t="s">
        <v>127</v>
      </c>
      <c r="M7" s="61" t="s">
        <v>111</v>
      </c>
      <c r="N7" s="61" t="s"/>
      <c r="O7" s="61" t="s"/>
      <c r="P7" s="61" t="s"/>
      <c r="Q7" s="61" t="s"/>
      <c r="R7" s="62" t="s">
        <v>106</v>
      </c>
      <c r="S7" s="62" t="s">
        <v>106</v>
      </c>
      <c r="T7" s="61" t="s"/>
      <c r="U7" s="61" t="s"/>
      <c r="V7" s="61" t="s"/>
      <c r="W7" s="61" t="s"/>
      <c r="X7" s="61" t="s"/>
      <c r="Y7" s="61" t="s"/>
      <c r="Z7" s="61" t="s"/>
      <c r="AC7" s="64" t="s">
        <v>128</v>
      </c>
    </row>
    <row r="8" spans="1:29" s="391" customFormat="true" ht="119" customHeight="true">
      <c r="A8" s="66">
        <v>60993</v>
      </c>
      <c r="B8" s="54" t="s">
        <v>129</v>
      </c>
      <c r="C8" s="55" t="s">
        <v>99</v>
      </c>
      <c r="D8" s="55" t="s">
        <v>100</v>
      </c>
      <c r="E8" s="66" t="s">
        <v>68</v>
      </c>
      <c r="F8" s="57">
        <v>44746</v>
      </c>
      <c r="G8" s="55" t="s">
        <v>116</v>
      </c>
      <c r="H8" s="58" t="s">
        <v>130</v>
      </c>
      <c r="I8" s="59">
        <v>3.65</v>
      </c>
      <c r="J8" s="60" t="s">
        <v>103</v>
      </c>
      <c r="K8" s="61" t="s">
        <v>116</v>
      </c>
      <c r="L8" s="58" t="s">
        <v>131</v>
      </c>
      <c r="M8" s="61" t="s">
        <v>132</v>
      </c>
      <c r="N8" s="61" t="s"/>
      <c r="O8" s="61" t="s"/>
      <c r="P8" s="61" t="s"/>
      <c r="Q8" s="61" t="s"/>
      <c r="R8" s="62" t="s">
        <v>106</v>
      </c>
      <c r="S8" s="62" t="s">
        <v>106</v>
      </c>
      <c r="T8" s="61" t="s"/>
      <c r="U8" s="61" t="s"/>
      <c r="V8" s="61" t="s"/>
      <c r="W8" s="61" t="s"/>
      <c r="X8" s="61" t="s"/>
      <c r="Y8" s="61" t="s"/>
      <c r="Z8" s="61" t="s"/>
      <c r="AC8" s="64" t="s">
        <v>133</v>
      </c>
    </row>
    <row r="9" spans="1:29" s="391" customFormat="true" ht="106" customHeight="true">
      <c r="A9" s="53">
        <v>89973</v>
      </c>
      <c r="B9" s="54" t="s">
        <v>134</v>
      </c>
      <c r="C9" s="55" t="s">
        <v>99</v>
      </c>
      <c r="D9" s="55" t="s">
        <v>100</v>
      </c>
      <c r="E9" s="56" t="s">
        <v>43</v>
      </c>
      <c r="F9" s="57">
        <v>43675</v>
      </c>
      <c r="G9" s="55" t="s">
        <v>108</v>
      </c>
      <c r="H9" s="58" t="s">
        <v>135</v>
      </c>
      <c r="I9" s="59">
        <v>3.79</v>
      </c>
      <c r="J9" s="60" t="s">
        <v>103</v>
      </c>
      <c r="K9" s="61" t="s">
        <v>116</v>
      </c>
      <c r="L9" s="58" t="s">
        <v>136</v>
      </c>
      <c r="M9" s="61" t="s">
        <v>137</v>
      </c>
      <c r="N9" s="61" t="s"/>
      <c r="O9" s="61" t="s"/>
      <c r="P9" s="61" t="s"/>
      <c r="Q9" s="61" t="s"/>
      <c r="R9" s="62" t="s">
        <v>106</v>
      </c>
      <c r="S9" s="62" t="s">
        <v>106</v>
      </c>
      <c r="T9" s="61" t="s"/>
      <c r="U9" s="61" t="s"/>
      <c r="V9" s="61" t="s"/>
      <c r="W9" s="61" t="s"/>
      <c r="X9" s="61" t="s"/>
      <c r="Y9" s="61" t="s"/>
      <c r="Z9" s="67" t="s"/>
      <c r="AC9" s="68" t="s">
        <v>138</v>
      </c>
    </row>
    <row r="10" spans="1:29" s="391" customFormat="true" ht="88" customHeight="true">
      <c r="A10" s="65">
        <v>70568</v>
      </c>
      <c r="B10" s="55" t="s">
        <v>139</v>
      </c>
      <c r="C10" s="55" t="s">
        <v>99</v>
      </c>
      <c r="D10" s="55" t="s">
        <v>100</v>
      </c>
      <c r="E10" s="61" t="s">
        <v>43</v>
      </c>
      <c r="F10" s="57">
        <v>42499</v>
      </c>
      <c r="G10" s="55" t="s">
        <v>116</v>
      </c>
      <c r="H10" s="58" t="s">
        <v>140</v>
      </c>
      <c r="I10" s="59">
        <v>3.84</v>
      </c>
      <c r="J10" s="60" t="s">
        <v>103</v>
      </c>
      <c r="K10" s="61" t="s">
        <v>116</v>
      </c>
      <c r="L10" s="58" t="s">
        <v>141</v>
      </c>
      <c r="M10" s="61" t="s">
        <v>142</v>
      </c>
      <c r="N10" s="61" t="s"/>
      <c r="O10" s="61" t="s"/>
      <c r="P10" s="61" t="s"/>
      <c r="Q10" s="61" t="s"/>
      <c r="R10" s="62" t="s">
        <v>106</v>
      </c>
      <c r="S10" s="62" t="s">
        <v>106</v>
      </c>
      <c r="T10" s="61" t="s"/>
      <c r="U10" s="61" t="s"/>
      <c r="V10" s="61" t="s"/>
      <c r="W10" s="61" t="s"/>
      <c r="X10" s="61" t="s"/>
      <c r="Y10" s="61" t="s"/>
      <c r="Z10" s="61" t="s"/>
      <c r="AC10" s="69" t="s"/>
    </row>
    <row r="11" spans="1:29" s="391" customFormat="true" ht="172" customHeight="true">
      <c r="A11" s="65">
        <v>29586</v>
      </c>
      <c r="B11" s="55" t="s">
        <v>143</v>
      </c>
      <c r="C11" s="55" t="s">
        <v>99</v>
      </c>
      <c r="D11" s="55" t="s">
        <v>100</v>
      </c>
      <c r="E11" s="61" t="s">
        <v>66</v>
      </c>
      <c r="F11" s="57">
        <v>43035</v>
      </c>
      <c r="G11" s="55" t="s">
        <v>116</v>
      </c>
      <c r="H11" s="58" t="s">
        <v>144</v>
      </c>
      <c r="I11" s="59">
        <v>3.74</v>
      </c>
      <c r="J11" s="60" t="s">
        <v>103</v>
      </c>
      <c r="K11" s="61" t="s">
        <v>116</v>
      </c>
      <c r="L11" s="58" t="s">
        <v>145</v>
      </c>
      <c r="M11" s="61" t="s">
        <v>132</v>
      </c>
      <c r="N11" s="61" t="s"/>
      <c r="O11" s="61" t="s"/>
      <c r="P11" s="61" t="s"/>
      <c r="Q11" s="61" t="s"/>
      <c r="R11" s="62" t="s">
        <v>106</v>
      </c>
      <c r="S11" s="62" t="s">
        <v>106</v>
      </c>
      <c r="T11" s="61" t="s"/>
      <c r="U11" s="61" t="s"/>
      <c r="V11" s="61" t="s"/>
      <c r="W11" s="61" t="s"/>
      <c r="X11" s="61" t="s"/>
      <c r="Y11" s="61" t="s"/>
      <c r="Z11" s="67" t="s"/>
      <c r="AC11" s="69" t="s"/>
    </row>
    <row r="12" spans="1:29" s="391" customFormat="true" ht="103" customHeight="true">
      <c r="A12" s="55" t="s"/>
      <c r="B12" s="54" t="s">
        <v>146</v>
      </c>
      <c r="C12" s="55" t="s">
        <v>99</v>
      </c>
      <c r="D12" s="55" t="s">
        <v>100</v>
      </c>
      <c r="E12" s="56" t="s">
        <v>66</v>
      </c>
      <c r="F12" s="57">
        <v>42460</v>
      </c>
      <c r="G12" s="55" t="s">
        <v>116</v>
      </c>
      <c r="H12" s="58" t="s">
        <v>147</v>
      </c>
      <c r="I12" s="59">
        <v>3.85</v>
      </c>
      <c r="J12" s="60" t="s">
        <v>103</v>
      </c>
      <c r="K12" s="61" t="s">
        <v>116</v>
      </c>
      <c r="L12" s="58" t="s">
        <v>148</v>
      </c>
      <c r="M12" s="61" t="s">
        <v>149</v>
      </c>
      <c r="N12" s="61" t="s"/>
      <c r="O12" s="61" t="s"/>
      <c r="P12" s="61" t="s"/>
      <c r="Q12" s="61" t="s"/>
      <c r="R12" s="61" t="s"/>
      <c r="S12" s="61" t="s"/>
      <c r="T12" s="61" t="s"/>
      <c r="U12" s="61" t="s"/>
      <c r="V12" s="61" t="s"/>
      <c r="W12" s="61" t="s"/>
      <c r="X12" s="61" t="s"/>
      <c r="Y12" s="61" t="s"/>
      <c r="Z12" s="61" t="s"/>
      <c r="AC12" s="69" t="s"/>
    </row>
    <row r="13" spans="1:29" s="391" customFormat="true" ht="90" customHeight="true">
      <c r="A13" s="55" t="s"/>
      <c r="B13" s="54" t="s">
        <v>65</v>
      </c>
      <c r="C13" s="55" t="s">
        <v>99</v>
      </c>
      <c r="D13" s="55" t="s">
        <v>100</v>
      </c>
      <c r="E13" s="56" t="s">
        <v>66</v>
      </c>
      <c r="F13" s="57">
        <v>43752</v>
      </c>
      <c r="G13" s="55" t="s">
        <v>108</v>
      </c>
      <c r="H13" s="58" t="s">
        <v>150</v>
      </c>
      <c r="I13" s="59">
        <v>4.83</v>
      </c>
      <c r="J13" s="60" t="s">
        <v>103</v>
      </c>
      <c r="K13" s="61" t="s">
        <v>116</v>
      </c>
      <c r="L13" s="58" t="s">
        <v>151</v>
      </c>
      <c r="M13" s="61" t="s">
        <v>152</v>
      </c>
      <c r="N13" s="61" t="s"/>
      <c r="O13" s="61" t="s"/>
      <c r="P13" s="61" t="s"/>
      <c r="Q13" s="61" t="s"/>
      <c r="R13" s="61" t="s"/>
      <c r="S13" s="61" t="s"/>
      <c r="T13" s="61" t="s"/>
      <c r="U13" s="61" t="s"/>
      <c r="V13" s="61" t="s"/>
      <c r="W13" s="61" t="s"/>
      <c r="X13" s="61" t="s"/>
      <c r="Y13" s="61" t="s"/>
      <c r="Z13" s="61" t="s"/>
      <c r="AC13" s="69" t="s"/>
    </row>
    <row r="14" spans="2:2" ht="13.5">
      <c r="B14" s="70" t="s">
        <v>103</v>
      </c>
    </row>
    <row r="16" spans="1:29" s="391" customFormat="true" ht="26" customHeight="true">
      <c r="A16" s="55">
        <v>12944</v>
      </c>
      <c r="B16" s="55" t="s">
        <v>153</v>
      </c>
      <c r="C16" s="55" t="s">
        <v>154</v>
      </c>
      <c r="D16" s="55" t="s">
        <v>100</v>
      </c>
      <c r="E16" s="61" t="s">
        <v>68</v>
      </c>
      <c r="F16" s="60" t="s"/>
      <c r="G16" s="55" t="s">
        <v>108</v>
      </c>
      <c r="H16" s="58" t="s">
        <v>155</v>
      </c>
      <c r="I16" s="71">
        <v>3.67</v>
      </c>
      <c r="J16" s="60" t="s">
        <v>50</v>
      </c>
      <c r="K16" s="61" t="s">
        <v>156</v>
      </c>
      <c r="L16" s="58" t="s">
        <v>157</v>
      </c>
      <c r="M16" s="71">
        <v>3.7</v>
      </c>
      <c r="N16" s="61" t="s"/>
      <c r="O16" s="61" t="s"/>
      <c r="P16" s="61" t="s"/>
      <c r="Q16" s="61" t="s"/>
      <c r="R16" s="61" t="s">
        <v>106</v>
      </c>
      <c r="S16" s="61" t="s">
        <v>106</v>
      </c>
      <c r="T16" s="61" t="s"/>
      <c r="U16" s="61" t="s"/>
      <c r="V16" s="61" t="s"/>
      <c r="W16" s="61" t="s"/>
      <c r="X16" s="61" t="s"/>
      <c r="Y16" s="61" t="s"/>
      <c r="Z16" s="61" t="s"/>
      <c r="AC16" s="64" t="s">
        <v>158</v>
      </c>
    </row>
    <row r="17" spans="1:29" s="391" customFormat="true" ht="26" customHeight="true">
      <c r="A17" s="55">
        <v>54477</v>
      </c>
      <c r="B17" s="55" t="s">
        <v>159</v>
      </c>
      <c r="C17" s="55" t="s">
        <v>154</v>
      </c>
      <c r="D17" s="55" t="s">
        <v>100</v>
      </c>
      <c r="E17" s="61" t="s">
        <v>43</v>
      </c>
      <c r="F17" s="60" t="s"/>
      <c r="G17" s="55" t="s">
        <v>108</v>
      </c>
      <c r="H17" s="58" t="s">
        <v>160</v>
      </c>
      <c r="I17" s="71">
        <v>3.55</v>
      </c>
      <c r="J17" s="60" t="s">
        <v>50</v>
      </c>
      <c r="K17" s="61" t="s">
        <v>108</v>
      </c>
      <c r="L17" s="58" t="s">
        <v>161</v>
      </c>
      <c r="M17" s="71">
        <v>3.69</v>
      </c>
      <c r="N17" s="61" t="s"/>
      <c r="O17" s="61" t="s"/>
      <c r="P17" s="61" t="s"/>
      <c r="Q17" s="61" t="s"/>
      <c r="R17" s="61" t="s">
        <v>106</v>
      </c>
      <c r="S17" s="61" t="s">
        <v>106</v>
      </c>
      <c r="T17" s="61" t="s"/>
      <c r="U17" s="61" t="s"/>
      <c r="V17" s="61" t="s"/>
      <c r="W17" s="61" t="s"/>
      <c r="X17" s="61" t="s"/>
      <c r="Y17" s="61" t="s"/>
      <c r="Z17" s="61" t="s"/>
      <c r="AC17" s="64" t="s">
        <v>162</v>
      </c>
    </row>
    <row r="18" spans="1:29" s="391" customFormat="true" ht="26" customHeight="true">
      <c r="A18" s="55">
        <v>23418</v>
      </c>
      <c r="B18" s="55" t="s">
        <v>163</v>
      </c>
      <c r="C18" s="55" t="s">
        <v>154</v>
      </c>
      <c r="D18" s="55" t="s">
        <v>100</v>
      </c>
      <c r="E18" s="61" t="s">
        <v>30</v>
      </c>
      <c r="F18" s="60" t="s"/>
      <c r="G18" s="55" t="s">
        <v>108</v>
      </c>
      <c r="H18" s="58" t="s">
        <v>164</v>
      </c>
      <c r="I18" s="71">
        <v>3.85</v>
      </c>
      <c r="J18" s="60" t="s">
        <v>50</v>
      </c>
      <c r="K18" s="61" t="s">
        <v>165</v>
      </c>
      <c r="L18" s="58" t="s">
        <v>166</v>
      </c>
      <c r="M18" s="71">
        <v>3.82</v>
      </c>
      <c r="N18" s="61" t="s"/>
      <c r="O18" s="61" t="s"/>
      <c r="P18" s="61" t="s"/>
      <c r="Q18" s="61" t="s"/>
      <c r="R18" s="61" t="s">
        <v>106</v>
      </c>
      <c r="S18" s="61" t="s">
        <v>106</v>
      </c>
      <c r="T18" s="61" t="s"/>
      <c r="U18" s="61" t="s"/>
      <c r="V18" s="61" t="s"/>
      <c r="W18" s="61" t="s"/>
      <c r="X18" s="61" t="s"/>
      <c r="Y18" s="61" t="s"/>
      <c r="Z18" s="61" t="s"/>
      <c r="AC18" s="64" t="s">
        <v>128</v>
      </c>
    </row>
    <row r="19" spans="1:29" s="391" customFormat="true" ht="26" customHeight="true">
      <c r="A19" s="55">
        <v>12383</v>
      </c>
      <c r="B19" s="55" t="s">
        <v>167</v>
      </c>
      <c r="C19" s="55" t="s">
        <v>154</v>
      </c>
      <c r="D19" s="55" t="s">
        <v>100</v>
      </c>
      <c r="E19" s="61" t="s">
        <v>66</v>
      </c>
      <c r="F19" s="60" t="s"/>
      <c r="G19" s="55" t="s">
        <v>101</v>
      </c>
      <c r="H19" s="58" t="s">
        <v>168</v>
      </c>
      <c r="I19" s="71">
        <v>4.29</v>
      </c>
      <c r="J19" s="60" t="s">
        <v>50</v>
      </c>
      <c r="K19" s="61" t="s">
        <v>165</v>
      </c>
      <c r="L19" s="58" t="s">
        <v>169</v>
      </c>
      <c r="M19" s="71">
        <v>3.85</v>
      </c>
      <c r="N19" s="61" t="s"/>
      <c r="O19" s="61" t="s"/>
      <c r="P19" s="61" t="s"/>
      <c r="Q19" s="61" t="s"/>
      <c r="R19" s="61" t="s">
        <v>106</v>
      </c>
      <c r="S19" s="61" t="s">
        <v>106</v>
      </c>
      <c r="T19" s="61" t="s"/>
      <c r="U19" s="61" t="s"/>
      <c r="V19" s="61" t="s"/>
      <c r="W19" s="61" t="s"/>
      <c r="X19" s="61" t="s"/>
      <c r="Y19" s="61" t="s"/>
      <c r="Z19" s="61" t="s"/>
      <c r="AC19" s="64" t="s">
        <v>170</v>
      </c>
    </row>
    <row r="20" spans="1:29" s="391" customFormat="true" ht="26" customHeight="true">
      <c r="A20" s="55">
        <v>99812</v>
      </c>
      <c r="B20" s="55" t="s">
        <v>171</v>
      </c>
      <c r="C20" s="55" t="s">
        <v>154</v>
      </c>
      <c r="D20" s="55" t="s">
        <v>172</v>
      </c>
      <c r="E20" s="61" t="s">
        <v>30</v>
      </c>
      <c r="F20" s="60" t="s"/>
      <c r="G20" s="55" t="s">
        <v>116</v>
      </c>
      <c r="H20" s="58" t="s">
        <v>173</v>
      </c>
      <c r="I20" s="71">
        <v>3.9</v>
      </c>
      <c r="J20" s="60" t="s">
        <v>50</v>
      </c>
      <c r="K20" s="61" t="s">
        <v>116</v>
      </c>
      <c r="L20" s="58" t="s">
        <v>174</v>
      </c>
      <c r="M20" s="71">
        <v>3.28</v>
      </c>
      <c r="N20" s="61" t="s"/>
      <c r="O20" s="61" t="s"/>
      <c r="P20" s="61" t="s"/>
      <c r="Q20" s="61" t="s"/>
      <c r="R20" s="61" t="s">
        <v>106</v>
      </c>
      <c r="S20" s="61" t="s">
        <v>106</v>
      </c>
      <c r="T20" s="61" t="s"/>
      <c r="U20" s="61" t="s"/>
      <c r="V20" s="61" t="s"/>
      <c r="W20" s="61" t="s"/>
      <c r="X20" s="61" t="s"/>
      <c r="Y20" s="61" t="s"/>
      <c r="Z20" s="61" t="s"/>
      <c r="AC20" s="64" t="s">
        <v>133</v>
      </c>
    </row>
    <row r="21" spans="1:29" s="391" customFormat="true" ht="26" customHeight="true">
      <c r="A21" s="55">
        <v>40624</v>
      </c>
      <c r="B21" s="55" t="s">
        <v>56</v>
      </c>
      <c r="C21" s="55" t="s">
        <v>154</v>
      </c>
      <c r="D21" s="55" t="s">
        <v>172</v>
      </c>
      <c r="E21" s="61" t="s">
        <v>30</v>
      </c>
      <c r="F21" s="60" t="s"/>
      <c r="G21" s="55" t="s">
        <v>116</v>
      </c>
      <c r="H21" s="58" t="s">
        <v>175</v>
      </c>
      <c r="I21" s="71">
        <v>3.86</v>
      </c>
      <c r="J21" s="60" t="s">
        <v>50</v>
      </c>
      <c r="K21" s="61" t="s">
        <v>116</v>
      </c>
      <c r="L21" s="58" t="s">
        <v>174</v>
      </c>
      <c r="M21" s="71">
        <v>3.31</v>
      </c>
      <c r="N21" s="61" t="s"/>
      <c r="O21" s="61" t="s"/>
      <c r="P21" s="61" t="s"/>
      <c r="Q21" s="61" t="s"/>
      <c r="R21" s="61" t="s">
        <v>106</v>
      </c>
      <c r="S21" s="61" t="s">
        <v>106</v>
      </c>
      <c r="T21" s="61" t="s"/>
      <c r="U21" s="61" t="s"/>
      <c r="V21" s="61" t="s"/>
      <c r="W21" s="61" t="s"/>
      <c r="X21" s="61" t="s"/>
      <c r="Y21" s="61" t="s"/>
      <c r="Z21" s="61" t="s"/>
      <c r="AC21" s="64" t="s">
        <v>172</v>
      </c>
    </row>
    <row r="22" spans="1:29" s="391" customFormat="true" ht="26" customHeight="true">
      <c r="A22" s="55">
        <v>76442</v>
      </c>
      <c r="B22" s="55" t="s">
        <v>176</v>
      </c>
      <c r="C22" s="55" t="s">
        <v>154</v>
      </c>
      <c r="D22" s="55" t="s">
        <v>100</v>
      </c>
      <c r="E22" s="61" t="s">
        <v>177</v>
      </c>
      <c r="F22" s="60" t="s"/>
      <c r="G22" s="55" t="s">
        <v>116</v>
      </c>
      <c r="H22" s="58" t="s">
        <v>178</v>
      </c>
      <c r="I22" s="71">
        <v>3.8</v>
      </c>
      <c r="J22" s="60" t="s">
        <v>50</v>
      </c>
      <c r="K22" s="61" t="s">
        <v>116</v>
      </c>
      <c r="L22" s="58" t="s">
        <v>179</v>
      </c>
      <c r="M22" s="71">
        <v>3.54</v>
      </c>
      <c r="N22" s="61" t="s"/>
      <c r="O22" s="61" t="s"/>
      <c r="P22" s="61" t="s"/>
      <c r="Q22" s="61" t="s"/>
      <c r="R22" s="61" t="s">
        <v>106</v>
      </c>
      <c r="S22" s="61" t="s">
        <v>106</v>
      </c>
      <c r="T22" s="61" t="s"/>
      <c r="U22" s="61" t="s"/>
      <c r="V22" s="61" t="s"/>
      <c r="W22" s="61" t="s"/>
      <c r="X22" s="61" t="s"/>
      <c r="Y22" s="61" t="s"/>
      <c r="Z22" s="61" t="s"/>
      <c r="AC22" s="64" t="s">
        <v>180</v>
      </c>
    </row>
    <row r="23" spans="1:29" s="391" customFormat="true" ht="26" customHeight="true">
      <c r="A23" s="55">
        <v>19083</v>
      </c>
      <c r="B23" s="55" t="s">
        <v>181</v>
      </c>
      <c r="C23" s="55" t="s">
        <v>154</v>
      </c>
      <c r="D23" s="55" t="s">
        <v>100</v>
      </c>
      <c r="E23" s="61" t="s">
        <v>66</v>
      </c>
      <c r="F23" s="60" t="s"/>
      <c r="G23" s="55" t="s">
        <v>182</v>
      </c>
      <c r="H23" s="58" t="s">
        <v>183</v>
      </c>
      <c r="I23" s="71">
        <v>3.5</v>
      </c>
      <c r="J23" s="60" t="s">
        <v>50</v>
      </c>
      <c r="K23" s="61" t="s">
        <v>116</v>
      </c>
      <c r="L23" s="58" t="s">
        <v>184</v>
      </c>
      <c r="M23" s="71">
        <v>3.45</v>
      </c>
      <c r="N23" s="61" t="s"/>
      <c r="O23" s="61" t="s"/>
      <c r="P23" s="61" t="s"/>
      <c r="Q23" s="61" t="s"/>
      <c r="R23" s="72">
        <v>-0.2</v>
      </c>
      <c r="S23" s="61" t="s">
        <v>185</v>
      </c>
      <c r="T23" s="61" t="s"/>
      <c r="U23" s="61" t="s"/>
      <c r="V23" s="61" t="s"/>
      <c r="W23" s="61" t="s"/>
      <c r="X23" s="61" t="s"/>
      <c r="Y23" s="61" t="s"/>
      <c r="Z23" s="67" t="s"/>
      <c r="AC23" s="64" t="s">
        <v>100</v>
      </c>
    </row>
    <row r="24" spans="1:29" s="391" customFormat="true" ht="26" customHeight="true">
      <c r="A24" s="55">
        <v>95220</v>
      </c>
      <c r="B24" s="55" t="s">
        <v>186</v>
      </c>
      <c r="C24" s="55" t="s">
        <v>154</v>
      </c>
      <c r="D24" s="55" t="s">
        <v>100</v>
      </c>
      <c r="E24" s="61" t="s">
        <v>66</v>
      </c>
      <c r="F24" s="60" t="s"/>
      <c r="G24" s="55" t="s">
        <v>108</v>
      </c>
      <c r="H24" s="58" t="s">
        <v>187</v>
      </c>
      <c r="I24" s="71">
        <v>3.57</v>
      </c>
      <c r="J24" s="60" t="s">
        <v>50</v>
      </c>
      <c r="K24" s="61" t="s">
        <v>165</v>
      </c>
      <c r="L24" s="58" t="s">
        <v>188</v>
      </c>
      <c r="M24" s="71">
        <v>3.84</v>
      </c>
      <c r="N24" s="61" t="s"/>
      <c r="O24" s="61" t="s"/>
      <c r="P24" s="61" t="s"/>
      <c r="Q24" s="61" t="s"/>
      <c r="R24" s="61" t="s">
        <v>106</v>
      </c>
      <c r="S24" s="61" t="s">
        <v>106</v>
      </c>
      <c r="T24" s="61" t="s"/>
      <c r="U24" s="61" t="s"/>
      <c r="V24" s="61" t="s"/>
      <c r="W24" s="61" t="s"/>
      <c r="X24" s="61" t="s"/>
      <c r="Y24" s="61" t="s"/>
      <c r="Z24" s="67" t="s"/>
      <c r="AC24" s="68" t="s">
        <v>138</v>
      </c>
    </row>
    <row r="25" spans="1:29" s="391" customFormat="true" ht="26" customHeight="true">
      <c r="A25" s="55">
        <v>17795</v>
      </c>
      <c r="B25" s="55" t="s">
        <v>189</v>
      </c>
      <c r="C25" s="55" t="s">
        <v>154</v>
      </c>
      <c r="D25" s="55" t="s">
        <v>100</v>
      </c>
      <c r="E25" s="61" t="s">
        <v>43</v>
      </c>
      <c r="F25" s="60" t="s"/>
      <c r="G25" s="55" t="s">
        <v>108</v>
      </c>
      <c r="H25" s="58" t="s">
        <v>190</v>
      </c>
      <c r="I25" s="71">
        <v>4</v>
      </c>
      <c r="J25" s="60" t="s">
        <v>50</v>
      </c>
      <c r="K25" s="61" t="s">
        <v>156</v>
      </c>
      <c r="L25" s="58" t="s">
        <v>191</v>
      </c>
      <c r="M25" s="71">
        <v>3.62</v>
      </c>
      <c r="N25" s="61" t="s"/>
      <c r="O25" s="61" t="s"/>
      <c r="P25" s="61" t="s"/>
      <c r="Q25" s="61" t="s"/>
      <c r="R25" s="61" t="s">
        <v>106</v>
      </c>
      <c r="S25" s="61" t="s">
        <v>106</v>
      </c>
      <c r="T25" s="61" t="s"/>
      <c r="U25" s="61" t="s"/>
      <c r="V25" s="61" t="s"/>
      <c r="W25" s="61" t="s"/>
      <c r="X25" s="61" t="s"/>
      <c r="Y25" s="61" t="s"/>
      <c r="Z25" s="61" t="s"/>
      <c r="AC25" s="69" t="s"/>
    </row>
    <row r="26" spans="1:29" s="391" customFormat="true" ht="26" customHeight="true">
      <c r="A26" s="55">
        <v>57305</v>
      </c>
      <c r="B26" s="55" t="s">
        <v>42</v>
      </c>
      <c r="C26" s="55" t="s">
        <v>154</v>
      </c>
      <c r="D26" s="55" t="s">
        <v>100</v>
      </c>
      <c r="E26" s="61" t="s">
        <v>43</v>
      </c>
      <c r="F26" s="60" t="s"/>
      <c r="G26" s="55" t="s">
        <v>108</v>
      </c>
      <c r="H26" s="58" t="s">
        <v>192</v>
      </c>
      <c r="I26" s="71">
        <v>3.5</v>
      </c>
      <c r="J26" s="60" t="s">
        <v>50</v>
      </c>
      <c r="K26" s="61" t="s">
        <v>116</v>
      </c>
      <c r="L26" s="58" t="s">
        <v>193</v>
      </c>
      <c r="M26" s="71">
        <v>3.39</v>
      </c>
      <c r="N26" s="61" t="s"/>
      <c r="O26" s="61" t="s"/>
      <c r="P26" s="61" t="s"/>
      <c r="Q26" s="61" t="s"/>
      <c r="R26" s="61" t="s">
        <v>106</v>
      </c>
      <c r="S26" s="61" t="s">
        <v>106</v>
      </c>
      <c r="T26" s="61" t="s"/>
      <c r="U26" s="61" t="s"/>
      <c r="V26" s="61" t="s"/>
      <c r="W26" s="61" t="s"/>
      <c r="X26" s="61" t="s"/>
      <c r="Y26" s="61" t="s"/>
      <c r="Z26" s="61" t="s"/>
      <c r="AC26" s="69" t="s"/>
    </row>
    <row r="27" spans="1:29" s="391" customFormat="true" ht="26" customHeight="true">
      <c r="A27" s="55">
        <v>52012</v>
      </c>
      <c r="B27" s="55" t="s">
        <v>194</v>
      </c>
      <c r="C27" s="55" t="s">
        <v>154</v>
      </c>
      <c r="D27" s="55" t="s">
        <v>172</v>
      </c>
      <c r="E27" s="61" t="s">
        <v>30</v>
      </c>
      <c r="F27" s="60" t="s"/>
      <c r="G27" s="55" t="s">
        <v>108</v>
      </c>
      <c r="H27" s="58" t="s">
        <v>195</v>
      </c>
      <c r="I27" s="71">
        <v>4.01</v>
      </c>
      <c r="J27" s="60" t="s">
        <v>50</v>
      </c>
      <c r="K27" s="61" t="s">
        <v>156</v>
      </c>
      <c r="L27" s="58" t="s">
        <v>196</v>
      </c>
      <c r="M27" s="71">
        <v>3.31</v>
      </c>
      <c r="N27" s="61" t="s"/>
      <c r="O27" s="61" t="s"/>
      <c r="P27" s="61" t="s"/>
      <c r="Q27" s="61" t="s"/>
      <c r="R27" s="61" t="s">
        <v>106</v>
      </c>
      <c r="S27" s="61" t="s">
        <v>106</v>
      </c>
      <c r="T27" s="61" t="s"/>
      <c r="U27" s="61" t="s"/>
      <c r="V27" s="61" t="s"/>
      <c r="W27" s="61" t="s"/>
      <c r="X27" s="61" t="s"/>
      <c r="Y27" s="61" t="s"/>
      <c r="Z27" s="61" t="s"/>
      <c r="AC27" s="69" t="s"/>
    </row>
    <row r="28" spans="1:29" s="391" customFormat="true" ht="26" customHeight="true">
      <c r="A28" s="55">
        <v>20811</v>
      </c>
      <c r="B28" s="55" t="s">
        <v>197</v>
      </c>
      <c r="C28" s="55" t="s">
        <v>154</v>
      </c>
      <c r="D28" s="55" t="s">
        <v>100</v>
      </c>
      <c r="E28" s="61" t="s">
        <v>66</v>
      </c>
      <c r="F28" s="60" t="s"/>
      <c r="G28" s="55" t="s">
        <v>116</v>
      </c>
      <c r="H28" s="58" t="s">
        <v>198</v>
      </c>
      <c r="I28" s="71">
        <v>3.08</v>
      </c>
      <c r="J28" s="60" t="s">
        <v>50</v>
      </c>
      <c r="K28" s="61" t="s">
        <v>116</v>
      </c>
      <c r="L28" s="58" t="s">
        <v>199</v>
      </c>
      <c r="M28" s="71">
        <v>3.4</v>
      </c>
      <c r="N28" s="61" t="s"/>
      <c r="O28" s="61" t="s"/>
      <c r="P28" s="61" t="s"/>
      <c r="Q28" s="61" t="s"/>
      <c r="R28" s="61" t="s">
        <v>106</v>
      </c>
      <c r="S28" s="61" t="s">
        <v>106</v>
      </c>
      <c r="T28" s="61" t="s"/>
      <c r="U28" s="61" t="s"/>
      <c r="V28" s="61" t="s"/>
      <c r="W28" s="61" t="s"/>
      <c r="X28" s="61" t="s"/>
      <c r="Y28" s="61" t="s"/>
      <c r="Z28" s="61" t="s"/>
      <c r="AC28" s="69" t="s"/>
    </row>
    <row r="29" spans="1:29" s="391" customFormat="true" ht="26" customHeight="true">
      <c r="A29" s="55">
        <v>91418</v>
      </c>
      <c r="B29" s="55" t="s">
        <v>200</v>
      </c>
      <c r="C29" s="55" t="s">
        <v>154</v>
      </c>
      <c r="D29" s="55" t="s">
        <v>172</v>
      </c>
      <c r="E29" s="61" t="s">
        <v>30</v>
      </c>
      <c r="F29" s="60" t="s"/>
      <c r="G29" s="55" t="s">
        <v>108</v>
      </c>
      <c r="H29" s="58" t="s">
        <v>201</v>
      </c>
      <c r="I29" s="71">
        <v>4.27</v>
      </c>
      <c r="J29" s="60" t="s">
        <v>50</v>
      </c>
      <c r="K29" s="61" t="s">
        <v>116</v>
      </c>
      <c r="L29" s="58" t="s">
        <v>202</v>
      </c>
      <c r="M29" s="71">
        <v>3.27</v>
      </c>
      <c r="N29" s="61" t="s"/>
      <c r="O29" s="61" t="s"/>
      <c r="P29" s="61" t="s"/>
      <c r="Q29" s="61" t="s"/>
      <c r="R29" s="61" t="s">
        <v>106</v>
      </c>
      <c r="S29" s="61" t="s">
        <v>106</v>
      </c>
      <c r="T29" s="61" t="s"/>
      <c r="U29" s="61" t="s"/>
      <c r="V29" s="61" t="s"/>
      <c r="W29" s="61" t="s"/>
      <c r="X29" s="61" t="s"/>
      <c r="Y29" s="61" t="s"/>
      <c r="Z29" s="61" t="s"/>
      <c r="AC29" s="69" t="s"/>
    </row>
    <row r="30" spans="1:29" s="391" customFormat="true" ht="26" customHeight="true">
      <c r="A30" s="55">
        <v>29050</v>
      </c>
      <c r="B30" s="55" t="s">
        <v>203</v>
      </c>
      <c r="C30" s="55" t="s">
        <v>154</v>
      </c>
      <c r="D30" s="55" t="s">
        <v>100</v>
      </c>
      <c r="E30" s="61" t="s">
        <v>66</v>
      </c>
      <c r="F30" s="60" t="s"/>
      <c r="G30" s="55" t="s">
        <v>108</v>
      </c>
      <c r="H30" s="58" t="s">
        <v>204</v>
      </c>
      <c r="I30" s="71">
        <v>4.06</v>
      </c>
      <c r="J30" s="60" t="s">
        <v>50</v>
      </c>
      <c r="K30" s="61" t="s">
        <v>108</v>
      </c>
      <c r="L30" s="58" t="s">
        <v>205</v>
      </c>
      <c r="M30" s="71">
        <v>3.65</v>
      </c>
      <c r="N30" s="61" t="s"/>
      <c r="O30" s="61" t="s"/>
      <c r="P30" s="61" t="s"/>
      <c r="Q30" s="61" t="s"/>
      <c r="R30" s="61" t="s">
        <v>106</v>
      </c>
      <c r="S30" s="61" t="s">
        <v>106</v>
      </c>
      <c r="T30" s="61" t="s"/>
      <c r="U30" s="61" t="s"/>
      <c r="V30" s="61" t="s"/>
      <c r="W30" s="61" t="s"/>
      <c r="X30" s="61" t="s"/>
      <c r="Y30" s="61" t="s"/>
      <c r="Z30" s="61" t="s"/>
      <c r="AC30" s="69" t="s"/>
    </row>
    <row r="31" spans="1:29" s="391" customFormat="true" ht="26" customHeight="true">
      <c r="A31" s="55">
        <v>96208</v>
      </c>
      <c r="B31" s="55" t="s">
        <v>206</v>
      </c>
      <c r="C31" s="55" t="s">
        <v>154</v>
      </c>
      <c r="D31" s="55" t="s">
        <v>172</v>
      </c>
      <c r="E31" s="61" t="s">
        <v>177</v>
      </c>
      <c r="F31" s="60" t="s"/>
      <c r="G31" s="55" t="s">
        <v>108</v>
      </c>
      <c r="H31" s="58" t="s">
        <v>207</v>
      </c>
      <c r="I31" s="71">
        <v>4.12</v>
      </c>
      <c r="J31" s="60" t="s">
        <v>50</v>
      </c>
      <c r="K31" s="61" t="s">
        <v>116</v>
      </c>
      <c r="L31" s="58" t="s">
        <v>208</v>
      </c>
      <c r="M31" s="71">
        <v>3.45</v>
      </c>
      <c r="N31" s="61" t="s"/>
      <c r="O31" s="61" t="s"/>
      <c r="P31" s="61" t="s"/>
      <c r="Q31" s="61" t="s"/>
      <c r="R31" s="61" t="s">
        <v>106</v>
      </c>
      <c r="S31" s="61" t="s">
        <v>106</v>
      </c>
      <c r="T31" s="61" t="s"/>
      <c r="U31" s="61" t="s"/>
      <c r="V31" s="61" t="s"/>
      <c r="W31" s="61" t="s"/>
      <c r="X31" s="61" t="s"/>
      <c r="Y31" s="61" t="s"/>
      <c r="Z31" s="61" t="s"/>
      <c r="AC31" s="69" t="s"/>
    </row>
    <row r="32" spans="1:29" s="391" customFormat="true" ht="26" customHeight="true">
      <c r="A32" s="55">
        <v>53558</v>
      </c>
      <c r="B32" s="55" t="s">
        <v>209</v>
      </c>
      <c r="C32" s="55" t="s">
        <v>154</v>
      </c>
      <c r="D32" s="55" t="s">
        <v>172</v>
      </c>
      <c r="E32" s="61" t="s">
        <v>66</v>
      </c>
      <c r="F32" s="60" t="s"/>
      <c r="G32" s="55" t="s">
        <v>101</v>
      </c>
      <c r="H32" s="58" t="s">
        <v>210</v>
      </c>
      <c r="I32" s="71">
        <v>4.65</v>
      </c>
      <c r="J32" s="60" t="s">
        <v>50</v>
      </c>
      <c r="K32" s="61" t="s">
        <v>116</v>
      </c>
      <c r="L32" s="58" t="s">
        <v>211</v>
      </c>
      <c r="M32" s="71">
        <v>3.45</v>
      </c>
      <c r="N32" s="61" t="s"/>
      <c r="O32" s="61" t="s"/>
      <c r="P32" s="61" t="s"/>
      <c r="Q32" s="61" t="s"/>
      <c r="R32" s="61" t="s">
        <v>106</v>
      </c>
      <c r="S32" s="61" t="s">
        <v>106</v>
      </c>
      <c r="T32" s="61" t="s"/>
      <c r="U32" s="61" t="s"/>
      <c r="V32" s="61" t="s"/>
      <c r="W32" s="61" t="s"/>
      <c r="X32" s="61" t="s"/>
      <c r="Y32" s="61" t="s"/>
      <c r="Z32" s="67" t="s"/>
      <c r="AC32" s="69" t="s"/>
    </row>
    <row r="33" spans="1:29" s="391" customFormat="true" ht="26" customHeight="true">
      <c r="A33" s="55">
        <v>92042</v>
      </c>
      <c r="B33" s="55" t="s">
        <v>212</v>
      </c>
      <c r="C33" s="55" t="s">
        <v>154</v>
      </c>
      <c r="D33" s="55" t="s">
        <v>100</v>
      </c>
      <c r="E33" s="61" t="s">
        <v>43</v>
      </c>
      <c r="F33" s="60" t="s"/>
      <c r="G33" s="55" t="s">
        <v>116</v>
      </c>
      <c r="H33" s="58" t="s">
        <v>213</v>
      </c>
      <c r="I33" s="71">
        <v>4.3</v>
      </c>
      <c r="J33" s="60" t="s">
        <v>50</v>
      </c>
      <c r="K33" s="61" t="s">
        <v>116</v>
      </c>
      <c r="L33" s="58" t="s">
        <v>214</v>
      </c>
      <c r="M33" s="71">
        <v>3.27</v>
      </c>
      <c r="N33" s="61" t="s"/>
      <c r="O33" s="61" t="s"/>
      <c r="P33" s="61" t="s"/>
      <c r="Q33" s="61" t="s"/>
      <c r="R33" s="61" t="s">
        <v>106</v>
      </c>
      <c r="S33" s="61" t="s">
        <v>106</v>
      </c>
      <c r="T33" s="61" t="s"/>
      <c r="U33" s="61" t="s"/>
      <c r="V33" s="61" t="s"/>
      <c r="W33" s="61" t="s"/>
      <c r="X33" s="61" t="s"/>
      <c r="Y33" s="61" t="s"/>
      <c r="Z33" s="61" t="s"/>
      <c r="AC33" s="69" t="s"/>
    </row>
    <row r="34" spans="1:29" s="391" customFormat="true" ht="26" customHeight="true">
      <c r="A34" s="55">
        <v>77251</v>
      </c>
      <c r="B34" s="55" t="s">
        <v>215</v>
      </c>
      <c r="C34" s="55" t="s">
        <v>154</v>
      </c>
      <c r="D34" s="55" t="s">
        <v>180</v>
      </c>
      <c r="E34" s="61" t="s">
        <v>177</v>
      </c>
      <c r="F34" s="60" t="s"/>
      <c r="G34" s="55" t="s">
        <v>216</v>
      </c>
      <c r="H34" s="58" t="s">
        <v>217</v>
      </c>
      <c r="I34" s="71">
        <v>3.57</v>
      </c>
      <c r="J34" s="60" t="s">
        <v>50</v>
      </c>
      <c r="K34" s="61" t="s">
        <v>116</v>
      </c>
      <c r="L34" s="58" t="s">
        <v>218</v>
      </c>
      <c r="M34" s="71">
        <v>3.45</v>
      </c>
      <c r="N34" s="61" t="s"/>
      <c r="O34" s="61" t="s"/>
      <c r="P34" s="61" t="s"/>
      <c r="Q34" s="61" t="s"/>
      <c r="R34" s="61" t="s">
        <v>106</v>
      </c>
      <c r="S34" s="61" t="s">
        <v>106</v>
      </c>
      <c r="T34" s="61" t="s"/>
      <c r="U34" s="61" t="s"/>
      <c r="V34" s="61" t="s"/>
      <c r="W34" s="61" t="s"/>
      <c r="X34" s="61" t="s"/>
      <c r="Y34" s="61" t="s"/>
      <c r="Z34" s="61" t="s"/>
      <c r="AC34" s="69" t="s"/>
    </row>
    <row r="35" spans="1:29" s="391" customFormat="true" ht="26" customHeight="true">
      <c r="A35" s="55">
        <v>16761</v>
      </c>
      <c r="B35" s="55" t="s">
        <v>67</v>
      </c>
      <c r="C35" s="55" t="s">
        <v>154</v>
      </c>
      <c r="D35" s="55" t="s">
        <v>100</v>
      </c>
      <c r="E35" s="61" t="s">
        <v>68</v>
      </c>
      <c r="F35" s="60" t="s"/>
      <c r="G35" s="55" t="s">
        <v>108</v>
      </c>
      <c r="H35" s="58" t="s">
        <v>219</v>
      </c>
      <c r="I35" s="71">
        <v>4.4</v>
      </c>
      <c r="J35" s="60" t="s">
        <v>50</v>
      </c>
      <c r="K35" s="61" t="s">
        <v>220</v>
      </c>
      <c r="L35" s="58" t="s">
        <v>221</v>
      </c>
      <c r="M35" s="71">
        <v>3.36</v>
      </c>
      <c r="N35" s="61" t="s"/>
      <c r="O35" s="61" t="s"/>
      <c r="P35" s="61" t="s"/>
      <c r="Q35" s="61" t="s"/>
      <c r="R35" s="61" t="s">
        <v>106</v>
      </c>
      <c r="S35" s="61" t="s">
        <v>106</v>
      </c>
      <c r="T35" s="61" t="s"/>
      <c r="U35" s="61" t="s"/>
      <c r="V35" s="61" t="s"/>
      <c r="W35" s="61" t="s"/>
      <c r="X35" s="61" t="s"/>
      <c r="Y35" s="61" t="s"/>
      <c r="Z35" s="61" t="s"/>
      <c r="AC35" s="69" t="s"/>
    </row>
  </sheetData>
  <dataValidations>
    <dataValidation type="list" operator="between" allowBlank="true" showInputMessage="true" showErrorMessage="true" sqref="D1:D13">
      <formula1>$AC$4:$AC$13</formula1>
    </dataValidation>
    <dataValidation type="list" operator="between" allowBlank="true" showInputMessage="true" showErrorMessage="true" sqref="D16:D35">
      <formula1>$AC$4:$AC$12</formula1>
    </dataValidation>
  </dataValidations>
  <pageMargins left="0.75" right="0.75" top="1" bottom="1" header="0.5" footer="0.5"/>
  <pageSetup orientation="portrait"/>
</worksheet>
</file>

<file path=xl/worksheets/sheet19.xml><?xml version="1.0" encoding="utf-8"?>
<worksheet xmlns="http://schemas.openxmlformats.org/spreadsheetml/2006/main">
  <sheetPr/>
  <dimension ref="A1"/>
  <sheetViews>
    <sheetView showGridLines="true" topLeftCell="A4" workbookViewId="0"/>
  </sheetViews>
  <sheetFormatPr defaultColWidth="9.025" defaultRowHeight="13.5"/>
  <sheetData/>
  <pageMargins left="0.75" right="0.75" top="1" bottom="1" header="0.5" footer="0.5"/>
  <pageSetup orientation="portrai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2026-04-29T15:44:55Z</dcterms:created>
  <dcterms:modified xsi:type="dcterms:W3CDTF">2026-04-29T15:44:55Z</dcterms:modified>
</cp:coreProperties>
</file>