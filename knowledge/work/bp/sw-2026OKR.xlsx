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sw-2026年OKR" sheetId="1" r:id="rId3"/>
    <sheet name="AD人力甘特图(2024)" sheetId="2" state="hidden" r:id="rId4"/>
    <sheet name="AD人力甘特图（2023）" sheetId="3" state="hidden" r:id="rId5"/>
    <sheet name="项目日历-周" sheetId="4" state="hidden" r:id="rId6"/>
    <sheet name="快速响应资源池" sheetId="5" state="hidden" r:id="rId7"/>
    <sheet name="主线版本" sheetId="6" state="hidden" r:id="rId8"/>
    <sheet name="责任田分析" sheetId="7" r:id="rId9"/>
    <sheet name="业务投资地图(2024H2)" sheetId="8" state="hidden" r:id="rId10"/>
    <sheet name="业务投资地图(2026-预测)" sheetId="9" r:id="rId11"/>
    <sheet name="AI项目人力" sheetId="10" state="hidden" r:id="rId12"/>
    <sheet name="sw人力甘特图(2026)" sheetId="11" r:id="rId13"/>
    <sheet name="2026--roadmap-4.7" sheetId="12" r:id="rId14"/>
    <sheet name="业务投资地图（2024H1）" sheetId="13" state="hidden" r:id="rId15"/>
    <sheet name="物理AD分组人员（废弃）" sheetId="14" state="hidden" r:id="rId16"/>
  </sheets>
  <definedNames>
    <definedName name="_xlnm._FilterDatabase" localSheetId="11" hidden="true">'2026--roadmap-4.7'!$A$1:$U$63</definedName>
    <definedName name="_xlnm._FilterDatabase" localSheetId="10" hidden="true">'sw人力甘特图(2026)'!$A$58:$Q$88</definedName>
    <definedName name="_xlnm._FilterDatabase" localSheetId="2" hidden="true">'AD人力甘特图（2023）'!$A$4:$U$48</definedName>
    <definedName name="_xlnm._FilterDatabase" localSheetId="8">'业务投资地图(2026-预测)'!$A$2:$S$52</definedName>
    <definedName name="_xlnm._FilterDatabase" localSheetId="1" hidden="true">'AD人力甘特图(2024)'!$A$4:$V$47</definedName>
    <definedName name="_xlnm._FilterDatabase" localSheetId="3" hidden="true">'项目日历-周'!$A$2:$AC$27</definedName>
    <definedName name="_xlnm._FilterDatabase" localSheetId="13" hidden="true">'物理AD分组人员（废弃）'!$A$1:$L$58</definedName>
    <definedName name="_xlnm._FilterDatabase" localSheetId="7" hidden="true">'业务投资地图(2024H2)'!$A$2:$S$49</definedName>
    <definedName name="_xlnm._FilterDatabase" localSheetId="9" hidden="true">AI项目人力!$A$4:$L$15</definedName>
  </definedNames>
  <calcPr calcId="191029"/>
</workbook>
</file>

<file path=xl/sharedStrings.xml><?xml version="1.0" encoding="utf-8"?>
<sst xmlns="http://schemas.openxmlformats.org/spreadsheetml/2006/main" count="917" uniqueCount="917">
  <si>
    <t/>
  </si>
  <si>
    <t xml:space="preserve">
产线现状</t>
  </si>
  <si>
    <t>按工作类型划分，主要是分为【主线版本】, 【 大项目/定制/质量版/外部支撑】 2大类工作；
按团队划分，主要是分为三个特新团队,3个TL分别管理10人的团队
存在问题:   
1，2类工作由于不同时期投入优先级不一样，后者往往会抢占主线版本的人力，从去年7027的抽调影响可见非常大；2023年统计2类问题平均占比编制9人，最高峰时期如工行POC入围几乎全部门投入
2，人力抽调的策略无事前规划（看到谁技术强就抽谁，工作安排也较少考虑人才备份培养），人员工作相互切换成本高，人员感知不好，承诺的时间更变频繁，工作积极性受一定影响，主线项目管理难度较大，进度延期较多
3，以前也有快速响应团队和外包团队，隔离主线版本人力，有一定效果。但管理上需要一个兼职PM，圈定为此团队组员的氛围不佳，技术成长受限，离职率较高；
3，自从22年变革调整为TL 特性团队后，再无定制团队或快速响应团队，但从产线发展阶段现状，非主线版本工作内容有增无减少，而版本规划特性又集中在某些价值领域并非完全按特性责任田区分隔离，团队组员之间工作调动交叉也较多，对TL和PM的管理提出较大挑战
好的方面
1，40人力编制，3个TL分别管理10人的团队，大PM和TL的管理工作也相对合适
2，特性团队相对独立的快速响应团队有优势，强调onetrack和开发高质量要求，凝聚力,技术工作氛围和员工归属感较强
3，团队的精英化和组织结构简单文化</t>
  </si>
  <si>
    <t>期望目标</t>
  </si>
  <si>
    <t>对当前组织架构适当优化，有相对的人力资源隔离，有分层的人力抽调策略决策依据，减少沟通协作成本，使事务及人力效率运作最大化；</t>
  </si>
  <si>
    <t xml:space="preserve">向外看 </t>
  </si>
  <si>
    <t>绝大多数产线都有定制和快速响应团队，拿AF,AC此类网关类产品做了对比，AC还有独立的外包团队（10人左右，但他们做的定制要求标准等相对AD没这么高），基本上都是对2类工作做了资源隔离，专人专事等；但AD主攻KA，针对大部分2类工作的能力和质量要求都较高，其他产线的组织架构不一定的借鉴意义； 产品的架构决定了组织结构，当前敏捷的特性团队划分实际上并没有很好解决责任田和人效问题</t>
  </si>
  <si>
    <t>思路</t>
  </si>
  <si>
    <t>1， 建立虚拟的快速响应团队人力资源池，按半年版本规划情况流动，相对固定（季度），名单由我们共同定期维护(不传递给组员+结合人才培养计划)
      人员投入分布，质量版本 3人，定制  3人，外部支撑 3~4人（含合作方）
2，PM/TL从2类需求池（定制/质量/外部事项）中按高到低优先级选择分发组员；开发工作默认情况下按主线版本特性上车合入主线(传递时注意，工作按主干开发标准的高要求，而非杂事琐事)
3，无新的需求承接时，人员切回主线版本新特性拆解/修复遗留问题等工作任务，不承接版本关键路径工作（占比10~20%左右）
4，紧急事项抽调分层策略，快速响应团队人力-&gt;预研人力-&gt;主版本人力，允许特事特办</t>
  </si>
  <si>
    <t>维度</t>
  </si>
  <si>
    <t>O</t>
  </si>
  <si>
    <t>现状和差距</t>
  </si>
  <si>
    <t>KR</t>
  </si>
  <si>
    <t>举措</t>
  </si>
  <si>
    <t>产品质量</t>
  </si>
  <si>
    <t>O：面向客户业务和客户感知提升产品质量，消除影响客户满意度的关键质量问题， 明显提升客户口碑</t>
  </si>
  <si>
    <t>现状和差距排序：
1、topN问题：所谓环境类问题不能在第一时间有结论、光模块故障、堆叠健壮性、升级需断网，
2、大客户出现问题之后影响自动放大
3、一线、客户感知有滞后性，当前的质量感知对应的应该是过去一年的情况
4、质量版本修复到客户实际上架产生作用，时间也有大半年的偏移。（推广阻碍，升级阻碍）</t>
  </si>
  <si>
    <t>KR1：构建一线和渠道可使用的故障界定手段知识库，聚焦环境类问题快速界定故障发生在上下游哪个环节，覆盖TOP5环境类问题。后面持续扩充到断网类问题排障知识库</t>
  </si>
  <si>
    <t>KR2：堆叠、ospf、stp、策略路由、ROCE基于场景优化交付文档，通过标准化交付文档，错配漏配类问题减少20%</t>
  </si>
  <si>
    <t>KR3：迭代质量基线版本，解决已知top3软硬件结合类故障、冗余健壮性已知问题。 长期从架构上攻坚极致转控分离</t>
  </si>
  <si>
    <t>KR4： 降低客户质量修复难度，长期攻坚热补丁/故障隔离方案，26年确定非转发面补丁式升级方案。</t>
  </si>
  <si>
    <t>产品竞争力</t>
  </si>
  <si>
    <t>O1：聚焦超融合、存储融合组网需求，在高速无损能力方面构建竞争力，保障供应稳定</t>
  </si>
  <si>
    <t>现状和差距排序：
1、产品断供
2、国产化形态缺失
3、在开发中的国产化硬件缓存规格相比以前减少一办，无损能力性能受影响大
4、芯片供应不明朗，无相对长远应对举措</t>
  </si>
  <si>
    <t>KR1：国产化平台的NS6820系列超融合交换机，聚焦超融合场景，尽量提前发布。底线时间7月。 --短期</t>
  </si>
  <si>
    <t>KR2：在无损算法性能层面攻坚，现有NS6820系列芯片缓存规格下降一半的前提下，通过软件调优尽可能减小差距，整体偏差5%内。并且持续做优化，形成具备竞争力的通用算法底座，（动态缓存、Headroom Buffer、）</t>
  </si>
  <si>
    <t>KR3：长期保障，应对芯片供应不稳定，软件需提速切换芯片的开发上市周期。当前阶段先做到周期缩短50%（按不同场景）   --Q3做到</t>
  </si>
  <si>
    <t xml:space="preserve">O2：产品面向AI转型 </t>
  </si>
  <si>
    <t>现状和差距排序：
1、当前产品形态对目前agent不友好，很多AIOps能力支持起来不通用。虽然未来AI应用会如何迭代还会有很大变数，但是我们产品当前已经和AI脱节
2、在AI网络方面我们涉足少，行业发展趋势下理论上有很多需求需要满足，这一块我们目前没有积累</t>
  </si>
  <si>
    <t>KR1：AI赋能网络方向：AIOps能力支持，成为真正有AI标签的数通产品</t>
  </si>
  <si>
    <t>今年内完成agent对接基座搭建</t>
  </si>
  <si>
    <t>利用AI在故障预测、智能诊断、配置优化方向（当前痛点），至少产出1项有效的产品创新，Q4产出mvp</t>
  </si>
  <si>
    <t>KR2：网络支撑AI方向：聚焦HCI和EDS场景，保持洞察AI业务发展，网络层面存在的痛点，通过和HCI、EDS协同，打造卖点。先从交付和流量模型这两个方向切入,找出至少一个客户痛点</t>
  </si>
  <si>
    <t>AI-Native转型</t>
  </si>
  <si>
    <t>O：团队AINative开发，以4个场景化案例牵引，实际解决过去困扰效率的问题。在过程中构建最佳实践和部门AINative组织能力</t>
  </si>
  <si>
    <t>现状和差距排序：
1、AICoding部门正在推广，落地到生产项目并且成为开发流程，需要整个流程各环节的融合，包括测试实际自动化率、cicd环节建立</t>
  </si>
  <si>
    <t>组织建设</t>
  </si>
  <si>
    <t>O：构建以客户为中心、梯队有后劲的攻坚型团队</t>
  </si>
  <si>
    <t>现状和差距排序：
1、无固定客户零距离固定机制
2、短期业务需要高T、专家处理常规业务，有一定的冲突
3、核心岗位人员能力存在一些维度的差距
4、团队年轻成员占比较低</t>
  </si>
  <si>
    <t>KR1: 产线核心岗位（规划、架构师、PMO、TL）季度走访客户，在教育、制造业、大客户，形成可内部分享的客户价值洞察报告、客户画像知识库，识别到的需求、问题转化为产品公共需求≥2项/季度，纳入产品roadmap</t>
  </si>
  <si>
    <t>KR2:高T人员通过高目标驱动，在产品客户体验典型痛点、竞争力短板、性能差距等维度攻克技术难题，T6及以上人员每人至少转化为一篇技术专利。</t>
  </si>
  <si>
    <t>KR3:关键岗位1:2后备，年轻人员比例大幅提升。Q2完成例行人才盘点，形成人才地图，核心岗位落实IDP培养计划</t>
  </si>
  <si>
    <t>整体人力甘特图</t>
  </si>
  <si>
    <t>团队人力</t>
  </si>
  <si>
    <t>2025年</t>
  </si>
  <si>
    <t>总数</t>
  </si>
  <si>
    <t>2级</t>
  </si>
  <si>
    <t>3级</t>
  </si>
  <si>
    <t>4级</t>
  </si>
  <si>
    <t>总分</t>
  </si>
  <si>
    <t>团队总分</t>
  </si>
  <si>
    <t>姓名</t>
  </si>
  <si>
    <t>岗位</t>
  </si>
  <si>
    <t>职级</t>
  </si>
  <si>
    <t>资源组</t>
  </si>
  <si>
    <t>1月</t>
  </si>
  <si>
    <t>2月</t>
  </si>
  <si>
    <t>3月</t>
  </si>
  <si>
    <t>4月</t>
  </si>
  <si>
    <t>5月</t>
  </si>
  <si>
    <t>6月</t>
  </si>
  <si>
    <t>7月</t>
  </si>
  <si>
    <t>8月</t>
  </si>
  <si>
    <t>9月</t>
  </si>
  <si>
    <t>10月</t>
  </si>
  <si>
    <t>11月</t>
  </si>
  <si>
    <t>12月</t>
  </si>
  <si>
    <t>负责主价值领域</t>
  </si>
  <si>
    <t>当前工作</t>
  </si>
  <si>
    <t>何海坤</t>
  </si>
  <si>
    <t>业务组长</t>
  </si>
  <si>
    <t>T4</t>
  </si>
  <si>
    <t>业务/协议</t>
  </si>
  <si>
    <t>盛科盒式</t>
  </si>
  <si>
    <t>NS6820</t>
  </si>
  <si>
    <t>国产框IPV6</t>
  </si>
  <si>
    <t>协议、IPV6</t>
  </si>
  <si>
    <t>王惠杰</t>
  </si>
  <si>
    <t>开发</t>
  </si>
  <si>
    <t>T3</t>
  </si>
  <si>
    <t>国产化质量</t>
  </si>
  <si>
    <t>瘦架构业务</t>
  </si>
  <si>
    <t>凌通</t>
  </si>
  <si>
    <t>蔡东强</t>
  </si>
  <si>
    <t>刘瑞航</t>
  </si>
  <si>
    <t>T2</t>
  </si>
  <si>
    <t>框支持ROCE</t>
  </si>
  <si>
    <t>NS6820-迭代</t>
  </si>
  <si>
    <t>肖劲</t>
  </si>
  <si>
    <t>锋速新硬件</t>
  </si>
  <si>
    <t>定制预留</t>
  </si>
  <si>
    <t>杨巡</t>
  </si>
  <si>
    <t>super-vlan</t>
  </si>
  <si>
    <t>国产3槽框</t>
  </si>
  <si>
    <t>祝满</t>
  </si>
  <si>
    <t>TSE</t>
  </si>
  <si>
    <t>T5</t>
  </si>
  <si>
    <t>质量版本</t>
  </si>
  <si>
    <t>超融合组网</t>
  </si>
  <si>
    <t>超融合场景</t>
  </si>
  <si>
    <t>张文杰</t>
  </si>
  <si>
    <t>测试</t>
  </si>
  <si>
    <t>国产框ipv6</t>
  </si>
  <si>
    <t>IPv6</t>
  </si>
  <si>
    <t>李鹏铉</t>
  </si>
  <si>
    <t>二层协议</t>
  </si>
  <si>
    <t>胡厚捷</t>
  </si>
  <si>
    <t>三层协议</t>
  </si>
  <si>
    <t>王伟臣</t>
  </si>
  <si>
    <t>堆叠场景</t>
  </si>
  <si>
    <t>高士杰</t>
  </si>
  <si>
    <t>陈云飞</t>
  </si>
  <si>
    <t>RDMA</t>
  </si>
  <si>
    <t>许家豪</t>
  </si>
  <si>
    <t>外包测试</t>
  </si>
  <si>
    <t>/</t>
  </si>
  <si>
    <t>控制器易用性版本</t>
  </si>
  <si>
    <t>精品化改进</t>
  </si>
  <si>
    <t>新硬件测试</t>
  </si>
  <si>
    <t>李坤</t>
  </si>
  <si>
    <t>硬件导入承接</t>
  </si>
  <si>
    <t>彭雨林</t>
  </si>
  <si>
    <t>T7</t>
  </si>
  <si>
    <t>芯片/sdk</t>
  </si>
  <si>
    <t>预研-热补丁</t>
  </si>
  <si>
    <t>预研-故障隔离</t>
  </si>
  <si>
    <t>acl、芯片流水线</t>
  </si>
  <si>
    <t>张润萌</t>
  </si>
  <si>
    <t>预研-适配流程</t>
  </si>
  <si>
    <t>sdk平台支撑</t>
  </si>
  <si>
    <t>余龙</t>
  </si>
  <si>
    <t>黎柏成</t>
  </si>
  <si>
    <t>T6</t>
  </si>
  <si>
    <t>端口、PHY驱动</t>
  </si>
  <si>
    <t>张家龙</t>
  </si>
  <si>
    <t>bsp</t>
  </si>
  <si>
    <t>向健鹏</t>
  </si>
  <si>
    <t>TL</t>
  </si>
  <si>
    <t>无损网络</t>
  </si>
  <si>
    <t>超融合融合组网</t>
  </si>
  <si>
    <t>超融合、无损网络、acl</t>
  </si>
  <si>
    <t>黄安</t>
  </si>
  <si>
    <t>协议、acl、无损网络</t>
  </si>
  <si>
    <t>陈振</t>
  </si>
  <si>
    <t>P5</t>
  </si>
  <si>
    <t>规划</t>
  </si>
  <si>
    <t>竞争力</t>
  </si>
  <si>
    <t>温智皓</t>
  </si>
  <si>
    <t>王奕贤</t>
  </si>
  <si>
    <t>架构平台</t>
  </si>
  <si>
    <t>架构平台支撑</t>
  </si>
  <si>
    <t>李一虎</t>
  </si>
  <si>
    <t>陈炜俊</t>
  </si>
  <si>
    <t>梁淮光</t>
  </si>
  <si>
    <t>acl</t>
  </si>
  <si>
    <t>陈保光</t>
  </si>
  <si>
    <t>arp管理、mac管理</t>
  </si>
  <si>
    <t>刘玉训</t>
  </si>
  <si>
    <t>BGP</t>
  </si>
  <si>
    <t>预研-agent基座</t>
  </si>
  <si>
    <t>预研</t>
  </si>
  <si>
    <t>张怀志</t>
  </si>
  <si>
    <t>架构师</t>
  </si>
  <si>
    <t>系统架构</t>
  </si>
  <si>
    <t>预研&amp;架构看护</t>
  </si>
  <si>
    <t>预研-转控分离</t>
  </si>
  <si>
    <t>杨大成</t>
  </si>
  <si>
    <t>测试专家</t>
  </si>
  <si>
    <t>DFX专项</t>
  </si>
  <si>
    <t>张诗杰</t>
  </si>
  <si>
    <t>朱春龙</t>
  </si>
  <si>
    <t>李鑫</t>
  </si>
  <si>
    <t>自动化</t>
  </si>
  <si>
    <t>AI测试建设</t>
  </si>
  <si>
    <t>测试全流程AI化</t>
  </si>
  <si>
    <t>刘菁</t>
  </si>
  <si>
    <t>SDK/ACL/堆叠分层接口自动化</t>
  </si>
  <si>
    <t>金龙飞</t>
  </si>
  <si>
    <t>技术支持</t>
  </si>
  <si>
    <t>张友松</t>
  </si>
  <si>
    <t>技术支持组长</t>
  </si>
  <si>
    <t>郭柏材</t>
  </si>
  <si>
    <t>吴亮</t>
  </si>
  <si>
    <t>项目主管</t>
  </si>
  <si>
    <t>M6</t>
  </si>
  <si>
    <t>管理</t>
  </si>
  <si>
    <t>韩云飞</t>
  </si>
  <si>
    <t>T8</t>
  </si>
  <si>
    <t>陈金标</t>
  </si>
  <si>
    <t>测试经理</t>
  </si>
  <si>
    <t>M5</t>
  </si>
  <si>
    <t>版本人力甘特图</t>
  </si>
  <si>
    <t>版本-人力</t>
  </si>
  <si>
    <t>战场</t>
  </si>
  <si>
    <t>研发人数</t>
  </si>
  <si>
    <t>占比</t>
  </si>
  <si>
    <t>人力</t>
  </si>
  <si>
    <t>版本</t>
  </si>
  <si>
    <t>当月占比</t>
  </si>
  <si>
    <t>超融合交换机
（主线版本）</t>
  </si>
  <si>
    <t>国产化超融合：NS6820</t>
  </si>
  <si>
    <t>国产化梯队</t>
  </si>
  <si>
    <t>质量迭代</t>
  </si>
  <si>
    <t>框支持ROCE+25G(48X-NE，12C)</t>
  </si>
  <si>
    <t>精品化</t>
  </si>
  <si>
    <t>探索</t>
  </si>
  <si>
    <t>国产化3槽+线卡（2）（迭代一IPV6）</t>
  </si>
  <si>
    <t>长期投入&amp;
核心竞争力</t>
  </si>
  <si>
    <t>效能和质量运营</t>
  </si>
  <si>
    <t>锋速新硬件4款（5120优先，pof降本）</t>
  </si>
  <si>
    <t>总人数</t>
  </si>
  <si>
    <t>质量版本：
板卡ROCE ，芯片支持的都做--优先级调到最高-2025.12.1更新
1 健壮性方案 ,
2 交换机组件补丁升级
3 堆叠心跳、优先级逻辑优化
4 版本问题
5 框升级问题
6 架构优化
7 稳定性bug，定制合入</t>
  </si>
  <si>
    <t>现有</t>
  </si>
  <si>
    <t>国产化超融合-迭代：
1、 mlag,
2、 质量迭代</t>
  </si>
  <si>
    <t>国产化质量版本</t>
  </si>
  <si>
    <t>国产框IPV6补齐</t>
  </si>
  <si>
    <t>精品化改进（博通+盛科）:</t>
  </si>
  <si>
    <t>技术预研:
1、预研-适配流程
2、预研-故障隔离
3、预研-agent基座
4、预研-转控分离
5、预研-热补丁</t>
  </si>
  <si>
    <t>其他工作：
1、AI测试建设
2、硬件导入承接</t>
  </si>
  <si>
    <t xml:space="preserve">开发
</t>
  </si>
  <si>
    <t>汇总</t>
  </si>
  <si>
    <t>人力投资地图（预测）</t>
  </si>
  <si>
    <t>AD7.0.26R3
&amp;AD7.0.28R1</t>
  </si>
  <si>
    <t>AD7.0.28R2</t>
  </si>
  <si>
    <t>AD7.0.29</t>
  </si>
  <si>
    <t>AD7.0.30</t>
  </si>
  <si>
    <t>KA客户POC</t>
  </si>
  <si>
    <t>云化AD</t>
  </si>
  <si>
    <t>开发缺口</t>
  </si>
  <si>
    <t>测试缺口</t>
  </si>
  <si>
    <t>项目</t>
  </si>
  <si>
    <t>排序</t>
  </si>
  <si>
    <t>人员</t>
  </si>
  <si>
    <t>启动时间</t>
  </si>
  <si>
    <t>预期发布时间</t>
  </si>
  <si>
    <t>资源</t>
  </si>
  <si>
    <t>2026.1</t>
  </si>
  <si>
    <t>2027.1月</t>
  </si>
  <si>
    <t>王奕贤14815
蔡东强53792
王惠杰19906
凌通14339
何海坤47669
刘玉训92838
张家龙94038
陈炜俊17980
黎柏成52605
李一虎13117
梁怀光
余龙71592</t>
  </si>
  <si>
    <t>2026.7.30</t>
  </si>
  <si>
    <t>SW开发</t>
  </si>
  <si>
    <t>SW测试</t>
  </si>
  <si>
    <t>向健鹏
彭雨林
温志浩
黄安
刘瑞杭</t>
  </si>
  <si>
    <t>陈保光
杨巡89772</t>
  </si>
  <si>
    <t>2026.12.30</t>
  </si>
  <si>
    <t>锋速新硬件（5120优先，pof降本）</t>
  </si>
  <si>
    <t>张润萌
肖劲</t>
  </si>
  <si>
    <t>super vlan</t>
  </si>
  <si>
    <t>多机堆叠-定制方案</t>
  </si>
  <si>
    <t>硬件导入（光模块、内存条、flash、型号改制、OEM软硬件交换机等）</t>
  </si>
  <si>
    <t>2027.2.28</t>
  </si>
  <si>
    <t>盛科盒式IPV6补齐</t>
  </si>
  <si>
    <t>国产化S6+国产化线卡（4张）</t>
  </si>
  <si>
    <t>待定</t>
  </si>
  <si>
    <t>国产化S9（12槽优先级放低）</t>
  </si>
  <si>
    <t>标准VXLAN</t>
  </si>
  <si>
    <t>易用性改进</t>
  </si>
  <si>
    <t>价值补齐：
1、ERPS （同优先级BGP）</t>
  </si>
  <si>
    <t>开发管理（主管/架构师）</t>
  </si>
  <si>
    <t>持续投入</t>
  </si>
  <si>
    <t>测试管理（测试经理）</t>
  </si>
  <si>
    <t>技术支持+定制-研发</t>
  </si>
  <si>
    <t>技术支持+定制支撑-测试</t>
  </si>
  <si>
    <t>技术预研</t>
  </si>
  <si>
    <t>PMO（项目管理）</t>
  </si>
  <si>
    <t>持续质量改进（疑难bug/质量小版本迭代）</t>
  </si>
  <si>
    <t>课题改进/专项突破/效能提升</t>
  </si>
  <si>
    <t>测试专项</t>
  </si>
  <si>
    <t>测试自动化</t>
  </si>
  <si>
    <t>分类</t>
  </si>
  <si>
    <t>团队</t>
  </si>
  <si>
    <t>编制</t>
  </si>
  <si>
    <t>实际需求</t>
  </si>
  <si>
    <t>开发团队</t>
  </si>
  <si>
    <t>测试团队</t>
  </si>
  <si>
    <t>FEX团队</t>
  </si>
  <si>
    <t>JS开发</t>
  </si>
  <si>
    <t>PHP开发</t>
  </si>
  <si>
    <t>2026.2</t>
  </si>
  <si>
    <t>2026.3</t>
  </si>
  <si>
    <t>2026.4</t>
  </si>
  <si>
    <t>2026.5</t>
  </si>
  <si>
    <t>2026.6</t>
  </si>
  <si>
    <t>2026.7</t>
  </si>
  <si>
    <t>2026.8</t>
  </si>
  <si>
    <t>2026.9</t>
  </si>
  <si>
    <t>2026.10</t>
  </si>
  <si>
    <t>2026.11</t>
  </si>
  <si>
    <t>2026.12</t>
  </si>
  <si>
    <t>研发</t>
  </si>
  <si>
    <t>2024年</t>
  </si>
  <si>
    <t>团队代号</t>
  </si>
  <si>
    <t>负责价值领域</t>
  </si>
  <si>
    <t>撤出时间</t>
  </si>
  <si>
    <t>下个工作</t>
  </si>
  <si>
    <t>吴广华</t>
  </si>
  <si>
    <t>coredump组</t>
  </si>
  <si>
    <t>定制项目</t>
  </si>
  <si>
    <t>快速响应/
7026R2英</t>
  </si>
  <si>
    <t>快速响应/
7026R3</t>
  </si>
  <si>
    <t>7026R3</t>
  </si>
  <si>
    <t>集群手动同步</t>
  </si>
  <si>
    <t>招行POC</t>
  </si>
  <si>
    <t>刘文龙</t>
  </si>
  <si>
    <t>lizhi</t>
  </si>
  <si>
    <t>RAS</t>
  </si>
  <si>
    <t>快速响应/
定制</t>
  </si>
  <si>
    <t>云AD</t>
  </si>
  <si>
    <t>半链接/排障能力/大项目</t>
  </si>
  <si>
    <t>樊晗生</t>
  </si>
  <si>
    <t>吉大key/动态路由稳定/大项目</t>
  </si>
  <si>
    <t>7026R3/内核升级</t>
  </si>
  <si>
    <t>高光毫</t>
  </si>
  <si>
    <t>质量/KA客户</t>
  </si>
  <si>
    <t>sslo</t>
  </si>
  <si>
    <t>ipro性能优化</t>
  </si>
  <si>
    <t>质量补丁</t>
  </si>
  <si>
    <t>国密三级/定制邮储</t>
  </si>
  <si>
    <t>FPGA/DPU</t>
  </si>
  <si>
    <t>国税定制</t>
  </si>
  <si>
    <t>张新锐</t>
  </si>
  <si>
    <t>SNMP定制</t>
  </si>
  <si>
    <t>7026R3/协议栈</t>
  </si>
  <si>
    <t>CNAD</t>
  </si>
  <si>
    <t>薛载路</t>
  </si>
  <si>
    <t>定制/补丁</t>
  </si>
  <si>
    <t>移动入围</t>
  </si>
  <si>
    <t>曹刚</t>
  </si>
  <si>
    <t>刘思远</t>
  </si>
  <si>
    <t>苏敏宁</t>
  </si>
  <si>
    <t>嘲风</t>
  </si>
  <si>
    <t>命令行/snmp/syslog/PM</t>
  </si>
  <si>
    <t>排障能力</t>
  </si>
  <si>
    <t>7026R3/抓包</t>
  </si>
  <si>
    <t>mac漂移补丁</t>
  </si>
  <si>
    <t>快速响应/
质量</t>
  </si>
  <si>
    <t>扩容/API</t>
  </si>
  <si>
    <t>7026R3/BUG</t>
  </si>
  <si>
    <t>叶鹏</t>
  </si>
  <si>
    <t>扩容/大项目</t>
  </si>
  <si>
    <t>平安中信</t>
  </si>
  <si>
    <t>金红星</t>
  </si>
  <si>
    <t>GSLB</t>
  </si>
  <si>
    <t>安全/农行GLSB入围</t>
  </si>
  <si>
    <t>安全/补丁</t>
  </si>
  <si>
    <t>熊锐</t>
  </si>
  <si>
    <t>质量/安全</t>
  </si>
  <si>
    <t>监视器/授权</t>
  </si>
  <si>
    <t>护网/补丁/质量
/7026R3</t>
  </si>
  <si>
    <t>快速响应团队</t>
  </si>
  <si>
    <t>郑嘉颖</t>
  </si>
  <si>
    <t>杨乐w</t>
  </si>
  <si>
    <t>唐柴袁</t>
  </si>
  <si>
    <t>何伟</t>
  </si>
  <si>
    <t>7026R3/RAS</t>
  </si>
  <si>
    <t>曾泽铭w</t>
  </si>
  <si>
    <t>硬件巡检</t>
  </si>
  <si>
    <t>7026R3/离线巡检</t>
  </si>
  <si>
    <t>李林林</t>
  </si>
  <si>
    <t>盘古</t>
  </si>
  <si>
    <t>irule/F5默认参数</t>
  </si>
  <si>
    <t>田勤善</t>
  </si>
  <si>
    <t>质量/补丁</t>
  </si>
  <si>
    <t>低延时</t>
  </si>
  <si>
    <t>7028 BUG</t>
  </si>
  <si>
    <t>郝春宇</t>
  </si>
  <si>
    <t>质量/效能</t>
  </si>
  <si>
    <t>补丁自动化</t>
  </si>
  <si>
    <t>效能自动化</t>
  </si>
  <si>
    <t>何泳江</t>
  </si>
  <si>
    <t>质量</t>
  </si>
  <si>
    <t>7026R3/TOA</t>
  </si>
  <si>
    <t>农行卸载</t>
  </si>
  <si>
    <t>左乾江</t>
  </si>
  <si>
    <t>配置转换</t>
  </si>
  <si>
    <t>7026R3/集群手动同步</t>
  </si>
  <si>
    <t>蒋品局</t>
  </si>
  <si>
    <t>运维能力工具包</t>
  </si>
  <si>
    <t>离线巡检</t>
  </si>
  <si>
    <t>SSL七层/定制</t>
  </si>
  <si>
    <t>沈涛w（离职）</t>
  </si>
  <si>
    <t>\</t>
  </si>
  <si>
    <t>郑奇高</t>
  </si>
  <si>
    <t>吴霖彬</t>
  </si>
  <si>
    <t>质量补丁/定制</t>
  </si>
  <si>
    <t>肖志鹏</t>
  </si>
  <si>
    <t>7026R3/硬件导入</t>
  </si>
  <si>
    <t>刘亚</t>
  </si>
  <si>
    <t>效能质量团队</t>
  </si>
  <si>
    <t>臧韵琦</t>
  </si>
  <si>
    <t>周黎利</t>
  </si>
  <si>
    <t>系统架构组</t>
  </si>
  <si>
    <t>配置扩容</t>
  </si>
  <si>
    <t>李洪懋</t>
  </si>
  <si>
    <t>ssl</t>
  </si>
  <si>
    <t>F5兼容报告/真实场景流量/排障</t>
  </si>
  <si>
    <t>石佳晨</t>
  </si>
  <si>
    <t>技术支持组</t>
  </si>
  <si>
    <t>徐瑞准</t>
  </si>
  <si>
    <t>王超杰</t>
  </si>
  <si>
    <t>方鹏斌</t>
  </si>
  <si>
    <t>管理团队</t>
  </si>
  <si>
    <t>陆树军</t>
  </si>
  <si>
    <t>研发投资地图</t>
  </si>
  <si>
    <t>UI</t>
  </si>
  <si>
    <t>AD7.0.26R3</t>
  </si>
  <si>
    <t>主线版本</t>
  </si>
  <si>
    <t>主线12开发</t>
  </si>
  <si>
    <t>预研4开发</t>
  </si>
  <si>
    <t>AD7.0.26R2英文</t>
  </si>
  <si>
    <t>定制</t>
  </si>
  <si>
    <t>12开发</t>
  </si>
  <si>
    <t>大项目攻坚</t>
  </si>
  <si>
    <t>AD7.0.27</t>
  </si>
  <si>
    <t>机动</t>
  </si>
  <si>
    <t>AD7.0.28</t>
  </si>
  <si>
    <t>机动
质量补丁
护网</t>
  </si>
  <si>
    <t>定制项目
大项目</t>
  </si>
  <si>
    <t>8月研发人力投资</t>
  </si>
  <si>
    <t>7月研发人力投资</t>
  </si>
  <si>
    <t>6月研发人力投资</t>
  </si>
  <si>
    <t>5月研发人力投资</t>
  </si>
  <si>
    <t>3月研发人力投资</t>
  </si>
  <si>
    <t>4月研发人力投资</t>
  </si>
  <si>
    <t>健康度</t>
  </si>
  <si>
    <t>主线版本人力</t>
  </si>
  <si>
    <t>增加2</t>
  </si>
  <si>
    <t>增加3</t>
  </si>
  <si>
    <t>-,减少</t>
  </si>
  <si>
    <t>定制/大项目人力</t>
  </si>
  <si>
    <t>减少3</t>
  </si>
  <si>
    <t>减少1</t>
  </si>
  <si>
    <t>+,增加，护网和农行，定制</t>
  </si>
  <si>
    <t>持平，正常</t>
  </si>
  <si>
    <t>AD7.0.26R英文</t>
  </si>
  <si>
    <t>AD7.0.28
AD7.0.29</t>
  </si>
  <si>
    <t>质量补丁
护网
机动</t>
  </si>
  <si>
    <t>大项目
定制</t>
  </si>
  <si>
    <t>2023年</t>
  </si>
  <si>
    <t>白泽</t>
  </si>
  <si>
    <t>集群手动同步/ras</t>
  </si>
  <si>
    <t>真实场景流量/排障</t>
  </si>
  <si>
    <t>浪潮问题</t>
  </si>
  <si>
    <t>ras/机动人员</t>
  </si>
  <si>
    <t>移动定制</t>
  </si>
  <si>
    <t>HW</t>
  </si>
  <si>
    <t>建行</t>
  </si>
  <si>
    <t>三级国密/定制</t>
  </si>
  <si>
    <t>农行-Irule</t>
  </si>
  <si>
    <t>cnad</t>
  </si>
  <si>
    <t>定制-广发CNAD</t>
  </si>
  <si>
    <t>定制进行ing</t>
  </si>
  <si>
    <t>王文强</t>
  </si>
  <si>
    <t>真实场景流量/硬件排障/机动</t>
  </si>
  <si>
    <t>性能问题</t>
  </si>
  <si>
    <t>jszc</t>
  </si>
  <si>
    <t>定制-兴业扩+曙光</t>
  </si>
  <si>
    <t>过载/HA/定制</t>
  </si>
  <si>
    <t>dpdk</t>
  </si>
  <si>
    <t>半链接/机动人员</t>
  </si>
  <si>
    <t>交行R7（硬件导入3系适配）</t>
  </si>
  <si>
    <t>农行POC</t>
  </si>
  <si>
    <t>snmp/syslog/PM</t>
  </si>
  <si>
    <t>农行irule</t>
  </si>
  <si>
    <t>扩容</t>
  </si>
  <si>
    <t>gslb</t>
  </si>
  <si>
    <t>农行-GSLB-同步</t>
  </si>
  <si>
    <t>叶佳卉</t>
  </si>
  <si>
    <t>7026R2</t>
  </si>
  <si>
    <t>兼容报告</t>
  </si>
  <si>
    <t>定制-国网SSLo</t>
  </si>
  <si>
    <t>七层性能优化</t>
  </si>
  <si>
    <t>农行-irule</t>
  </si>
  <si>
    <t>irule/配置扩容</t>
  </si>
  <si>
    <t>定制-国泰CNAD</t>
  </si>
  <si>
    <t>补丁自动化/调度优化</t>
  </si>
  <si>
    <t>河南烟草局定制</t>
  </si>
  <si>
    <t>acheck工具/定制</t>
  </si>
  <si>
    <t>护网</t>
  </si>
  <si>
    <t>SSLO定制</t>
  </si>
  <si>
    <t>骆俊</t>
  </si>
  <si>
    <t>农行</t>
  </si>
  <si>
    <t>李雪莲</t>
  </si>
  <si>
    <t>休产假</t>
  </si>
  <si>
    <t>周凯</t>
  </si>
  <si>
    <t>陈浩林</t>
  </si>
  <si>
    <t>11月中</t>
  </si>
  <si>
    <t>11月底</t>
  </si>
  <si>
    <t>AD7.0.26R2</t>
  </si>
  <si>
    <t>团队-TL</t>
  </si>
  <si>
    <t>责任田</t>
  </si>
  <si>
    <t>维度细分</t>
  </si>
  <si>
    <t>当前现状</t>
  </si>
  <si>
    <t>下一步举措</t>
  </si>
  <si>
    <t>样例</t>
  </si>
  <si>
    <t xml:space="preserve">【技术债】
1，针对TOP核心场景技术债务问题，每月度持续运营，RMT决策输出到版本规划侧；
【效率】 
1，增加排障手段和日志？模块微重构？
2，落入acheck巡检工具？
【人才厚度】
1，针对核心模块，人员有双备份（拉通部门层面资源）；非关键模块（未圈定在年度规划或者非涉及关键质量问题模块可不过多投入）
2，通过线上问题实战演练，安排组员通过网上问题的排障，锻炼对外能力，识别排障效率问题做到自闭环；
【客户满意度】
1，联合技术支持，外部质量问题月度运营，针对TOP模块的P1P2关键问题进行复盘活动，识别影响客户满意度的因素（包括排障效率，日志信息，模块遗留bug等）
2，
</t>
  </si>
  <si>
    <t>架构平台-王奕贤</t>
  </si>
  <si>
    <t>客户满意度</t>
  </si>
  <si>
    <t>质量/SLA/根查率</t>
  </si>
  <si>
    <t>客户问题反馈</t>
  </si>
  <si>
    <t>效率</t>
  </si>
  <si>
    <t>人才厚度、梯度</t>
  </si>
  <si>
    <t>无损网络-向健鹏</t>
  </si>
  <si>
    <t xml:space="preserve">ECN/PFC
超融合场景交付
roce性能优化
超融合组网价值融合
</t>
  </si>
  <si>
    <t>价值体验</t>
  </si>
  <si>
    <t>代码复杂度</t>
  </si>
  <si>
    <t>自动化率（2.5）
&lt;20% 1-2
&lt;40% 3-4
&lt;60% 5-6
&lt;80% 7-8
&lt;100% 9-10</t>
  </si>
  <si>
    <t>问题修复效率/排障效率（8）
(2-5]天：9-10分
(5-8]天：7-8分
(8-11]天：5-6分
(11-15]天：3-4分
(15-20]天：1-2分</t>
  </si>
  <si>
    <t>人才厚度、梯度（6）</t>
  </si>
  <si>
    <t>芯片/sdk-彭雨林</t>
  </si>
  <si>
    <t>acl
端口
以太网管理所有功能
缓存管理
芯片流水线线管
sdk</t>
  </si>
  <si>
    <t>外部问题反馈</t>
  </si>
  <si>
    <t>可测试性</t>
  </si>
  <si>
    <t>TD修复效率</t>
  </si>
  <si>
    <t>业务/协议-何海坤</t>
  </si>
  <si>
    <t>L2/L3所有网络协议
认证类
感知类功能
安全类功能
瘦架构管理
等</t>
  </si>
  <si>
    <t>业务投资分解</t>
  </si>
  <si>
    <t>人力分布</t>
  </si>
  <si>
    <t>目标客户</t>
  </si>
  <si>
    <t>业务</t>
  </si>
  <si>
    <t>上半年总投/人天</t>
  </si>
  <si>
    <t>目标投入</t>
  </si>
  <si>
    <t>业务方向</t>
  </si>
  <si>
    <t>承载版本</t>
  </si>
  <si>
    <t>预期</t>
  </si>
  <si>
    <t>子方向</t>
  </si>
  <si>
    <t>开发（人月）</t>
  </si>
  <si>
    <t>测试（人月）</t>
  </si>
  <si>
    <t>Q3</t>
  </si>
  <si>
    <t>Q4</t>
  </si>
  <si>
    <t>无损网络保供应</t>
  </si>
  <si>
    <t>2026年1月-4月</t>
  </si>
  <si>
    <t xml:space="preserve">25G兼容健壮性
</t>
  </si>
  <si>
    <t>48X-NE、12C线卡roce能力支持</t>
  </si>
  <si>
    <t>框架构兼容、堆叠</t>
  </si>
  <si>
    <t>质量改进</t>
  </si>
  <si>
    <t>无损网络国产化超融合交换机</t>
  </si>
  <si>
    <t xml:space="preserve">NS6820
</t>
  </si>
  <si>
    <t>2026年1月-7月</t>
  </si>
  <si>
    <t>knet：
1、tx\rx、dcb
2、vkent通讯
3、性能</t>
  </si>
  <si>
    <t>acl：
1、模板适配
2、组配置，entry芯片对接</t>
  </si>
  <si>
    <t>设备管理：
1、光模块管理
2、风扇相关管理
3、温感管理</t>
  </si>
  <si>
    <t>wns-nsl适配层: 
1、新版本sdk接口封装、逻辑打通
2、自动化接口基座
3、表项特性设计，lpm表项hit机制等、规格设计
4、业务对接</t>
  </si>
  <si>
    <t>主动稳定性：
1、SDK主动稳定性
2、单元测试、接口逻辑测试、随机调用测试支持
3、性能测试可观测设计</t>
  </si>
  <si>
    <t>cpu架构&amp;性能优化提升：
1、大小核调度
2、内核驱动</t>
  </si>
  <si>
    <t>技术债和质量改进：
1、历史bug合入
2、sdk bug列表
3、框bug合入</t>
  </si>
  <si>
    <t>业务适配：
1、聚焦超融合场景的l2/l3业务</t>
  </si>
  <si>
    <t>国产化超融合-迭代：</t>
  </si>
  <si>
    <t>2026年8月-2027年2月</t>
  </si>
  <si>
    <t>mlag
1、架构重构
2、L2/L3表项同步
3、本地优先转发
4、冗余接管性能指标</t>
  </si>
  <si>
    <t>技术债和质量改进</t>
  </si>
  <si>
    <t>国产化框</t>
  </si>
  <si>
    <t>国产化3槽+线卡（基础一IPV6）</t>
  </si>
  <si>
    <t xml:space="preserve">M3主控：
</t>
  </si>
  <si>
    <t>2026/12月</t>
  </si>
  <si>
    <t xml:space="preserve">7132线卡：
1、bsp、sdk适配
2、knet、acl、wns-nsl、堆叠
3、设备管理
4、帧通道
</t>
  </si>
  <si>
    <t>架构适配：
1、堆叠、knet、帧通道、DM\DTM
2、资源管理、带外管理
3、混插、协议帧性能</t>
  </si>
  <si>
    <t>基础业务适配：
1、IPV4全业务
2、基础IPV6
3、协议性能、主备倒换性能、冗余接管性能</t>
  </si>
  <si>
    <t>国产化框IPV6补齐</t>
  </si>
  <si>
    <t>2026年9月-2027年2月</t>
  </si>
  <si>
    <t>ipv6协议补齐：
1、OSPF v3
2、SLAAC(客户端) 
3、DHCPv6(客户端)
4、DHCP中继(新加)
5、ACL6合入、策略路由
6、ICMPv6、NDP（上个版本未做完）</t>
  </si>
  <si>
    <t>S6主控+8120线卡</t>
  </si>
  <si>
    <t>HS5120-PoF</t>
  </si>
  <si>
    <t>2026年1月-2026年8月</t>
  </si>
  <si>
    <t>HS5120-PoF、全光方案：
端口形态：24个2.5G电口 改为 2.5G bosa光，加一个管理网口。前面12口支持BT，改为24个口全部支持BT</t>
  </si>
  <si>
    <t>HS3100--芯片升级</t>
  </si>
  <si>
    <t>HS3100--芯片升级：
1，千加万：8个千兆电（POE）+2个万兆光
2，千加万：8个千兆电（非POE）+2个万兆光</t>
  </si>
  <si>
    <t>HS3100--8口远端模块</t>
  </si>
  <si>
    <t>HS3100--8口远端新型号：
千加万：8*千兆电（4poe）+1*10G光+1*2.5G PO</t>
  </si>
  <si>
    <t>……</t>
  </si>
  <si>
    <t>常规质量迭代</t>
  </si>
  <si>
    <t>质量基线版本</t>
  </si>
  <si>
    <t>1 全系ROCE ，芯片支持的都做
2 健壮性方案 ,
3 堆叠心跳、优先级逻辑优化
4 版本问题
5 框升级问题
6 架构优化
7 稳定性bug，定制合入</t>
  </si>
  <si>
    <t>硬件物料更新</t>
  </si>
  <si>
    <t>框硬件物料更新</t>
  </si>
  <si>
    <t>国产化质量迭代</t>
  </si>
  <si>
    <t>补短板</t>
  </si>
  <si>
    <t>安全证书</t>
  </si>
  <si>
    <t>2026年8月-12</t>
  </si>
  <si>
    <t>安全检测过认证</t>
  </si>
  <si>
    <t>ERPS</t>
  </si>
  <si>
    <t>AI赋能网络</t>
  </si>
  <si>
    <t>AI故障预测、智能诊断</t>
  </si>
  <si>
    <t>新硬件适配全流程 AINative大幅提效</t>
  </si>
  <si>
    <t>故障隔离</t>
  </si>
  <si>
    <t>agent基座</t>
  </si>
  <si>
    <t>极致转控分离</t>
  </si>
  <si>
    <t>热补丁升级方案</t>
  </si>
  <si>
    <t>端到端质量</t>
  </si>
  <si>
    <t>产品环境问题减少</t>
  </si>
  <si>
    <t>交付、配置问题减少</t>
  </si>
  <si>
    <t>研发效能</t>
  </si>
  <si>
    <t>质量运营</t>
  </si>
  <si>
    <t>技术支持
(安全/工具/硬件巡检）</t>
  </si>
  <si>
    <t>合计</t>
  </si>
  <si>
    <t>-</t>
  </si>
  <si>
    <t>计划人力（人月）</t>
  </si>
  <si>
    <t>计划人力</t>
  </si>
  <si>
    <t>实际人力</t>
  </si>
  <si>
    <t>偏差</t>
  </si>
  <si>
    <t>缺口</t>
  </si>
  <si>
    <t>补齐后
人力</t>
  </si>
  <si>
    <t>补齐后占比</t>
  </si>
  <si>
    <t>核心价值</t>
  </si>
  <si>
    <t>算力组网，AI转型</t>
  </si>
  <si>
    <t>类型</t>
  </si>
  <si>
    <t>开发目标投入</t>
  </si>
  <si>
    <t xml:space="preserve">1，7028：默认配置，RAS，sslo二层，配置转换工具 - -8月
</t>
  </si>
  <si>
    <t>长稳版本迭代</t>
  </si>
  <si>
    <t>农行特性</t>
  </si>
  <si>
    <t xml:space="preserve">农行负载/卸载特性9月
中行行负载/卸载，国密三级等
中信POC入围（8月中）
周期：8~10月； 投入开发10人，测试5人
</t>
  </si>
  <si>
    <t>中行/中信特性</t>
  </si>
  <si>
    <t>irules兼容</t>
  </si>
  <si>
    <t>彭文奕</t>
  </si>
  <si>
    <t>低时延合入</t>
  </si>
  <si>
    <t>肖志鹏(临时)</t>
  </si>
  <si>
    <t>F5预研落地</t>
  </si>
  <si>
    <t>曾泽铭w(临时)</t>
  </si>
  <si>
    <t>豪哥&amp;张新锐</t>
  </si>
  <si>
    <t>手动抓包</t>
  </si>
  <si>
    <t>物理AD
技术预研
友商分析</t>
  </si>
  <si>
    <t>C3000优化版导入</t>
  </si>
  <si>
    <t>张琪</t>
  </si>
  <si>
    <t>FPGA导入</t>
  </si>
  <si>
    <t>刘都都</t>
  </si>
  <si>
    <t>七层性能优化/IPRO优化</t>
  </si>
  <si>
    <t>部分</t>
  </si>
  <si>
    <t>量子加密场景</t>
  </si>
  <si>
    <t>AD7.0.29，lhm</t>
  </si>
  <si>
    <t>定制;pwy释放到版本</t>
  </si>
  <si>
    <t>抓包/客户流量异常场景的自证</t>
  </si>
  <si>
    <t>王辉光</t>
  </si>
  <si>
    <t>SSL性能优化</t>
  </si>
  <si>
    <t>SSLO七层反代</t>
  </si>
  <si>
    <t>排障工具的继续开发</t>
  </si>
  <si>
    <t>技术支持团队</t>
  </si>
  <si>
    <t>云化AD
新控制面架构VAD,PASSAD,CNAD</t>
  </si>
  <si>
    <t>标准化容器云接入场景方案</t>
  </si>
  <si>
    <t>郑泳</t>
  </si>
  <si>
    <t>王鸿奇</t>
  </si>
  <si>
    <t>控制面新架构</t>
  </si>
  <si>
    <t>雷斌亭</t>
  </si>
  <si>
    <t>数据面新架构</t>
  </si>
  <si>
    <t>公共支撑</t>
  </si>
  <si>
    <t>大项目支撑
质量运营(安全/工具/硬件巡检/效能)</t>
  </si>
  <si>
    <t>KA大项目支撑</t>
  </si>
  <si>
    <t xml:space="preserve">正在投入
中国移动入围华为鲲鹏适配（2024.6）
移动POC入围（8月中下旬标前）
邮储定制（7月底），应急管理部定制（7月底）
待投入
中信POC入围（8月中）
农行负载发货（9月10号）农行卸载测试（9月测试）--irule
中国银行负载和卸载，预计Q3，想有个项目型，后面有框架入围
交通银行（预计11月）
兴业银行框架标(扩容)
工行卸载
</t>
  </si>
  <si>
    <t>沈涛</t>
  </si>
  <si>
    <t>质量运营(安全/工具/硬件巡检/效能</t>
  </si>
  <si>
    <t>1，护网安全，SP护网补丁  0.5人
2，质量运营，SP质量补丁，硬件变更，acheck巡检/软硬件巡检能力（长期） 2人
3，效能，平台工具，0.5人</t>
  </si>
  <si>
    <t xml:space="preserve">人力偏差分析
1，6~9月份，预计7028（8月底），7026R2EN（8月中），7026R3（9月底）最多三个版本并行，目前7026R3未启动（开发开发缺口3人，测试4人），Q3缺口增加；
2，预研缺口，当前开发从正式版本出来，时间点在7月下旬；预研项缺口3人，无法并行投入
3，主线版本预计17人左右（含预研人力落入版本），
4，KA/大项目攻坚保持和上半年一样（4人）
5，质量运营（含效能和安全），4人。上半年技术债和质量运营投入不足（包括技术债BUG，check巡检基线，线上运营等）
个人拆解思路
1，首先，先按历史经验和下半年实际情况，优先隔离大项目/定制的人力资源投入，保证增长
2，其次，保质量，质量是兜底，不能出问题，主动运营这块
3，最后，剩余人力再投入主线版本和预研项，而价值需求需要聚焦优先级，从高优先级到低优先级排序进行开发。并行开发必然存在较大缺口。可以适当使用1和2上的闲置人力
</t>
  </si>
  <si>
    <t>开发17人</t>
  </si>
  <si>
    <t>KA支撑</t>
  </si>
  <si>
    <t>开发8人</t>
  </si>
  <si>
    <t>产品</t>
  </si>
  <si>
    <t>职称</t>
  </si>
  <si>
    <t>合作方</t>
  </si>
  <si>
    <t>技术田</t>
  </si>
  <si>
    <t>备注</t>
  </si>
  <si>
    <t>其他</t>
  </si>
  <si>
    <t>当前版本</t>
  </si>
  <si>
    <t>下个版本</t>
  </si>
  <si>
    <t>到位时间</t>
  </si>
  <si>
    <t>AD</t>
  </si>
  <si>
    <t>否</t>
  </si>
  <si>
    <t>架构责任田：mad
业务责任田：节点池、业务主机、SSL虚拟服务（不包含http）、ssl策略、ssl证书管理、高可用、硬件导入--加速卡、国密卡、网卡、sdk（含上层架构）</t>
  </si>
  <si>
    <t xml:space="preserve">预研，高可用支持手动同步
</t>
  </si>
  <si>
    <t>张祺</t>
  </si>
  <si>
    <t>dpdJ升级1</t>
  </si>
  <si>
    <t>dpdk升级、全平台网卡适配</t>
  </si>
  <si>
    <t>6月中</t>
  </si>
  <si>
    <t>T4以下</t>
  </si>
  <si>
    <t>硬件导入</t>
  </si>
  <si>
    <t>工具链升级（母盘镜像制作）</t>
  </si>
  <si>
    <t>测试TSE</t>
  </si>
  <si>
    <t>测试设计,效能改进</t>
  </si>
  <si>
    <t>网络，性能可靠性</t>
  </si>
  <si>
    <t>移动入围出差7月中</t>
  </si>
  <si>
    <t>架构责任田：状态中心、API框架、系统配置中心、报表、调试框架（iproc、日志框架等）
业务责任田：dns服务、dns代理、系统管理、硬件导入</t>
  </si>
  <si>
    <t>国密SDK</t>
  </si>
  <si>
    <t>已到位，预研</t>
  </si>
  <si>
    <t>陈健绍</t>
  </si>
  <si>
    <t>硬件适配，snmp</t>
  </si>
  <si>
    <t>硬件，补丁升级改进</t>
  </si>
  <si>
    <t>是</t>
  </si>
  <si>
    <t>性能专项，补丁/母盘，外部测试支撑</t>
  </si>
  <si>
    <t>测试设计，护网，母盘，API预研验收</t>
  </si>
  <si>
    <t>架构责任田：监视器、adappd配置中心、openad、ADM、ipro
业务责任田：L7虚拟服务协议、安全策略、自定义内容、优化策略（除tcp）、天窗/8583、SSLO、OCSP</t>
  </si>
  <si>
    <t>预研，SSLO二层方案</t>
  </si>
  <si>
    <t>工具链升级（版本升级）</t>
  </si>
  <si>
    <t>cssp</t>
  </si>
  <si>
    <t>性能可靠性专项</t>
  </si>
  <si>
    <t>测试设计</t>
  </si>
  <si>
    <t>架构责任田：dpdk、内存管理、消息队列、netfilter、协议栈、多租户、paasad
业务责任田：链路负载-智能路由、规则地址库、网络接口、l3、l4虚拟服务协议、tcp优化策略</t>
  </si>
  <si>
    <t>CTO</t>
  </si>
  <si>
    <t>动态路由</t>
  </si>
  <si>
    <t>TCP协议栈</t>
  </si>
  <si>
    <t>预研, 引用计数、下载协议优化， 交行正向代理路由池定制</t>
  </si>
  <si>
    <t>6-5,低时延</t>
  </si>
  <si>
    <t>工具链升级（多分区）</t>
  </si>
  <si>
    <t>预研, 疑难问题，网上问题响应</t>
  </si>
  <si>
    <t>路由</t>
  </si>
  <si>
    <t>过载保护</t>
  </si>
  <si>
    <t>dpdk后备（待定）</t>
  </si>
  <si>
    <t>方子健</t>
  </si>
  <si>
    <t>主线TSE、质量看护</t>
  </si>
  <si>
    <t>效能，自动化</t>
  </si>
  <si>
    <t>效能改进</t>
  </si>
  <si>
    <t>APPD、FPGA、DPDJ、API、内核、工具链、预研</t>
  </si>
  <si>
    <t>RAT</t>
  </si>
  <si>
    <t>预研,ssl性能优化</t>
  </si>
  <si>
    <t>M</t>
  </si>
  <si>
    <t>全面敏捷、大金融、大企业、组织梯队建设</t>
  </si>
  <si>
    <t>敏捷变革管理</t>
  </si>
  <si>
    <t>测试左移、自动化、工具平台维护</t>
  </si>
  <si>
    <t>UI，chl</t>
  </si>
  <si>
    <t>开发人力</t>
  </si>
  <si>
    <t>周期</t>
  </si>
  <si>
    <t>7026R1</t>
  </si>
  <si>
    <t>已预发布，2023-3月</t>
  </si>
  <si>
    <t>2022-02月-2023-4月</t>
  </si>
  <si>
    <t>算上3个TL</t>
  </si>
  <si>
    <t>2022-4月-2023-7月</t>
  </si>
  <si>
    <t>长期</t>
  </si>
  <si>
    <t>2022-12月-2023-2月</t>
  </si>
  <si>
    <t>包括TL，长期技术规划预研</t>
  </si>
  <si>
    <t>总</t>
  </si>
  <si>
    <t>测试人力</t>
  </si>
  <si>
    <t>2022-12月-2023-3月</t>
  </si>
  <si>
    <t>2022-12月-2023-6月</t>
  </si>
  <si>
    <t xml:space="preserve">2022-4月-2023-7月 </t>
  </si>
  <si>
    <t>效能</t>
  </si>
  <si>
    <t>2023-1月-2023-4月</t>
  </si>
  <si>
    <t>2023-1月-2023-4月，护网+外部POC支撑</t>
  </si>
  <si>
    <t>技术预研验收</t>
  </si>
  <si>
    <t>子方向目标投入</t>
  </si>
  <si>
    <t>替换F5</t>
  </si>
  <si>
    <t>默认参数对齐</t>
  </si>
  <si>
    <t>f5配置转换</t>
  </si>
  <si>
    <t>低延时优化</t>
  </si>
  <si>
    <t>irule支持（HTTP，TCP）</t>
  </si>
  <si>
    <t>SSLO二层</t>
  </si>
  <si>
    <t>运维排障优化</t>
  </si>
  <si>
    <t>技术债</t>
  </si>
  <si>
    <t>定制削减</t>
  </si>
  <si>
    <t>AD7.0.26R2EN</t>
  </si>
  <si>
    <t>海外市场</t>
  </si>
  <si>
    <t>宝马香港</t>
  </si>
  <si>
    <t>技术预研
友商分析</t>
  </si>
  <si>
    <t>配置大容量</t>
  </si>
  <si>
    <t>SSL高性能（商密&amp;国密）</t>
  </si>
  <si>
    <t>FPGA</t>
  </si>
  <si>
    <t>C3000（交换芯片）</t>
  </si>
  <si>
    <t>F5分析</t>
  </si>
  <si>
    <t>迪普分析</t>
  </si>
  <si>
    <t>可信token</t>
  </si>
  <si>
    <t>KA定制</t>
  </si>
  <si>
    <t>正在投入
建设银行信创负载（2024.6）--正在测试
交行 708系列 曙光GA220 /GA320--已做完，待测试
中国银联信总-命令行对接（2024.5）
中国移动入围华为鲲鹏适配（2024.6）
广发定制（TOA透传）（2024.5）
中储粮SSLO定制(二期)（2024.6）
OGCIO SNI扩容到1000或者1500（2024.6）
CNAD持续
待投入--6月
兴业银行框架标(扩容)，中信POC入围（8月）
华为AD替换F5定制补丁（多租户优化）
移动POC入围（6月中下旬标前）</t>
  </si>
  <si>
    <t>覆盖性市场定制</t>
  </si>
  <si>
    <t>质量运营(安全/工具/硬件巡检）</t>
  </si>
  <si>
    <t>(安全/工具/硬件巡检）</t>
  </si>
  <si>
    <t>余杰w</t>
  </si>
  <si>
    <t>SP护网补丁，SP质量补丁，
硬件ECN变更，
acheck巡检/软硬件巡检能力（长期）</t>
  </si>
  <si>
    <t>测试(定制+质量)</t>
  </si>
  <si>
    <t>集群</t>
  </si>
  <si>
    <t>DPU版本</t>
  </si>
  <si>
    <t>NA</t>
  </si>
  <si>
    <t>四七层吞吐性能优化(LRO/GSO) 、集群手动同步</t>
  </si>
  <si>
    <t>预研-CPU过载</t>
  </si>
  <si>
    <t>OK</t>
  </si>
  <si>
    <t>C3000平台(硬件导入类)</t>
  </si>
  <si>
    <t>浪潮定制ARP代理</t>
  </si>
  <si>
    <t>SSLO反代</t>
  </si>
  <si>
    <t>7026R3/预研-SSLO反代</t>
  </si>
  <si>
    <t>预研-大容量</t>
  </si>
  <si>
    <t>彭文弈</t>
  </si>
  <si>
    <t>业务效果一致(Profile行为一致性、usleep低延时改进)</t>
  </si>
  <si>
    <t>sslbypass定制补丁</t>
  </si>
  <si>
    <t>云化小组</t>
  </si>
  <si>
    <t>AD云化
多主集群</t>
  </si>
  <si>
    <t>AD云化
AD容器化预研</t>
  </si>
  <si>
    <t>云化/VAD+多主集群</t>
  </si>
  <si>
    <t>多主集群</t>
  </si>
  <si>
    <t>AD云化
API性能预研</t>
  </si>
  <si>
    <t>AD云化
拓展API</t>
  </si>
  <si>
    <t>云化/拓展API</t>
  </si>
  <si>
    <t>扩容API</t>
  </si>
  <si>
    <t>AD云化
PAASAD标准化</t>
  </si>
  <si>
    <t>AD云化PAASAD标准化</t>
  </si>
  <si>
    <t>云化/PAASAD+CNAD</t>
  </si>
  <si>
    <t>国泰君安定制</t>
  </si>
  <si>
    <t>AD云化
VAD标准化</t>
  </si>
  <si>
    <t>云化/VAD</t>
  </si>
  <si>
    <t>平台识别和授权识</t>
  </si>
  <si>
    <t>产线</t>
  </si>
  <si>
    <t>方向</t>
  </si>
  <si>
    <t>版本号</t>
  </si>
  <si>
    <t>关键价值</t>
  </si>
  <si>
    <t>项目里程碑计划</t>
  </si>
  <si>
    <t>变更</t>
  </si>
  <si>
    <t>整体进展概述</t>
  </si>
  <si>
    <t>关键风险和举措</t>
  </si>
  <si>
    <t>责任人</t>
  </si>
  <si>
    <t>预研项和进展</t>
  </si>
  <si>
    <t>BP解码进展</t>
  </si>
  <si>
    <t>DCP2价值立项进展</t>
  </si>
  <si>
    <t>TR3进展</t>
  </si>
  <si>
    <t>DCP3项目计划进展</t>
  </si>
  <si>
    <t>TR5-A进展</t>
  </si>
  <si>
    <t>TR6进展</t>
  </si>
  <si>
    <t>DCP4 Beta发布进展</t>
  </si>
  <si>
    <t>DCP5 上市进展</t>
  </si>
  <si>
    <t>DCP6 默认发货进展</t>
  </si>
  <si>
    <t>应用交付产品研发部</t>
  </si>
  <si>
    <t>一、保硬件供应
1、网讯网卡支持
2、P5000国密网关型号导入
二、性价比和硬件质量提升
1、自研FT D2000 8核平台导入
2、FT2000 4核平台导入（1500a停产）
3、SSL新建/吞吐性能优化（国密/非国密）
4、GA410吞吐优化和延时优化
三、客户交付和POC
1、工商银行P5000平台适配及剩余功能主线化：
2、建设银行POC运维相关功能补齐
四、合入Platos1.3系统
1、合入平台部Platos1.3系统，建设通用的硬件导入、自主国产化的系统能力（工具链升级、dpdk升级）</t>
  </si>
  <si>
    <t>DCP过点的里程碑计划
DCP2（价值立项）：2022.12.09
DCP3(计划决策)：2023.2.16
DCP4（预发布）：2023.11.17
DCP5（小批量上市）：2023.12.30
DCP6（正式上市）：2024.1.30
新增需求/护网/入围大项目等影响：变更电子流
DCP4（预发布）：2024.02.29
宕机问题影响估计DCP4（预发布）：2024.03.29</t>
  </si>
  <si>
    <t>产线：陆树军</t>
  </si>
  <si>
    <t>2023年已完成（NA）</t>
  </si>
  <si>
    <t>完成
已组织评审；IPD电子流已走完</t>
  </si>
  <si>
    <t>完成</t>
  </si>
  <si>
    <t>完成（4.28）</t>
  </si>
  <si>
    <t>进行中</t>
  </si>
  <si>
    <t>AD7.0.28（战略）</t>
  </si>
  <si>
    <t>[F5替换]
1、F5默认参数对齐
2、F5配置转换工具优化，扩大F5版本等
3、F5 irules兼容支持[HTTP类和TCP类]
4、相关对比报告输出(F5和友商)
5、低时延，大容量(3w)
[运维体验对齐]-KA 24小时排障，90%的问题一次性信息获取，向前覆盖708R和7026R
1、黑盒优化和离线巡检，对齐F5
2、设备强制offline
3、命令行简化，对齐F5
4、光衰统计等
5、SNAT端口使用率预警，对齐F5
6、太平等客户共性运维诉求_抓包优化对齐F5
[性能优化]
1、SSL吞吐性能提升
2、国密性能提升
[稳定性可视]
1、故障隔离(ECC内存、PCIE和网卡故障、硬盘)
2、硬件组件监控完善（RAS）
[信创增强]
1、研华兆芯6780A
2、研华5/7系
[SSLO优化]
1、SSLO二层接入
[VAD标准化]
1、X86和arm版本 //需要和HCI对接</t>
  </si>
  <si>
    <t>DCP2（价值立项）：2024.04.07
DCP3(计划决策)：2024.04.30
DCP4（预发布）：2024.07.15
DCP5（小批量上市）：2024.09.15
预计：
DCP3(计划决策)：2024.5.15</t>
  </si>
  <si>
    <t>无</t>
  </si>
  <si>
    <t>已完成
4-7号下午线下立项评审通过</t>
  </si>
  <si>
    <t>优先级</t>
  </si>
  <si>
    <t>当前阶段</t>
  </si>
  <si>
    <t>计划发布</t>
  </si>
  <si>
    <t>01月份</t>
  </si>
  <si>
    <t>02月份</t>
  </si>
  <si>
    <t>03月份</t>
  </si>
  <si>
    <t>04月份</t>
  </si>
  <si>
    <t>05月份</t>
  </si>
  <si>
    <t>06月份</t>
  </si>
  <si>
    <t>07月份</t>
  </si>
  <si>
    <t>08月份</t>
  </si>
  <si>
    <t>09月份</t>
  </si>
  <si>
    <t>10月份</t>
  </si>
  <si>
    <t>11月份</t>
  </si>
  <si>
    <t>负责人</t>
  </si>
  <si>
    <t>项目进展概述</t>
  </si>
  <si>
    <t>关键风险&amp;路径</t>
  </si>
  <si>
    <t>举措&amp;跟踪进展</t>
  </si>
  <si>
    <t>AD7.0.26R1</t>
  </si>
  <si>
    <t>正式</t>
  </si>
  <si>
    <t>高</t>
  </si>
  <si>
    <t>已发布</t>
  </si>
  <si>
    <t>5月15日</t>
  </si>
  <si>
    <t>5月19已正式发布</t>
  </si>
  <si>
    <t>低</t>
  </si>
  <si>
    <t>需求</t>
  </si>
  <si>
    <t>未启动</t>
  </si>
  <si>
    <t>暂定，待规划</t>
  </si>
  <si>
    <t>需求阶段，cssp合入，oscp，研华硬件导入</t>
  </si>
  <si>
    <t>编码联调</t>
  </si>
  <si>
    <t>08月31</t>
  </si>
  <si>
    <t xml:space="preserve">
关键价值：
1、合入Platos1.3系统，工具链+dpdk升级
2、GA410吞吐优化
3、P5000硬件导入、全平台网讯网卡支持 
4、ARM新导入平台支持D2000等
</t>
  </si>
  <si>
    <t>详见周报
https://docs.atrust.sangfor.com/pages/viewpage.action?pageId=273336281</t>
  </si>
  <si>
    <t>同左</t>
  </si>
  <si>
    <t>中</t>
  </si>
  <si>
    <t>关键预研项ssl高性能，API性能优化，网卡检测等</t>
  </si>
  <si>
    <t>1，计划8月开始立项，目前看研发测的人员到位风险比较大，需求池需求还没投入RAT拆解，特别是信创硬件可靠性
2,国密 ECC-SM4-SM3 算法套件加密方向硬件卸载已调通，目前测出来的国密吞吐性能大于 18Gbps ，相比优化前的 6.6Gbps ，提升了 2 倍以上，此时 P5000 cpu 占用在 50% 出头，并未跑满压力（前端加密设备 cpu 已满）。</t>
  </si>
  <si>
    <t>1，每周例行7028例会，对齐需求及预研排期风险</t>
  </si>
  <si>
    <t>护网补丁/质量补丁</t>
  </si>
  <si>
    <t>补丁</t>
  </si>
  <si>
    <t>重保计划中
质量补丁验收</t>
  </si>
  <si>
    <t>定制项目--华为移动入围</t>
  </si>
  <si>
    <t>5月15</t>
  </si>
  <si>
    <t>陈红伟</t>
  </si>
  <si>
    <t>测试进行中，cg和zq出差</t>
  </si>
  <si>
    <t>定制项目--东方航空</t>
  </si>
  <si>
    <t>7月28</t>
  </si>
  <si>
    <t>测试进行中</t>
  </si>
  <si>
    <t>定制项目--邮储自动化对接</t>
  </si>
  <si>
    <t>定制项目--北京PAASAD定制</t>
  </si>
  <si>
    <t>其他外部POC支撑</t>
  </si>
  <si>
    <t>外部支撑</t>
  </si>
  <si>
    <t>预研（RAT）</t>
  </si>
  <si>
    <t xml:space="preserve">商密国密性能提升优化预研
</t>
  </si>
  <si>
    <t>盘古：
1、方鹏斌（SSLO二层方案）-7月上旬完成编码自测</t>
  </si>
  <si>
    <t>嘲风：
API缓存设计、代码梳理（为后续API性能优化做准备）</t>
  </si>
  <si>
    <t>白泽：
1、吴广华（集群手动同步方案）--暂停</t>
  </si>
  <si>
    <t>效能质量组</t>
  </si>
  <si>
    <t>1、用例责任田制度落地的统计功能进展滞后
2、外置设备构建自动化效率问题
3、升级流水线在部分版本会出现后台无法启用的问题</t>
  </si>
  <si>
    <t>1、保证人力投入
2、梳理记录问题解决
3、解决bug</t>
  </si>
  <si>
    <t>当前人力</t>
  </si>
  <si>
    <t>人员缺口</t>
  </si>
  <si>
    <r>
      <rPr>
        <rFont val="宋体"/>
        <b val="false"/>
        <i val="false"/>
        <strike val="false"/>
        <color rgb="FF267EF0"/>
        <sz val="11"/>
        <u/>
      </rPr>
      <t xml:space="preserve"> 更新-交换机部门2026年AICoding计划.htm</t>
    </r>
  </si>
  <si>
    <r>
      <rPr>
        <rFont val="等线"/>
        <charset val="134"/>
        <color rgb="FF000000"/>
        <sz val="10"/>
      </rPr>
      <t xml:space="preserve">国产化超融合：
1，NS6820，E2000Q+CTC8120
    NS6820-56CQ-EI-48X 48万兆光+8个100G光
    NS6820-56CQ-EI-48V 48个25G光+8个100G光
2，协议 </t>
    </r>
    <r>
      <rPr>
        <rFont val="等线"/>
        <charset val="134"/>
        <b val="true"/>
        <color rgb="FF000000"/>
        <sz val="10"/>
      </rPr>
      <t xml:space="preserve">ECN/PFC  
</t>
    </r>
    <r>
      <rPr>
        <rFont val="等线"/>
        <charset val="134"/>
        <b val="true"/>
        <color rgb="FFFF0000"/>
        <sz val="10"/>
      </rPr>
      <t>(超融合软件版本，NS6820默认发超融合版本， 有需要的按需升级价值版本)</t>
    </r>
  </si>
  <si>
    <r>
      <rPr>
        <rFont val="等线"/>
        <charset val="134"/>
        <color theme="1"/>
        <sz val="11"/>
        <scheme val="minor"/>
      </rPr>
      <t>质量版本：
8 板卡ROCE ，芯片支持的都做</t>
    </r>
    <r>
      <rPr>
        <rFont val="等线"/>
        <charset val="134"/>
        <color rgb="FFFF0000"/>
        <sz val="11"/>
        <scheme val="minor"/>
      </rPr>
      <t>--优先级调到最高-2025.12.1更新</t>
    </r>
    <r>
      <rPr>
        <rFont val="等线"/>
        <charset val="134"/>
        <color theme="1"/>
        <sz val="11"/>
        <scheme val="minor"/>
      </rPr>
      <t xml:space="preserve">
1 健壮性方案 ,
2 交换机组件补丁升级
3 堆叠心跳、优先级逻辑优化
4 版本问题
5 框升级问题
6 架构优化
7 稳定性bug，定制合入</t>
    </r>
  </si>
  <si>
    <r>
      <rPr>
        <rFont val="SimSun"/>
        <charset val="134"/>
        <b val="true"/>
        <color rgb="FF000000"/>
        <sz val="10"/>
      </rPr>
      <t>雷斌亭</t>
    </r>
  </si>
  <si>
    <r>
      <rPr>
        <rFont val="SimSun"/>
        <charset val="134"/>
        <color rgb="FF000000"/>
        <sz val="10"/>
      </rPr>
      <t>刘都都</t>
    </r>
  </si>
  <si>
    <r>
      <rPr>
        <rFont val="SimSun"/>
        <charset val="134"/>
        <color rgb="FF000000"/>
        <sz val="10"/>
      </rPr>
      <t>郑泳</t>
    </r>
  </si>
  <si>
    <r>
      <rPr>
        <rFont val="SimSun"/>
        <charset val="134"/>
        <color rgb="FF000000"/>
        <sz val="10"/>
      </rPr>
      <t>王辉光</t>
    </r>
  </si>
  <si>
    <r>
      <rPr>
        <rFont val="SimSun"/>
        <charset val="134"/>
        <color rgb="FF000000"/>
        <sz val="10"/>
      </rPr>
      <t>彭文奕</t>
    </r>
  </si>
  <si>
    <r>
      <rPr>
        <rFont val="SimSun"/>
        <charset val="134"/>
        <color rgb="FF000000"/>
        <sz val="10"/>
      </rPr>
      <t>王鸿奇</t>
    </r>
  </si>
  <si>
    <r>
      <rPr>
        <rFont val="SimSun"/>
        <charset val="134"/>
        <color rgb="FF000000"/>
        <sz val="10"/>
      </rPr>
      <t>张祺</t>
    </r>
  </si>
  <si>
    <r>
      <rPr>
        <rFont val="SimSun"/>
        <charset val="134"/>
        <b val="true"/>
        <color rgb="FF000000"/>
        <sz val="11"/>
      </rPr>
      <t>岗位</t>
    </r>
  </si>
  <si>
    <r>
      <rPr>
        <rFont val="SimSun"/>
        <charset val="134"/>
        <b val="true"/>
        <color rgb="FF000000"/>
        <sz val="11"/>
      </rPr>
      <t>8月</t>
    </r>
  </si>
  <si>
    <r>
      <rPr>
        <rFont val="SimSun"/>
        <charset val="134"/>
        <b val="true"/>
        <color rgb="FF000000"/>
        <sz val="11"/>
      </rPr>
      <t>9月</t>
    </r>
  </si>
  <si>
    <r>
      <rPr>
        <rFont val="SimSun"/>
        <charset val="134"/>
        <b val="true"/>
        <color rgb="FF000000"/>
        <sz val="11"/>
      </rPr>
      <t>10月</t>
    </r>
  </si>
  <si>
    <r>
      <rPr>
        <rFont val="SimSun"/>
        <charset val="134"/>
        <b val="true"/>
        <color rgb="FF000000"/>
        <sz val="11"/>
      </rPr>
      <t>11月（中）</t>
    </r>
  </si>
  <si>
    <r>
      <rPr>
        <rFont val="SimSun"/>
        <charset val="134"/>
        <b val="true"/>
        <color rgb="FF000000"/>
        <sz val="11"/>
      </rPr>
      <t>11月底</t>
    </r>
  </si>
  <si>
    <r>
      <rPr>
        <rFont val="SimSun"/>
        <charset val="134"/>
        <color rgb="FF000000"/>
        <sz val="10"/>
      </rPr>
      <t>定制项目</t>
    </r>
  </si>
  <si>
    <r>
      <rPr>
        <rFont val="SimSun"/>
        <charset val="134"/>
        <color rgb="FF000000"/>
        <sz val="10"/>
      </rPr>
      <t>徐瑞准</t>
    </r>
  </si>
  <si>
    <r>
      <rPr>
        <rFont val="SimSun"/>
        <charset val="134"/>
        <color rgb="FF000000"/>
        <sz val="10"/>
      </rPr>
      <t>方子健</t>
    </r>
  </si>
  <si>
    <r>
      <rPr>
        <rFont val="SimSun"/>
        <charset val="134"/>
        <color rgb="FF000000"/>
        <sz val="10"/>
      </rPr>
      <t>7026R2</t>
    </r>
  </si>
  <si>
    <r>
      <rPr>
        <rFont val="SimSun"/>
        <charset val="134"/>
        <color rgb="FF000000"/>
        <sz val="10"/>
      </rPr>
      <t>/</t>
    </r>
  </si>
  <si>
    <r>
      <rPr>
        <rFont val="微软雅黑"/>
        <charset val="134"/>
        <color rgb="FF000000"/>
        <sz val="10"/>
      </rPr>
      <t>堆叠管理
框架构：</t>
    </r>
    <r>
      <rPr>
        <rFont val="等线"/>
        <charset val="134"/>
        <color rgb="FF000000"/>
        <sz val="10"/>
        <scheme val="minor"/>
      </rPr>
      <t>DTM、DM、帧通路、knet</t>
    </r>
    <r>
      <rPr>
        <rFont val="微软雅黑"/>
        <charset val="134"/>
        <color rgb="FF000000"/>
        <sz val="10"/>
      </rPr>
      <t xml:space="preserve">
ovsdb架构管理
arp、mac管理同步
wns-nsl适配层
带外管理
协议帧管理
mlag
聚合、负载
高可用
等</t>
    </r>
  </si>
  <si>
    <r>
      <rPr>
        <rFont val="Microsoft YaHei"/>
        <charset val="134"/>
        <color rgb="FF000000"/>
        <sz val="8"/>
      </rPr>
      <t>变更至2月29</t>
    </r>
    <r>
      <rPr>
        <rFont val="Microsoft YaHei"/>
        <charset val="134"/>
        <color rgb="FF267EF0"/>
        <sz val="8"/>
        <u/>
      </rPr>
      <t xml:space="preserve">
https://itsm.atrust.sangfor.com/#/ticket/detail?id=64544&amp;from=myCreatedTicket&amp;project_id=0</t>
    </r>
    <r>
      <rPr>
        <rFont val="宋体"/>
        <charset val="134"/>
        <color rgb="FF267EF0"/>
        <sz val="8"/>
        <u/>
      </rPr>
      <t xml:space="preserve">
https://itsm.atrust.sangfor.com/itsm/#/ticket/detail?id=74220</t>
    </r>
  </si>
  <si>
    <r>
      <rPr>
        <rFont val="Microsoft YaHei"/>
        <charset val="134"/>
        <color rgb="FF000000"/>
        <sz val="8"/>
      </rPr>
      <t xml:space="preserve">1、 项目当前进展：
</t>
    </r>
    <r>
      <rPr>
        <rFont val="Microsoft YaHei"/>
        <charset val="134"/>
        <b val="true"/>
        <color rgb="FFFF0000"/>
        <sz val="8"/>
      </rPr>
      <t>已经dcp4-beta发布</t>
    </r>
    <r>
      <rPr>
        <rFont val="Microsoft YaHei"/>
        <charset val="134"/>
        <color rgb="FF000000"/>
        <sz val="8"/>
      </rPr>
      <t xml:space="preserve">
2、关键价值进展：新功能价值基本已完成测试及收敛，无风险；
3、关键质量保障：beta计划的执行
4、 跨部门协作项：无
5、变更：已走2次变更
6、人员投入：开发(16人)、测试(5人)；</t>
    </r>
    <r>
      <rPr>
        <rFont val="Microsoft YaHei"/>
        <charset val="134"/>
        <color rgb="FFFF0000"/>
        <sz val="8"/>
      </rPr>
      <t>人员投入抽调较多，新增需求/护网/入围大项目等影响</t>
    </r>
  </si>
  <si>
    <r>
      <rPr>
        <rFont val="Microsoft YaHei"/>
        <charset val="134"/>
        <color rgb="FF000000"/>
        <sz val="8"/>
      </rPr>
      <t xml:space="preserve">【跨部门协作】
</t>
    </r>
    <r>
      <rPr>
        <rFont val="Microsoft YaHei"/>
        <charset val="134"/>
        <b val="true"/>
        <color rgb="FFFF0000"/>
        <sz val="8"/>
      </rPr>
      <t>在beta开局期间，需导入新硬件平台研华P5000、兆芯），可能存在质量和进度风险。</t>
    </r>
    <r>
      <rPr>
        <rFont val="Microsoft YaHei"/>
        <charset val="134"/>
        <color rgb="FF000000"/>
        <sz val="8"/>
      </rPr>
      <t xml:space="preserve">
-举措：
1、出补丁支持新硬件型号；
2、与项目管理部和测试中心提前备案，申请延长beta周期</t>
    </r>
  </si>
  <si>
    <r>
      <rPr>
        <rFont val="Microsoft YaHei"/>
        <charset val="134"/>
        <color rgb="FF000000"/>
        <sz val="8"/>
      </rPr>
      <t>1、 项目当前进展：已完成</t>
    </r>
    <r>
      <rPr>
        <rFont val="Microsoft YaHei"/>
        <charset val="134"/>
        <b val="true"/>
        <color rgb="FFFF0000"/>
        <sz val="8"/>
      </rPr>
      <t>DCP2立项，当前系统需求&amp;设计阶段TR2~TR3，DCP3计划在5-15完成；</t>
    </r>
    <r>
      <rPr>
        <rFont val="Microsoft YaHei"/>
        <charset val="134"/>
        <color rgb="FF000000"/>
        <sz val="8"/>
      </rPr>
      <t xml:space="preserve">
2、关键价值进展：系统需求拆解中
3、关键质量保障：版本缺陷预防计划制定及评审
4、 跨部门协作项：已完成跨部门需求基线握手，并且在立项前完成流程研讨达成共识
5、变更：无变更
6、人员投入：开发(10人)、测试(2人)</t>
    </r>
  </si>
  <si>
    <r>
      <rPr>
        <rFont val="Microsoft YaHei"/>
        <charset val="134"/>
        <b val="true"/>
        <color rgb="FF000000"/>
        <sz val="8"/>
      </rPr>
      <t xml:space="preserve">【进度风险】
</t>
    </r>
    <r>
      <rPr>
        <rFont val="Microsoft YaHei"/>
        <charset val="134"/>
        <b val="true"/>
        <color rgb="FFFF0000"/>
        <sz val="8"/>
      </rPr>
      <t>部分关键模块人员投入晚，拆解+缺陷预防工作量估算偏差以及人员抽调，可能影响到28项目计划调整。</t>
    </r>
    <r>
      <rPr>
        <rFont val="Microsoft YaHei"/>
        <charset val="134"/>
        <b val="true"/>
        <color rgb="FF000000"/>
        <sz val="8"/>
      </rPr>
      <t xml:space="preserve">
-举措：核心模块的需求拆解完成后，根据实际工作量估算，再上平台梳理计划，并与BG及立项团队沟通。
【技术/质量风险】
</t>
    </r>
    <r>
      <rPr>
        <rFont val="Microsoft YaHei"/>
        <charset val="134"/>
        <b val="true"/>
        <color rgb="FFFF0000"/>
        <sz val="8"/>
      </rPr>
      <t>SSL性能优化模块，转测较晚，目前估算要到6.10号左右转测，且质量风险比较大。</t>
    </r>
    <r>
      <rPr>
        <rFont val="Microsoft YaHei"/>
        <charset val="134"/>
        <b val="true"/>
        <color rgb="FF000000"/>
        <sz val="8"/>
      </rPr>
      <t xml:space="preserve">
-措施：和BG对齐需求基线，梳理模块剩余工作量以及改动列表，制定详细缺陷预防计划，架构师重点参与，测试人员提前介入等措施保证模块质量</t>
    </r>
  </si>
  <si>
    <r>
      <rPr>
        <rFont val="Microsoft YaHei"/>
        <charset val="134"/>
        <color rgb="FF000000"/>
        <sz val="8"/>
      </rPr>
      <t>1、SSL高性能（国密&amp;商密）已完成预研； 部分信创国密信号的商密和国密吞吐，距离农行POC要求有一定差距，是否合入非信创已有的性能优化价值先在7028推出（BG还在决策）
2、SSLO二层已完成预研
3、低时延已完成预研
4、</t>
    </r>
    <r>
      <rPr>
        <rFont val="Microsoft YaHei"/>
        <charset val="134"/>
        <color rgb="FFFF0000"/>
        <sz val="8"/>
      </rPr>
      <t>大容量及F5兼容报告这2个需求在28版本不承诺，所对应的预研项尚未完成</t>
    </r>
  </si>
</sst>
</file>

<file path=xl/styles.xml><?xml version="1.0" encoding="utf-8"?>
<styleSheet xmlns="http://schemas.openxmlformats.org/spreadsheetml/2006/main">
  <numFmts count="12">
    <numFmt numFmtId="300" formatCode="0.00_);[Red]\(0.00\)"/>
    <numFmt numFmtId="301" formatCode="0_);[Red]\(0\)"/>
    <numFmt numFmtId="302" formatCode="0_ "/>
    <numFmt numFmtId="303" formatCode="m&quot;月&quot;d&quot;日&quot;;@"/>
    <numFmt numFmtId="304" formatCode="#,##0.00_ "/>
    <numFmt numFmtId="305" formatCode="0.0_);[Red]\(0.0\)"/>
    <numFmt numFmtId="306" formatCode="General"/>
    <numFmt numFmtId="307" formatCode="_ &quot;￥&quot;* #,##0_ ;_ &quot;￥&quot;* \-#,##0_ ;_ &quot;￥&quot;* &quot;-&quot;_ ;_ @_ "/>
    <numFmt numFmtId="308" formatCode="_ * #,##0.00_ ;_ * \-#,##0.00_ ;_ * &quot;-&quot;??_ ;_ @_ "/>
    <numFmt numFmtId="309" formatCode="_ * #,##0_ ;_ * \-#,##0_ ;_ * &quot;-&quot;_ ;_ @_ "/>
    <numFmt numFmtId="310" formatCode="_ &quot;￥&quot;* #,##0.00_ ;_ &quot;￥&quot;* \-#,##0.00_ ;_ &quot;￥&quot;* &quot;-&quot;??_ ;_ @_ "/>
    <numFmt numFmtId="311" formatCode="0%"/>
  </numFmts>
  <fonts count="72">
    <font>
      <name val="宋体"/>
      <charset val="134"/>
      <color theme="1"/>
      <sz val="11"/>
      <scheme val="minor"/>
    </font>
    <font>
      <name val="等线"/>
      <charset val="134"/>
      <color rgb="FF175CEB"/>
      <sz val="10"/>
      <u/>
      <scheme val="minor"/>
    </font>
    <font>
      <name val="Segoe UI Symbol"/>
      <family val="2"/>
      <color rgb="FF000000"/>
      <sz val="10"/>
    </font>
    <font>
      <name val="宋体"/>
      <charset val="134"/>
      <b val="true"/>
      <color theme="1"/>
      <sz val="16"/>
      <scheme val="minor"/>
    </font>
    <font>
      <name val="宋体"/>
      <charset val="134"/>
      <b val="true"/>
      <color theme="1"/>
      <sz val="11"/>
      <scheme val="minor"/>
    </font>
    <font>
      <name val="宋体"/>
    </font>
    <font>
      <name val="SimSun"/>
    </font>
    <font>
      <name val="SimSun"/>
    </font>
    <font>
      <name val="宋体"/>
      <charset val="134"/>
      <b val="true"/>
      <color theme="1"/>
      <sz val="11"/>
    </font>
    <font>
      <name val="宋体"/>
      <charset val="0"/>
      <color rgb="FF800080"/>
      <sz val="10"/>
      <scheme val="minor"/>
    </font>
    <font>
      <name val="宋体"/>
      <charset val="134"/>
      <b val="true"/>
      <sz val="11"/>
    </font>
    <font>
      <name val="宋体"/>
      <charset val="134"/>
      <sz val="11"/>
    </font>
    <font>
      <name val="等线"/>
      <charset val="134"/>
      <color rgb="FF000000"/>
      <sz val="10"/>
      <scheme val="minor"/>
    </font>
    <font>
      <name val="SimSun"/>
      <charset val="134"/>
      <b val="true"/>
      <sz val="11"/>
    </font>
    <font>
      <name val="SimSun"/>
      <charset val="134"/>
      <b val="true"/>
      <color rgb="FF000000"/>
      <sz val="11"/>
    </font>
    <font>
      <name val="宋体"/>
      <charset val="134"/>
      <b val="true"/>
      <sz val="10"/>
    </font>
    <font>
      <name val="宋体"/>
      <charset val="134"/>
      <sz val="10"/>
    </font>
    <font>
      <name val="SimSun"/>
      <charset val="134"/>
      <sz val="10"/>
    </font>
    <font>
      <name val="SimSun"/>
      <charset val="134"/>
      <sz val="11"/>
    </font>
    <font>
      <name val="SimSun"/>
      <charset val="134"/>
      <color rgb="FF000000"/>
      <sz val="10"/>
    </font>
    <font>
      <name val="等线"/>
      <charset val="134"/>
      <sz val="10"/>
      <scheme val="minor"/>
    </font>
    <font>
      <name val="SimSun"/>
      <charset val="134"/>
      <b val="true"/>
      <color rgb="FF000000"/>
      <sz val="10"/>
    </font>
    <font>
      <name val="SimSun"/>
      <charset val="134"/>
      <b val="true"/>
      <sz val="10"/>
    </font>
    <font>
      <name val="宋体"/>
      <charset val="134"/>
      <color indexed="8"/>
      <sz val="9"/>
    </font>
    <font>
      <name val="宋体"/>
      <charset val="134"/>
      <color rgb="FFFF0000"/>
      <sz val="12"/>
    </font>
    <font>
      <name val="宋体"/>
      <charset val="134"/>
      <sz val="12"/>
    </font>
    <font>
      <name val="等线"/>
      <charset val="134"/>
      <sz val="11"/>
    </font>
    <font>
      <name val="等线"/>
      <charset val="134"/>
      <sz val="10"/>
    </font>
    <font>
      <name val="宋体"/>
      <charset val="134"/>
      <b val="true"/>
      <color rgb="FFFF0000"/>
      <sz val="11"/>
    </font>
    <font>
      <name val="SimSun"/>
      <charset val="134"/>
      <b val="true"/>
      <color rgb="FFFF0000"/>
      <sz val="10"/>
    </font>
    <font>
      <name val="宋体"/>
      <charset val="134"/>
      <b val="true"/>
      <color rgb="FFFF0000"/>
      <sz val="10"/>
    </font>
    <font>
      <name val="等线"/>
      <charset val="134"/>
      <b val="true"/>
      <sz val="10"/>
    </font>
    <font>
      <name val="等线"/>
      <charset val="134"/>
      <color rgb="FF000000"/>
      <sz val="10"/>
    </font>
    <font>
      <name val="等线"/>
      <charset val="134"/>
      <color theme="1"/>
      <sz val="11"/>
      <scheme val="minor"/>
    </font>
    <font>
      <name val="等线"/>
      <charset val="134"/>
      <sz val="11"/>
      <scheme val="minor"/>
    </font>
    <font>
      <name val="SimSun"/>
      <charset val="134"/>
      <color rgb="FF000000"/>
      <sz val="11"/>
    </font>
    <font>
      <name val="宋体"/>
      <charset val="134"/>
      <color rgb="FF000000"/>
      <sz val="10"/>
    </font>
    <font>
      <name val="微软雅黑"/>
      <charset val="134"/>
      <color rgb="FF000000"/>
      <sz val="10"/>
    </font>
    <font>
      <name val="微软雅黑"/>
      <charset val="134"/>
      <color rgb="FF800080"/>
      <sz val="10"/>
    </font>
    <font>
      <name val="等线"/>
      <charset val="134"/>
      <color rgb="FFFF0000"/>
      <sz val="10"/>
      <scheme val="minor"/>
    </font>
    <font>
      <name val="宋体"/>
      <charset val="134"/>
      <strike val="true"/>
      <sz val="10"/>
    </font>
    <font>
      <name val="等线"/>
      <charset val="134"/>
      <strike val="true"/>
      <sz val="10"/>
      <scheme val="minor"/>
    </font>
    <font>
      <name val="微软雅黑"/>
      <charset val="134"/>
      <sz val="11"/>
    </font>
    <font>
      <name val="Calibri"/>
      <charset val="134"/>
      <sz val="11"/>
    </font>
    <font>
      <name val="Microsoft YaHei"/>
      <charset val="134"/>
      <b val="true"/>
      <sz val="8"/>
    </font>
    <font>
      <name val="Microsoft YaHei"/>
      <charset val="134"/>
      <sz val="8"/>
    </font>
    <font>
      <name val="Microsoft YaHei"/>
      <charset val="134"/>
      <color rgb="FFFF0000"/>
      <sz val="8"/>
    </font>
    <font>
      <name val="Microsoft YaHei"/>
      <charset val="134"/>
      <sz val="12"/>
    </font>
    <font>
      <name val="SimSun"/>
      <charset val="134"/>
      <sz val="12"/>
    </font>
    <font>
      <name val="Microsoft YaHei"/>
      <charset val="134"/>
      <b val="true"/>
      <sz val="12"/>
    </font>
    <font>
      <name val="SimSun"/>
      <charset val="134"/>
      <color rgb="FF000000"/>
      <sz val="12"/>
    </font>
    <font>
      <name val="Microsoft YaHei"/>
      <charset val="134"/>
      <color rgb="FF000000"/>
      <sz val="12"/>
    </font>
    <font>
      <name val="宋体"/>
      <charset val="134"/>
      <color theme="1"/>
      <sz val="11"/>
      <scheme val="minor"/>
    </font>
    <font>
      <name val="宋体"/>
      <charset val="0"/>
      <b val="true"/>
      <color theme="1"/>
      <sz val="11"/>
      <scheme val="minor"/>
    </font>
    <font>
      <name val="宋体"/>
      <charset val="0"/>
      <color rgb="FFFA7D00"/>
      <sz val="11"/>
      <scheme val="minor"/>
    </font>
    <font>
      <name val="宋体"/>
      <charset val="0"/>
      <color theme="0"/>
      <sz val="11"/>
      <scheme val="minor"/>
    </font>
    <font>
      <name val="宋体"/>
      <charset val="134"/>
      <b val="true"/>
      <color theme="3"/>
      <sz val="13"/>
      <scheme val="minor"/>
    </font>
    <font>
      <name val="宋体"/>
      <charset val="134"/>
      <b val="true"/>
      <color theme="3"/>
      <sz val="11"/>
      <scheme val="minor"/>
    </font>
    <font>
      <name val="宋体"/>
      <charset val="134"/>
      <b val="true"/>
      <color theme="3"/>
      <sz val="18"/>
      <scheme val="minor"/>
    </font>
    <font>
      <name val="宋体"/>
      <charset val="0"/>
      <color theme="1"/>
      <sz val="11"/>
      <scheme val="minor"/>
    </font>
    <font>
      <name val="宋体"/>
      <charset val="0"/>
      <color rgb="FF006100"/>
      <sz val="11"/>
      <scheme val="minor"/>
    </font>
    <font>
      <name val="宋体"/>
      <charset val="0"/>
      <b val="true"/>
      <color rgb="FFFFFFFF"/>
      <sz val="11"/>
      <scheme val="minor"/>
    </font>
    <font>
      <name val="宋体"/>
      <charset val="0"/>
      <b val="true"/>
      <color rgb="FFFA7D00"/>
      <sz val="11"/>
      <scheme val="minor"/>
    </font>
    <font>
      <name val="宋体"/>
      <charset val="0"/>
      <color rgb="FF3F3F76"/>
      <sz val="11"/>
      <scheme val="minor"/>
    </font>
    <font>
      <name val="宋体"/>
      <charset val="0"/>
      <color rgb="FF9C0006"/>
      <sz val="11"/>
      <scheme val="minor"/>
    </font>
    <font>
      <name val="宋体"/>
      <charset val="0"/>
      <b val="true"/>
      <color rgb="FF3F3F3F"/>
      <sz val="11"/>
      <scheme val="minor"/>
    </font>
    <font>
      <name val="宋体"/>
      <charset val="0"/>
      <color rgb="FF9C6500"/>
      <sz val="11"/>
      <scheme val="minor"/>
    </font>
    <font>
      <name val="宋体"/>
      <charset val="0"/>
      <i val="true"/>
      <color rgb="FF7F7F7F"/>
      <sz val="11"/>
      <scheme val="minor"/>
    </font>
    <font>
      <name val="宋体"/>
      <charset val="134"/>
      <b val="true"/>
      <color theme="3"/>
      <sz val="15"/>
      <scheme val="minor"/>
    </font>
    <font>
      <name val="宋体"/>
      <charset val="0"/>
      <color rgb="FFFF0000"/>
      <sz val="11"/>
      <scheme val="minor"/>
    </font>
    <font>
      <name val="宋体"/>
      <charset val="0"/>
      <color rgb="FF0000FF"/>
      <sz val="11"/>
      <u/>
      <scheme val="minor"/>
    </font>
    <font>
      <name val="宋体"/>
      <charset val="0"/>
      <color rgb="FF800080"/>
      <sz val="11"/>
      <u/>
      <scheme val="minor"/>
    </font>
  </fonts>
  <fills count="83">
    <fill>
      <patternFill patternType="none"/>
    </fill>
    <fill>
      <patternFill patternType="gray125"/>
    </fill>
    <fill>
      <patternFill patternType="solid">
        <fgColor rgb="FFC3EAD5"/>
      </patternFill>
    </fill>
    <fill>
      <patternFill patternType="solid">
        <fgColor rgb="FF99CCFF"/>
        <bgColor indexed="64"/>
      </patternFill>
    </fill>
    <fill>
      <patternFill patternType="solid">
        <fgColor rgb="FFFFCC00"/>
        <bgColor indexed="64"/>
      </patternFill>
    </fill>
    <fill>
      <patternFill patternType="solid">
        <fgColor theme="7" tint="0.8"/>
        <bgColor indexed="64"/>
      </patternFill>
    </fill>
    <fill>
      <patternFill patternType="solid">
        <fgColor rgb="FF8CDDFA"/>
        <bgColor indexed="64"/>
      </patternFill>
    </fill>
    <fill>
      <patternFill patternType="solid">
        <fgColor theme="9" tint="0.6"/>
        <bgColor indexed="64"/>
      </patternFill>
    </fill>
    <fill>
      <patternFill patternType="solid">
        <fgColor rgb="FF00A3F5"/>
        <bgColor indexed="64"/>
      </patternFill>
    </fill>
    <fill>
      <patternFill patternType="solid">
        <fgColor rgb="FF99CC00"/>
        <bgColor indexed="64"/>
      </patternFill>
    </fill>
    <fill>
      <patternFill patternType="solid">
        <fgColor theme="5" tint="0.6"/>
        <bgColor indexed="64"/>
      </patternFill>
    </fill>
    <fill>
      <patternFill patternType="solid">
        <fgColor theme="6" tint="0.4"/>
        <bgColor indexed="64"/>
      </patternFill>
    </fill>
    <fill>
      <patternFill patternType="solid">
        <fgColor rgb="FF92D050"/>
        <bgColor indexed="64"/>
      </patternFill>
    </fill>
    <fill>
      <patternFill patternType="solid">
        <fgColor rgb="FFFFFF00"/>
        <bgColor indexed="64"/>
      </patternFill>
    </fill>
    <fill>
      <patternFill patternType="solid">
        <fgColor rgb="FFC0C0C0"/>
        <bgColor indexed="64"/>
      </patternFill>
    </fill>
    <fill>
      <patternFill patternType="solid">
        <fgColor rgb="FFFFFFFF"/>
        <bgColor indexed="64"/>
      </patternFill>
    </fill>
    <fill>
      <patternFill patternType="solid">
        <fgColor theme="9" tint="0.8"/>
        <bgColor indexed="64"/>
      </patternFill>
    </fill>
    <fill>
      <patternFill patternType="solid">
        <fgColor theme="0"/>
        <bgColor indexed="64"/>
      </patternFill>
    </fill>
    <fill>
      <patternFill patternType="solid">
        <fgColor theme="8" tint="0.8"/>
        <bgColor indexed="64"/>
      </patternFill>
    </fill>
    <fill>
      <patternFill patternType="solid">
        <fgColor theme="5" tint="0.8"/>
        <bgColor indexed="64"/>
      </patternFill>
    </fill>
    <fill>
      <patternFill patternType="solid">
        <fgColor rgb="FF99DDFF"/>
        <bgColor indexed="64"/>
      </patternFill>
    </fill>
    <fill>
      <patternFill patternType="solid">
        <fgColor rgb="FFCC99FF"/>
        <bgColor indexed="64"/>
      </patternFill>
    </fill>
    <fill>
      <patternFill patternType="solid">
        <fgColor theme="4" tint="0.8"/>
        <bgColor indexed="64"/>
      </patternFill>
    </fill>
    <fill>
      <patternFill patternType="solid">
        <fgColor theme="7" tint="-0.25"/>
        <bgColor indexed="64"/>
      </patternFill>
    </fill>
    <fill>
      <patternFill patternType="solid">
        <fgColor rgb="FF3366FF"/>
        <bgColor indexed="64"/>
      </patternFill>
    </fill>
    <fill>
      <patternFill patternType="solid">
        <fgColor rgb="FFF88825"/>
        <bgColor indexed="64"/>
      </patternFill>
    </fill>
    <fill>
      <patternFill patternType="solid">
        <fgColor rgb="FFFF9900"/>
        <bgColor indexed="64"/>
      </patternFill>
    </fill>
    <fill>
      <patternFill patternType="solid">
        <fgColor rgb="FFFFE9E8"/>
        <bgColor indexed="64"/>
      </patternFill>
    </fill>
    <fill>
      <patternFill patternType="solid">
        <fgColor theme="6" tint="0.8"/>
        <bgColor indexed="64"/>
      </patternFill>
    </fill>
    <fill>
      <patternFill patternType="solid">
        <fgColor theme="6" tint="0.6"/>
        <bgColor indexed="64"/>
      </patternFill>
    </fill>
    <fill>
      <patternFill patternType="solid">
        <fgColor rgb="FF00B0F0"/>
        <bgColor indexed="64"/>
      </patternFill>
    </fill>
    <fill>
      <patternFill patternType="solid">
        <fgColor theme="7" tint="0.6"/>
        <bgColor indexed="64"/>
      </patternFill>
    </fill>
    <fill>
      <patternFill patternType="solid">
        <fgColor rgb="FFFFC000"/>
        <bgColor indexed="64"/>
      </patternFill>
    </fill>
    <fill>
      <patternFill patternType="solid">
        <fgColor theme="9" tint="0.4"/>
        <bgColor indexed="64"/>
      </patternFill>
    </fill>
    <fill>
      <patternFill patternType="solid">
        <fgColor rgb="FFCCFFCC"/>
        <bgColor indexed="64"/>
      </patternFill>
    </fill>
    <fill>
      <patternFill patternType="solid">
        <fgColor rgb="FFFF0000"/>
        <bgColor indexed="64"/>
      </patternFill>
    </fill>
    <fill>
      <patternFill patternType="solid">
        <fgColor rgb="FFFFC9C7"/>
        <bgColor indexed="64"/>
      </patternFill>
    </fill>
    <fill>
      <patternFill patternType="solid">
        <fgColor rgb="FF9999FF"/>
        <bgColor indexed="64"/>
      </patternFill>
    </fill>
    <fill>
      <patternFill patternType="solid">
        <fgColor rgb="FFFFCC99"/>
        <bgColor indexed="64"/>
      </patternFill>
    </fill>
    <fill>
      <patternFill patternType="solid">
        <fgColor rgb="FF2972F4"/>
        <bgColor indexed="64"/>
      </patternFill>
    </fill>
    <fill>
      <patternFill patternType="solid">
        <fgColor rgb="FF98D7B6"/>
        <bgColor indexed="64"/>
      </patternFill>
    </fill>
    <fill>
      <patternFill patternType="solid">
        <fgColor rgb="FFE5EFFF"/>
        <bgColor indexed="64"/>
      </patternFill>
    </fill>
    <fill>
      <patternFill patternType="solid">
        <fgColor rgb="FFEAFAF1"/>
        <bgColor indexed="64"/>
      </patternFill>
    </fill>
    <fill>
      <patternFill patternType="solid">
        <fgColor rgb="FFFFF9E3"/>
        <bgColor indexed="64"/>
      </patternFill>
    </fill>
    <fill>
      <patternFill patternType="solid">
        <fgColor rgb="FFFFDCC4"/>
        <bgColor indexed="64"/>
      </patternFill>
    </fill>
    <fill>
      <patternFill patternType="solid">
        <fgColor rgb="FF00CCFF"/>
        <bgColor indexed="64"/>
      </patternFill>
    </fill>
    <fill>
      <patternFill patternType="solid">
        <fgColor rgb="FF808080"/>
        <bgColor indexed="64"/>
      </patternFill>
    </fill>
    <fill>
      <patternFill patternType="solid">
        <fgColor rgb="FFC3EAD5"/>
        <bgColor indexed="64"/>
      </patternFill>
    </fill>
    <fill>
      <patternFill patternType="solid">
        <fgColor rgb="FFC7DCFF"/>
        <bgColor indexed="64"/>
      </patternFill>
    </fill>
    <fill>
      <patternFill patternType="solid">
        <fgColor rgb="FFE5F6FF"/>
        <bgColor indexed="64"/>
      </patternFill>
    </fill>
    <fill>
      <patternFill patternType="solid">
        <fgColor rgb="FFFF6600"/>
        <bgColor indexed="64"/>
      </patternFill>
    </fill>
    <fill>
      <patternFill patternType="solid">
        <fgColor rgb="FF993366"/>
        <bgColor indexed="64"/>
      </patternFill>
    </fill>
    <fill>
      <patternFill patternType="none"/>
    </fill>
    <fill>
      <patternFill patternType="solid">
        <fgColor theme="6"/>
        <bgColor indexed="64"/>
      </patternFill>
    </fill>
    <fill>
      <patternFill patternType="solid">
        <fgColor theme="9"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rgb="FFC6EFCE"/>
        <bgColor indexed="64"/>
      </patternFill>
    </fill>
    <fill>
      <patternFill patternType="solid">
        <fgColor theme="7" tint="0.399976"/>
        <bgColor indexed="64"/>
      </patternFill>
    </fill>
    <fill>
      <patternFill patternType="solid">
        <fgColor theme="6" tint="0.399976"/>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theme="8" tint="0.599994"/>
        <bgColor indexed="64"/>
      </patternFill>
    </fill>
    <fill>
      <patternFill patternType="solid">
        <fgColor rgb="FFFFC7CE"/>
        <bgColor indexed="64"/>
      </patternFill>
    </fill>
    <fill>
      <patternFill patternType="solid">
        <fgColor theme="4" tint="0.399976"/>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FFEB9C"/>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
      <patternFill patternType="solid">
        <fgColor theme="7" tint="0.599994"/>
        <bgColor indexed="64"/>
      </patternFill>
    </fill>
    <fill>
      <patternFill patternType="solid">
        <fgColor theme="7"/>
        <bgColor indexed="64"/>
      </patternFill>
    </fill>
    <fill>
      <patternFill patternType="solid">
        <fgColor theme="6" tint="0.599994"/>
        <bgColor indexed="64"/>
      </patternFill>
    </fill>
    <fill>
      <patternFill patternType="solid">
        <fgColor theme="7" tint="0.799982"/>
        <bgColor indexed="64"/>
      </patternFill>
    </fill>
    <fill>
      <patternFill patternType="solid">
        <fgColor theme="8" tint="0.399976"/>
        <bgColor indexed="64"/>
      </patternFill>
    </fill>
    <fill>
      <patternFill patternType="solid">
        <fgColor theme="8"/>
        <bgColor indexed="64"/>
      </patternFill>
    </fill>
    <fill>
      <patternFill patternType="solid">
        <fgColor theme="8" tint="0.799982"/>
        <bgColor indexed="64"/>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style="thin">
        <color auto="true"/>
      </bottom>
    </border>
    <border>
      <left style="thin">
        <color auto="true"/>
      </left>
      <right style="thin">
        <color auto="true"/>
      </right>
      <top/>
    </border>
    <border>
      <left style="thin">
        <color auto="true"/>
      </left>
      <right style="thin">
        <color auto="true"/>
      </right>
      <top style="thin">
        <color auto="true"/>
      </top>
      <diagonal/>
    </border>
    <border>
      <left style="thin">
        <color auto="true"/>
      </left>
      <right style="thin">
        <color auto="true"/>
      </right>
      <bottom style="thin">
        <color auto="true"/>
      </bottom>
    </border>
    <border>
      <left style="thin">
        <color rgb="FF99CCFF"/>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FFCC00"/>
      </top>
      <bottom style="thin">
        <color rgb="FF000000"/>
      </bottom>
      <diagonal/>
    </border>
    <border>
      <left style="thin">
        <color rgb="FF000000"/>
      </left>
      <right style="thin">
        <color rgb="FF000000"/>
      </right>
      <top style="thin">
        <color rgb="FFFFCC00"/>
      </top>
      <bottom style="thin">
        <color rgb="FFFFCC00"/>
      </bottom>
      <diagonal/>
    </border>
    <border>
      <left style="thin">
        <color rgb="FF000000"/>
      </left>
      <right style="thin">
        <color rgb="FF000000"/>
      </right>
      <top style="thin">
        <color rgb="FFFFCC00"/>
      </top>
      <bottom/>
      <diagonal/>
    </border>
    <border>
      <left style="thin">
        <color rgb="FF000000"/>
      </left>
      <right/>
      <top style="thin">
        <color rgb="FFFFCC00"/>
      </top>
      <bottom/>
      <diagonal/>
    </border>
    <border>
      <left style="thin">
        <color rgb="FF000000"/>
      </left>
      <right/>
      <top style="thin">
        <color auto="true"/>
      </top>
      <bottom/>
      <diagonal/>
    </border>
    <border>
      <left style="thin">
        <color rgb="FF000000"/>
      </left>
      <right/>
      <top style="thin">
        <color rgb="FF000000"/>
      </top>
      <bottom style="thin">
        <color rgb="FF000000"/>
      </bottom>
      <diagonal/>
    </border>
    <border>
      <left style="thin">
        <color auto="true"/>
      </left>
      <right style="thin">
        <color auto="true"/>
      </right>
      <top style="thin">
        <color rgb="FF000000"/>
      </top>
      <bottom style="thin">
        <color auto="true"/>
      </bottom>
      <diagonal/>
    </border>
    <border>
      <left style="thin">
        <color auto="true"/>
      </left>
      <right/>
      <top style="thin">
        <color auto="true"/>
      </top>
      <bottom style="thin">
        <color auto="true"/>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FFCC00"/>
      </bottom>
      <diagonal/>
    </border>
    <border>
      <left style="thin">
        <color rgb="FFFFCC00"/>
      </left>
      <right style="thin">
        <color rgb="FF000000"/>
      </right>
      <top/>
      <bottom style="thin">
        <color rgb="FFFFCC00"/>
      </bottom>
      <diagonal/>
    </border>
    <border>
      <left style="thin">
        <color rgb="FFFFCC00"/>
      </left>
      <right style="thin">
        <color rgb="FF000000"/>
      </right>
      <top/>
      <bottom/>
      <diagonal/>
    </border>
    <border>
      <left style="thin">
        <color rgb="FF000000"/>
      </left>
      <right style="thin">
        <color rgb="FF000000"/>
      </right>
      <top style="thin">
        <color rgb="FFFF9900"/>
      </top>
      <bottom style="thin">
        <color rgb="FF000000"/>
      </bottom>
      <diagonal/>
    </border>
    <border>
      <left style="thin">
        <color rgb="FF000000"/>
      </left>
      <right style="thin">
        <color rgb="FF000000"/>
      </right>
      <top/>
      <bottom/>
      <diagonal/>
    </border>
    <border>
      <left/>
      <right style="thin">
        <color auto="true"/>
      </right>
      <top style="thin">
        <color auto="true"/>
      </top>
      <bottom style="thin">
        <color auto="true"/>
      </bottom>
      <diagonal/>
    </border>
    <border>
      <left/>
      <right style="thin">
        <color auto="true"/>
      </right>
      <top style="thin">
        <color auto="true"/>
      </top>
      <bottom/>
      <diagonal/>
    </border>
    <border>
      <left/>
      <right style="thin">
        <color auto="true"/>
      </right>
      <top/>
      <bottom style="thin">
        <color auto="true"/>
      </bottom>
      <diagonal/>
    </border>
    <border>
      <left style="thin">
        <color auto="true"/>
      </left>
      <right/>
      <top style="thin">
        <color auto="true"/>
      </top>
      <bottom/>
      <diagonal/>
    </border>
    <border>
      <left style="thin">
        <color auto="true"/>
      </left>
      <right/>
      <top/>
      <bottom/>
      <diagonal/>
    </border>
    <border>
      <left/>
      <right style="thin">
        <color auto="true"/>
      </right>
      <top/>
      <bottom/>
      <diagonal/>
    </border>
    <border>
      <left style="thin">
        <color auto="true"/>
      </left>
      <right/>
      <top/>
      <bottom style="thin">
        <color auto="true"/>
      </bottom>
      <diagonal/>
    </border>
    <border>
      <left/>
      <right/>
      <top style="thin">
        <color rgb="FF000000"/>
      </top>
      <bottom style="thin">
        <color rgb="FF000000"/>
      </bottom>
      <diagonal/>
    </border>
    <border>
      <left style="thin">
        <color rgb="FF99CCFF"/>
      </left>
      <right/>
      <top style="thin">
        <color rgb="FF99CCFF"/>
      </top>
      <bottom/>
      <diagonal/>
    </border>
    <border>
      <left/>
      <right/>
      <top style="thin">
        <color rgb="FF99CCFF"/>
      </top>
      <bottom/>
      <diagonal/>
    </border>
    <border>
      <left style="thin">
        <color rgb="FF99CCFF"/>
      </left>
      <right/>
      <top/>
      <bottom style="thin">
        <color rgb="FF99CCFF"/>
      </bottom>
      <diagonal/>
    </border>
    <border>
      <left/>
      <right/>
      <top/>
      <bottom style="thin">
        <color rgb="FF99CCFF"/>
      </bottom>
      <diagonal/>
    </border>
    <border>
      <left style="thin">
        <color rgb="FF000000"/>
      </left>
      <right style="thin">
        <color rgb="FFCCFFCC"/>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FF9900"/>
      </top>
      <bottom style="thin">
        <color rgb="FF000000"/>
      </bottom>
      <diagonal/>
    </border>
    <border>
      <left style="thin">
        <color rgb="FF99CCFF"/>
      </left>
      <right style="thin">
        <color rgb="FF99CCFF"/>
      </right>
      <top style="thin">
        <color rgb="FF99CCFF"/>
      </top>
      <bottom style="thin">
        <color rgb="FF99CCFF"/>
      </bottom>
      <diagonal/>
    </border>
    <border>
      <left style="thin">
        <color rgb="FF000000"/>
      </left>
      <right style="thin">
        <color rgb="FF9999FF"/>
      </right>
      <top style="thin">
        <color rgb="FF000000"/>
      </top>
      <bottom style="thin">
        <color rgb="FF000000"/>
      </bottom>
      <diagonal/>
    </border>
    <border>
      <left style="thin">
        <color rgb="FF000000"/>
      </left>
      <right style="thin">
        <color rgb="FF000000"/>
      </right>
      <top style="thin">
        <color rgb="FF99CCFF"/>
      </top>
      <bottom style="thin">
        <color rgb="FF000000"/>
      </bottom>
      <diagonal/>
    </border>
    <border>
      <left style="thin">
        <color rgb="FF000000"/>
      </left>
      <right style="thin">
        <color rgb="FF000000"/>
      </right>
      <top style="thin">
        <color rgb="FF000000"/>
      </top>
      <bottom style="thin">
        <color rgb="FFFFCC00"/>
      </bottom>
      <diagonal/>
    </border>
    <border>
      <left/>
      <right style="thin">
        <color rgb="FF000000"/>
      </right>
      <top/>
      <bottom style="thin">
        <color rgb="FF000000"/>
      </bottom>
      <diagonal/>
    </border>
    <border>
      <left/>
      <right style="thin">
        <color rgb="FF000000"/>
      </right>
      <top/>
      <bottom/>
      <diagonal/>
    </border>
    <border>
      <right style="thin">
        <color rgb="FF000000"/>
      </right>
      <top/>
      <bottom/>
      <diagonal/>
    </border>
    <border>
      <right style="thin">
        <color rgb="FF000000"/>
      </right>
      <top/>
      <bottom style="thin">
        <color rgb="FF000000"/>
      </bottom>
      <diagonal/>
    </border>
    <border>
      <right style="thin">
        <color rgb="FF000000"/>
      </right>
      <top style="thin">
        <color rgb="FF000000"/>
      </top>
      <bottom/>
      <diagonal/>
    </border>
    <border>
      <right style="thin">
        <color rgb="FF000000"/>
      </right>
      <top style="thin">
        <color rgb="FF000000"/>
      </top>
      <bottom style="thin">
        <color rgb="FF000000"/>
      </bottom>
      <diagonal/>
    </border>
    <border>
      <left/>
      <right/>
      <top style="thin">
        <color rgb="FF000000"/>
      </top>
      <bottom/>
      <diagonal/>
    </border>
    <border>
      <left style="thin">
        <color auto="true"/>
      </left>
      <right style="thin">
        <color rgb="FF000000"/>
      </right>
      <top style="thin">
        <color auto="true"/>
      </top>
      <bottom style="thin">
        <color auto="true"/>
      </bottom>
      <diagonal/>
    </border>
    <border>
      <left style="thin">
        <color rgb="FF000000"/>
      </left>
      <right style="thin">
        <color rgb="FF000000"/>
      </right>
      <top/>
      <bottom style="thin">
        <color auto="true"/>
      </bottom>
      <diagonal/>
    </border>
    <border>
      <left style="thin">
        <color rgb="FF000000"/>
      </left>
      <right style="thin">
        <color rgb="FF000000"/>
      </right>
      <top style="thin">
        <color auto="true"/>
      </top>
      <bottom style="thin">
        <color auto="true"/>
      </bottom>
      <diagonal/>
    </border>
    <border>
      <left style="thin">
        <color rgb="FF000000"/>
      </left>
      <right/>
      <top style="thin">
        <color rgb="FFFFCC00"/>
      </top>
      <bottom style="thin">
        <color rgb="FFFFCC00"/>
      </bottom>
      <diagonal/>
    </border>
    <border>
      <left/>
      <right/>
      <top/>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right/>
      <top/>
      <bottom style="medium">
        <color theme="4" tint="0.499985"/>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xf numFmtId="306" fontId="52" fillId="0" borderId="61" xfId="0"/>
    <xf numFmtId="306" fontId="53" fillId="52" borderId="62" xfId="0" applyNumberFormat="false" applyFill="false" applyAlignment="false" applyProtection="false">
      <alignment vertical="center"/>
    </xf>
    <xf numFmtId="306" fontId="54" fillId="52" borderId="63" xfId="0" applyNumberFormat="false" applyFill="false" applyAlignment="false" applyProtection="false">
      <alignment vertical="center"/>
    </xf>
    <xf numFmtId="306" fontId="55" fillId="53" borderId="61" xfId="0" applyNumberFormat="false" applyBorder="false" applyAlignment="false" applyProtection="false">
      <alignment vertical="center"/>
    </xf>
    <xf numFmtId="306" fontId="56" fillId="52" borderId="64" xfId="0" applyNumberFormat="false" applyFill="false" applyAlignment="false" applyProtection="false">
      <alignment vertical="center"/>
    </xf>
    <xf numFmtId="306" fontId="57" fillId="52" borderId="61" xfId="0" applyNumberFormat="false" applyFill="false" applyBorder="false" applyAlignment="false" applyProtection="false">
      <alignment vertical="center"/>
    </xf>
    <xf numFmtId="306" fontId="57" fillId="52" borderId="65" xfId="0" applyNumberFormat="false" applyFill="false" applyAlignment="false" applyProtection="false">
      <alignment vertical="center"/>
    </xf>
    <xf numFmtId="306" fontId="55" fillId="54" borderId="61" xfId="0" applyNumberFormat="false" applyBorder="false" applyAlignment="false" applyProtection="false">
      <alignment vertical="center"/>
    </xf>
    <xf numFmtId="306" fontId="58" fillId="52" borderId="61" xfId="0" applyNumberFormat="false" applyFill="false" applyBorder="false" applyAlignment="false" applyProtection="false">
      <alignment vertical="center"/>
    </xf>
    <xf numFmtId="306" fontId="55" fillId="55" borderId="61" xfId="0" applyNumberFormat="false" applyBorder="false" applyAlignment="false" applyProtection="false">
      <alignment vertical="center"/>
    </xf>
    <xf numFmtId="306" fontId="59" fillId="56" borderId="61" xfId="0" applyNumberFormat="false" applyBorder="false" applyAlignment="false" applyProtection="false">
      <alignment vertical="center"/>
    </xf>
    <xf numFmtId="306" fontId="59" fillId="57" borderId="61" xfId="0" applyNumberFormat="false" applyBorder="false" applyAlignment="false" applyProtection="false">
      <alignment vertical="center"/>
    </xf>
    <xf numFmtId="306" fontId="60" fillId="58" borderId="61" xfId="0" applyNumberFormat="false" applyBorder="false" applyAlignment="false" applyProtection="false">
      <alignment vertical="center"/>
    </xf>
    <xf numFmtId="307" fontId="52" fillId="52" borderId="61" xfId="0" applyFont="false" applyFill="false" applyBorder="false" applyAlignment="false" applyProtection="false">
      <alignment vertical="center"/>
    </xf>
    <xf numFmtId="306" fontId="55" fillId="59" borderId="61" xfId="0" applyNumberFormat="false" applyBorder="false" applyAlignment="false" applyProtection="false">
      <alignment vertical="center"/>
    </xf>
    <xf numFmtId="306" fontId="55" fillId="60" borderId="61" xfId="0" applyNumberFormat="false" applyBorder="false" applyAlignment="false" applyProtection="false">
      <alignment vertical="center"/>
    </xf>
    <xf numFmtId="308" fontId="52" fillId="52" borderId="61" xfId="0" applyFont="false" applyFill="false" applyBorder="false" applyAlignment="false" applyProtection="false">
      <alignment vertical="center"/>
    </xf>
    <xf numFmtId="306" fontId="61" fillId="61" borderId="66" xfId="0" applyNumberFormat="false" applyAlignment="false" applyProtection="false">
      <alignment vertical="center"/>
    </xf>
    <xf numFmtId="306" fontId="62" fillId="62" borderId="67" xfId="0" applyNumberFormat="false" applyAlignment="false" applyProtection="false">
      <alignment vertical="center"/>
    </xf>
    <xf numFmtId="306" fontId="63" fillId="38" borderId="67" xfId="0" applyNumberFormat="false" applyAlignment="false" applyProtection="false">
      <alignment vertical="center"/>
    </xf>
    <xf numFmtId="306" fontId="52" fillId="63" borderId="68" xfId="0" applyNumberFormat="false" applyFont="false" applyAlignment="false" applyProtection="false">
      <alignment vertical="center"/>
    </xf>
    <xf numFmtId="306" fontId="59" fillId="64" borderId="61" xfId="0" applyNumberFormat="false" applyBorder="false" applyAlignment="false" applyProtection="false">
      <alignment vertical="center"/>
    </xf>
    <xf numFmtId="306" fontId="64" fillId="65" borderId="61" xfId="0" applyNumberFormat="false" applyBorder="false" applyAlignment="false" applyProtection="false">
      <alignment vertical="center"/>
    </xf>
    <xf numFmtId="306" fontId="55" fillId="66" borderId="61" xfId="0" applyNumberFormat="false" applyBorder="false" applyAlignment="false" applyProtection="false">
      <alignment vertical="center"/>
    </xf>
    <xf numFmtId="306" fontId="65" fillId="62" borderId="69" xfId="0" applyNumberFormat="false" applyAlignment="false" applyProtection="false">
      <alignment vertical="center"/>
    </xf>
    <xf numFmtId="306" fontId="59" fillId="67" borderId="61" xfId="0" applyNumberFormat="false" applyBorder="false" applyAlignment="false" applyProtection="false">
      <alignment vertical="center"/>
    </xf>
    <xf numFmtId="306" fontId="59" fillId="68" borderId="61" xfId="0" applyNumberFormat="false" applyBorder="false" applyAlignment="false" applyProtection="false">
      <alignment vertical="center"/>
    </xf>
    <xf numFmtId="306" fontId="59" fillId="69" borderId="61" xfId="0" applyNumberFormat="false" applyBorder="false" applyAlignment="false" applyProtection="false">
      <alignment vertical="center"/>
    </xf>
    <xf numFmtId="306" fontId="55" fillId="70" borderId="61" xfId="0" applyNumberFormat="false" applyBorder="false" applyAlignment="false" applyProtection="false">
      <alignment vertical="center"/>
    </xf>
    <xf numFmtId="306" fontId="66" fillId="71" borderId="61" xfId="0" applyNumberFormat="false" applyBorder="false" applyAlignment="false" applyProtection="false">
      <alignment vertical="center"/>
    </xf>
    <xf numFmtId="306" fontId="67" fillId="52" borderId="61" xfId="0" applyNumberFormat="false" applyFill="false" applyBorder="false" applyAlignment="false" applyProtection="false">
      <alignment vertical="center"/>
    </xf>
    <xf numFmtId="306" fontId="68" fillId="52" borderId="64" xfId="0" applyNumberFormat="false" applyFill="false" applyAlignment="false" applyProtection="false">
      <alignment vertical="center"/>
    </xf>
    <xf numFmtId="306" fontId="55" fillId="72" borderId="61" xfId="0" applyNumberFormat="false" applyBorder="false" applyAlignment="false" applyProtection="false">
      <alignment vertical="center"/>
    </xf>
    <xf numFmtId="306" fontId="59" fillId="73" borderId="61" xfId="0" applyNumberFormat="false" applyBorder="false" applyAlignment="false" applyProtection="false">
      <alignment vertical="center"/>
    </xf>
    <xf numFmtId="306" fontId="59" fillId="74" borderId="61" xfId="0" applyNumberFormat="false" applyBorder="false" applyAlignment="false" applyProtection="false">
      <alignment vertical="center"/>
    </xf>
    <xf numFmtId="306" fontId="55" fillId="75" borderId="61" xfId="0" applyNumberFormat="false" applyBorder="false" applyAlignment="false" applyProtection="false">
      <alignment vertical="center"/>
    </xf>
    <xf numFmtId="306" fontId="59" fillId="76" borderId="61" xfId="0" applyNumberFormat="false" applyBorder="false" applyAlignment="false" applyProtection="false">
      <alignment vertical="center"/>
    </xf>
    <xf numFmtId="309" fontId="52" fillId="52" borderId="61" xfId="0" applyFont="false" applyFill="false" applyBorder="false" applyAlignment="false" applyProtection="false">
      <alignment vertical="center"/>
    </xf>
    <xf numFmtId="306" fontId="55" fillId="77" borderId="61" xfId="0" applyNumberFormat="false" applyBorder="false" applyAlignment="false" applyProtection="false">
      <alignment vertical="center"/>
    </xf>
    <xf numFmtId="310" fontId="52" fillId="52" borderId="61" xfId="0" applyFont="false" applyFill="false" applyBorder="false" applyAlignment="false" applyProtection="false">
      <alignment vertical="center"/>
    </xf>
    <xf numFmtId="306" fontId="59" fillId="78" borderId="61" xfId="0" applyNumberFormat="false" applyBorder="false" applyAlignment="false" applyProtection="false">
      <alignment vertical="center"/>
    </xf>
    <xf numFmtId="311" fontId="52" fillId="52" borderId="61" xfId="0" applyFont="false" applyFill="false" applyBorder="false" applyAlignment="false" applyProtection="false">
      <alignment vertical="center"/>
    </xf>
    <xf numFmtId="306" fontId="59" fillId="79" borderId="61" xfId="0" applyNumberFormat="false" applyBorder="false" applyAlignment="false" applyProtection="false">
      <alignment vertical="center"/>
    </xf>
    <xf numFmtId="306" fontId="69" fillId="52" borderId="61" xfId="0" applyNumberFormat="false" applyFill="false" applyBorder="false" applyAlignment="false" applyProtection="false">
      <alignment vertical="center"/>
    </xf>
    <xf numFmtId="306" fontId="55" fillId="80" borderId="61" xfId="0" applyNumberFormat="false" applyBorder="false" applyAlignment="false" applyProtection="false">
      <alignment vertical="center"/>
    </xf>
    <xf numFmtId="306" fontId="55" fillId="81" borderId="61" xfId="0" applyNumberFormat="false" applyBorder="false" applyAlignment="false" applyProtection="false">
      <alignment vertical="center"/>
    </xf>
    <xf numFmtId="306" fontId="70" fillId="52" borderId="61" xfId="0" applyNumberFormat="false" applyFill="false" applyBorder="false" applyAlignment="false" applyProtection="false">
      <alignment vertical="center"/>
    </xf>
    <xf numFmtId="306" fontId="59" fillId="82" borderId="61" xfId="0" applyNumberFormat="false" applyBorder="false" applyAlignment="false" applyProtection="false">
      <alignment vertical="center"/>
    </xf>
    <xf numFmtId="306" fontId="71" fillId="52" borderId="61" xfId="0" applyNumberFormat="false" applyFill="false" applyBorder="false" applyAlignment="false" applyProtection="false">
      <alignment vertical="center"/>
    </xf>
  </cellStyleXfs>
  <cellXfs count="688">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6" fontId="52" fillId="0" borderId="1" xfId="0" applyBorder="true" applyAlignment="true">
      <alignment horizontal="center" vertical="center" wrapText="true"/>
    </xf>
    <xf numFmtId="306" fontId="52" fillId="0" borderId="1" xfId="0" applyBorder="true" applyAlignment="true">
      <alignment horizontal="left" vertical="top" wrapText="true"/>
    </xf>
    <xf numFmtId="306" fontId="52" fillId="0" borderId="1" xfId="0" applyBorder="true"/>
    <xf numFmtId="306" fontId="52" fillId="0" borderId="1" xfId="0" applyBorder="true" applyAlignment="true">
      <alignment horizontal="center" vertical="center"/>
    </xf>
    <xf numFmtId="306" fontId="52" fillId="0" borderId="61" xfId="0" applyAlignment="true">
      <alignment horizontal="center" vertical="center"/>
    </xf>
    <xf numFmtId="306" fontId="52" fillId="0" borderId="61" xfId="0" applyAlignment="true">
      <alignment vertical="bottom"/>
    </xf>
    <xf numFmtId="306" fontId="3" fillId="0" borderId="2" xfId="0" applyFont="true" applyBorder="true" applyAlignment="true">
      <alignment horizontal="center" vertical="center"/>
    </xf>
    <xf numFmtId="306" fontId="3" fillId="2" borderId="2" xfId="0" applyFont="true" applyFill="true" applyBorder="true" applyAlignment="true">
      <alignment horizontal="center" vertical="center" wrapText="true"/>
    </xf>
    <xf numFmtId="0" fontId="3" fillId="2" borderId="2" xfId="0" applyNumberFormat="true" applyFont="true" applyFill="true" applyBorder="true" applyAlignment="true">
      <alignment horizontal="center" vertical="center" wrapText="true"/>
    </xf>
    <xf numFmtId="306" fontId="52" fillId="0" borderId="2" xfId="0" applyBorder="true" applyAlignment="true">
      <alignment horizontal="center" vertical="center"/>
    </xf>
    <xf numFmtId="306" fontId="4" fillId="0" borderId="2" xfId="0" applyFont="true" applyBorder="true" applyAlignment="true">
      <alignment horizontal="center" vertical="center"/>
    </xf>
    <xf numFmtId="306" fontId="52" fillId="0" borderId="2" xfId="0" applyBorder="true" applyAlignment="true">
      <alignment horizontal="left" vertical="center" wrapText="true"/>
    </xf>
    <xf numFmtId="306" fontId="52" fillId="0" borderId="3" xfId="0" applyBorder="true" applyAlignment="true">
      <alignment horizontal="left" vertical="center" wrapText="true"/>
    </xf>
    <xf numFmtId="0" fontId="5" fillId="0" borderId="2" xfId="0" applyNumberFormat="true" applyFont="true" applyBorder="true" applyAlignment="true">
      <alignment horizontal="left" vertical="center" wrapText="true"/>
    </xf>
    <xf numFmtId="306" fontId="52" fillId="0" borderId="2" xfId="0" applyBorder="true"/>
    <xf numFmtId="306" fontId="52" fillId="0" borderId="4" xfId="0" applyBorder="true" applyAlignment="true">
      <alignment horizontal="left" vertical="center" wrapText="true"/>
    </xf>
    <xf numFmtId="0" fontId="6" fillId="0" borderId="2" xfId="0" applyNumberFormat="true" applyFont="true" applyBorder="true" applyAlignment="true">
      <alignment horizontal="left" vertical="center" wrapText="true"/>
    </xf>
    <xf numFmtId="306" fontId="52" fillId="0" borderId="5" xfId="0" applyBorder="true" applyAlignment="true">
      <alignment horizontal="left" vertical="center" wrapText="true"/>
    </xf>
    <xf numFmtId="306" fontId="52" fillId="0" borderId="3" xfId="0" applyBorder="true" applyAlignment="true">
      <alignment horizontal="left" vertical="center"/>
    </xf>
    <xf numFmtId="0" fontId="7" fillId="0" borderId="3" xfId="0" applyNumberFormat="true" applyFont="true" applyBorder="true" applyAlignment="true">
      <alignment horizontal="left" vertical="center" wrapText="true"/>
    </xf>
    <xf numFmtId="306" fontId="52" fillId="0" borderId="4" xfId="0" applyBorder="true" applyAlignment="true">
      <alignment horizontal="left" vertical="center"/>
    </xf>
    <xf numFmtId="306" fontId="52" fillId="0" borderId="6" xfId="0" applyBorder="true" applyAlignment="true">
      <alignment horizontal="center" vertical="center"/>
    </xf>
    <xf numFmtId="306" fontId="8" fillId="0" borderId="6" xfId="0" applyFont="true" applyBorder="true" applyAlignment="true">
      <alignment horizontal="center" vertical="center"/>
    </xf>
    <xf numFmtId="306" fontId="52" fillId="0" borderId="7" xfId="0" applyBorder="true" applyAlignment="true">
      <alignment horizontal="left" vertical="center"/>
    </xf>
    <xf numFmtId="306" fontId="52" fillId="0" borderId="7" xfId="0" applyBorder="true" applyAlignment="true">
      <alignment horizontal="left" vertical="center" wrapText="true"/>
    </xf>
    <xf numFmtId="0" fontId="7" fillId="0" borderId="8" xfId="0" applyNumberFormat="true" applyFont="true" applyBorder="true" applyAlignment="true">
      <alignment horizontal="left" vertical="center" wrapText="true"/>
    </xf>
    <xf numFmtId="0" fontId="0" fillId="0" borderId="2" xfId="0">
      <alignment horizontal="left" vertical="center" wrapText="true"/>
    </xf>
    <xf numFmtId="306" fontId="52" fillId="0" borderId="5" xfId="0" applyBorder="true" applyAlignment="true">
      <alignment horizontal="left" vertical="center"/>
    </xf>
    <xf fontId="0" fillId="0" borderId="9" xfId="0"/>
    <xf numFmtId="0" fontId="52" fillId="0" borderId="2" xfId="0" applyNumberFormat="true" applyBorder="true" applyAlignment="true">
      <alignment horizontal="left" vertical="center" wrapText="true"/>
    </xf>
    <xf numFmtId="306" fontId="52" fillId="0" borderId="2" xfId="0" applyBorder="true" applyAlignment="true">
      <alignment vertical="center" wrapText="true"/>
    </xf>
    <xf numFmtId="0" fontId="9" fillId="52" borderId="2" xfId="46" applyNumberFormat="true" applyFont="true" applyBorder="true" applyAlignment="true">
      <alignment horizontal="left" vertical="center" wrapText="true"/>
    </xf>
    <xf numFmtId="306" fontId="10" fillId="3" borderId="10" xfId="0" applyFont="true" applyFill="true" applyBorder="true" applyAlignment="true">
      <alignment horizontal="center" vertical="center"/>
    </xf>
    <xf numFmtId="306" fontId="10" fillId="3" borderId="61" xfId="0" applyFont="true" applyFill="true" applyAlignment="true">
      <alignment horizontal="center" vertical="center"/>
    </xf>
    <xf numFmtId="306" fontId="11" fillId="0" borderId="61" xfId="0" applyFont="true" applyAlignment="true">
      <alignment horizontal="center" vertical="center" wrapText="true"/>
    </xf>
    <xf numFmtId="306" fontId="12" fillId="0" borderId="61" xfId="0" applyFont="true"/>
    <xf numFmtId="306" fontId="10" fillId="3" borderId="11" xfId="0" applyFont="true" applyFill="true" applyBorder="true" applyAlignment="true">
      <alignment horizontal="center" vertical="center"/>
    </xf>
    <xf numFmtId="306" fontId="10" fillId="3" borderId="12" xfId="0" applyFont="true" applyFill="true" applyBorder="true" applyAlignment="true">
      <alignment horizontal="center" vertical="center" wrapText="true"/>
    </xf>
    <xf numFmtId="306" fontId="52" fillId="0" borderId="13" xfId="0" applyBorder="true"/>
    <xf numFmtId="306" fontId="10" fillId="4" borderId="14" xfId="0" applyFont="true" applyFill="true" applyBorder="true" applyAlignment="true">
      <alignment horizontal="center" vertical="center"/>
    </xf>
    <xf numFmtId="306" fontId="13" fillId="4" borderId="14" xfId="0" applyFont="true" applyFill="true" applyBorder="true" applyAlignment="true">
      <alignment horizontal="center" vertical="center"/>
    </xf>
    <xf numFmtId="306" fontId="10" fillId="4" borderId="15" xfId="0" applyFont="true" applyFill="true" applyBorder="true" applyAlignment="true">
      <alignment horizontal="center" vertical="center" wrapText="true"/>
    </xf>
    <xf numFmtId="306" fontId="14" fillId="4" borderId="15" xfId="0" applyFont="true" applyFill="true" applyBorder="true" applyAlignment="true">
      <alignment horizontal="center" vertical="center" wrapText="true"/>
    </xf>
    <xf numFmtId="306" fontId="13" fillId="4" borderId="15" xfId="0" applyFont="true" applyFill="true" applyBorder="true" applyAlignment="true">
      <alignment horizontal="center" vertical="center" wrapText="true"/>
    </xf>
    <xf numFmtId="306" fontId="10" fillId="4" borderId="16" xfId="0" applyFont="true" applyFill="true" applyBorder="true" applyAlignment="true">
      <alignment horizontal="center" vertical="center" wrapText="true"/>
    </xf>
    <xf numFmtId="306" fontId="10" fillId="4" borderId="17" xfId="0" applyFont="true" applyFill="true" applyBorder="true" applyAlignment="true">
      <alignment horizontal="center" vertical="center" wrapText="true"/>
    </xf>
    <xf numFmtId="306" fontId="11" fillId="0" borderId="18" xfId="0" applyFont="true" applyBorder="true" applyAlignment="true">
      <alignment horizontal="center" vertical="center" wrapText="true"/>
    </xf>
    <xf numFmtId="306" fontId="11" fillId="0" borderId="1" xfId="0" applyFont="true" applyBorder="true" applyAlignment="true">
      <alignment horizontal="center" vertical="center" wrapText="true"/>
    </xf>
    <xf numFmtId="306" fontId="11" fillId="0" borderId="61" xfId="0" applyFont="true" applyAlignment="true">
      <alignment horizontal="left" vertical="center" wrapText="true"/>
    </xf>
    <xf numFmtId="306" fontId="15" fillId="0" borderId="1" xfId="0" applyFont="true" applyBorder="true" applyAlignment="true">
      <alignment horizontal="center" vertical="top" wrapText="true"/>
    </xf>
    <xf numFmtId="306" fontId="16" fillId="0" borderId="1" xfId="0" applyFont="true" applyBorder="true" applyAlignment="true">
      <alignment horizontal="center" vertical="top" wrapText="true"/>
    </xf>
    <xf numFmtId="306" fontId="16" fillId="0" borderId="1" xfId="0" applyFont="true" applyBorder="true" applyAlignment="true">
      <alignment horizontal="center" vertical="center" wrapText="true"/>
    </xf>
    <xf numFmtId="306" fontId="16" fillId="5" borderId="1" xfId="0" applyFont="true" applyFill="true" applyBorder="true" applyAlignment="true">
      <alignment horizontal="center" vertical="top" wrapText="true"/>
    </xf>
    <xf numFmtId="306" fontId="11" fillId="0" borderId="61" xfId="0" applyFont="true" applyAlignment="true">
      <alignment horizontal="center" vertical="center"/>
    </xf>
    <xf numFmtId="306" fontId="11" fillId="6" borderId="61" xfId="0" applyFont="true" applyFill="true" applyAlignment="true">
      <alignment horizontal="center" vertical="center"/>
    </xf>
    <xf numFmtId="306" fontId="11" fillId="0" borderId="61" xfId="0" applyFont="true"/>
    <xf numFmtId="306" fontId="11" fillId="0" borderId="61" xfId="0" applyFont="true" applyAlignment="true">
      <alignment vertical="center" wrapText="true"/>
    </xf>
    <xf numFmtId="306" fontId="17" fillId="0" borderId="1" xfId="0" applyFont="true" applyBorder="true" applyAlignment="true">
      <alignment horizontal="center" vertical="top" wrapText="true"/>
    </xf>
    <xf numFmtId="306" fontId="18" fillId="0" borderId="61" xfId="0" applyFont="true" applyAlignment="true">
      <alignment horizontal="center" vertical="center" wrapText="true"/>
    </xf>
    <xf numFmtId="306" fontId="19" fillId="0" borderId="1" xfId="0" applyFont="true" applyBorder="true" applyAlignment="true">
      <alignment horizontal="center" vertical="top" wrapText="true"/>
    </xf>
    <xf numFmtId="306" fontId="11" fillId="0" borderId="19" xfId="0" applyFont="true" applyBorder="true" applyAlignment="true">
      <alignment horizontal="center" vertical="center" wrapText="true"/>
    </xf>
    <xf numFmtId="306" fontId="11" fillId="0" borderId="2" xfId="0" applyFont="true" applyBorder="true" applyAlignment="true">
      <alignment horizontal="center" vertical="center" wrapText="true"/>
    </xf>
    <xf numFmtId="306" fontId="16" fillId="0" borderId="19" xfId="0" applyFont="true" applyBorder="true" applyAlignment="true">
      <alignment horizontal="center" vertical="center" wrapText="true"/>
    </xf>
    <xf numFmtId="306" fontId="20" fillId="0" borderId="61" xfId="0" applyFont="true" applyAlignment="true">
      <alignment horizontal="center" vertical="center"/>
    </xf>
    <xf numFmtId="306" fontId="10" fillId="0" borderId="61" xfId="0" applyFont="true"/>
    <xf numFmtId="306" fontId="10" fillId="0" borderId="61" xfId="0" applyFont="true" applyAlignment="true">
      <alignment vertical="center" wrapText="true"/>
    </xf>
    <xf numFmtId="306" fontId="21" fillId="0" borderId="1" xfId="0" applyFont="true" applyBorder="true" applyAlignment="true">
      <alignment horizontal="center" vertical="top" wrapText="true"/>
    </xf>
    <xf numFmtId="306" fontId="16" fillId="7" borderId="1" xfId="0" applyFont="true" applyFill="true" applyBorder="true" applyAlignment="true">
      <alignment horizontal="center" vertical="top" wrapText="true"/>
    </xf>
    <xf numFmtId="306" fontId="22" fillId="0" borderId="1" xfId="0" applyFont="true" applyBorder="true" applyAlignment="true">
      <alignment horizontal="center" vertical="top" wrapText="true"/>
    </xf>
    <xf numFmtId="306" fontId="16" fillId="8" borderId="1" xfId="0" applyFont="true" applyFill="true" applyBorder="true" applyAlignment="true">
      <alignment horizontal="center" vertical="top" wrapText="true"/>
    </xf>
    <xf numFmtId="306" fontId="23" fillId="0" borderId="2" xfId="0" applyFont="true" applyBorder="true" applyAlignment="true">
      <alignment horizontal="center" vertical="center" wrapText="true"/>
    </xf>
    <xf numFmtId="306" fontId="16" fillId="9" borderId="19" xfId="0" applyFont="true" applyFill="true" applyBorder="true" applyAlignment="true">
      <alignment horizontal="center" vertical="top" wrapText="true"/>
    </xf>
    <xf numFmtId="306" fontId="16" fillId="0" borderId="19" xfId="0" applyFont="true" applyBorder="true" applyAlignment="true">
      <alignment horizontal="center" vertical="top" wrapText="true"/>
    </xf>
    <xf numFmtId="306" fontId="52" fillId="0" borderId="20" xfId="0" applyBorder="true" applyAlignment="true">
      <alignment horizontal="center" vertical="center"/>
    </xf>
    <xf numFmtId="300" fontId="11" fillId="0" borderId="61" xfId="0" applyNumberFormat="true" applyFont="true" applyAlignment="true">
      <alignment horizontal="center" vertical="center"/>
    </xf>
    <xf numFmtId="306" fontId="11" fillId="0" borderId="61" xfId="0" applyFont="true" applyAlignment="true">
      <alignment horizontal="left" vertical="center"/>
    </xf>
    <xf numFmtId="306" fontId="16" fillId="10" borderId="19" xfId="0" applyFont="true" applyFill="true" applyBorder="true" applyAlignment="true">
      <alignment horizontal="center" vertical="top" wrapText="true"/>
    </xf>
    <xf numFmtId="306" fontId="15" fillId="0" borderId="2" xfId="0" applyFont="true" applyBorder="true" applyAlignment="true">
      <alignment horizontal="center" vertical="top" wrapText="true"/>
    </xf>
    <xf numFmtId="306" fontId="16" fillId="0" borderId="2" xfId="0" applyFont="true" applyBorder="true" applyAlignment="true">
      <alignment horizontal="center" vertical="top" wrapText="true"/>
    </xf>
    <xf numFmtId="306" fontId="16" fillId="11" borderId="2" xfId="0" applyFont="true" applyFill="true" applyBorder="true" applyAlignment="true">
      <alignment horizontal="center" vertical="top" wrapText="true"/>
    </xf>
    <xf numFmtId="306" fontId="16" fillId="0" borderId="21" xfId="0" applyFont="true" applyBorder="true" applyAlignment="true">
      <alignment horizontal="center" vertical="top" wrapText="true"/>
    </xf>
    <xf numFmtId="306" fontId="16" fillId="0" borderId="2" xfId="0" applyFont="true" applyBorder="true" applyAlignment="true">
      <alignment horizontal="center" vertical="center" wrapText="true"/>
    </xf>
    <xf numFmtId="306" fontId="16" fillId="12" borderId="2" xfId="0" applyFont="true" applyFill="true" applyBorder="true" applyAlignment="true">
      <alignment horizontal="center" vertical="top" wrapText="true"/>
    </xf>
    <xf numFmtId="306" fontId="16" fillId="13" borderId="1" xfId="0" applyFont="true" applyFill="true" applyBorder="true" applyAlignment="true">
      <alignment horizontal="center" vertical="top" wrapText="true"/>
    </xf>
    <xf numFmtId="306" fontId="16" fillId="13" borderId="2" xfId="0" applyFont="true" applyFill="true" applyBorder="true" applyAlignment="true">
      <alignment horizontal="center" vertical="top" wrapText="true"/>
    </xf>
    <xf numFmtId="306" fontId="16" fillId="14" borderId="1" xfId="0" applyFont="true" applyFill="true" applyBorder="true" applyAlignment="true">
      <alignment horizontal="center" vertical="top" wrapText="true"/>
    </xf>
    <xf numFmtId="306" fontId="16" fillId="0" borderId="22" xfId="0" applyFont="true" applyBorder="true" applyAlignment="true">
      <alignment horizontal="center" vertical="top" wrapText="true"/>
    </xf>
    <xf numFmtId="306" fontId="16" fillId="0" borderId="23" xfId="0" applyFont="true" applyBorder="true" applyAlignment="true">
      <alignment horizontal="center" vertical="top" wrapText="true"/>
    </xf>
    <xf numFmtId="306" fontId="16" fillId="0" borderId="61" xfId="0" applyFont="true" applyAlignment="true">
      <alignment horizontal="center" vertical="top" wrapText="true"/>
    </xf>
    <xf numFmtId="306" fontId="11" fillId="0" borderId="61" xfId="0" applyFont="true" applyAlignment="true">
      <alignment horizontal="center" vertical="top" wrapText="true"/>
    </xf>
    <xf numFmtId="49" fontId="11" fillId="0" borderId="61" xfId="0" applyNumberFormat="true" applyFont="true" applyAlignment="true">
      <alignment horizontal="center" vertical="center"/>
    </xf>
    <xf numFmtId="306" fontId="10" fillId="3" borderId="1" xfId="0" applyFont="true" applyFill="true" applyBorder="true" applyAlignment="true">
      <alignment horizontal="center" vertical="center"/>
    </xf>
    <xf numFmtId="49" fontId="24" fillId="0" borderId="2" xfId="0" applyNumberFormat="true" applyFont="true" applyBorder="true" applyAlignment="true">
      <alignment horizontal="center" vertical="center" wrapText="true"/>
    </xf>
    <xf numFmtId="306" fontId="20" fillId="0" borderId="2" xfId="0" applyFont="true" applyBorder="true"/>
    <xf numFmtId="306" fontId="11" fillId="0" borderId="2" xfId="0" applyFont="true" applyBorder="true"/>
    <xf numFmtId="306" fontId="11" fillId="0" borderId="2" xfId="0" applyFont="true" applyBorder="true" applyAlignment="true">
      <alignment horizontal="center" vertical="center"/>
    </xf>
    <xf numFmtId="300" fontId="25" fillId="0" borderId="2" xfId="0" applyNumberFormat="true" applyFont="true" applyBorder="true" applyAlignment="true">
      <alignment horizontal="center" vertical="center"/>
    </xf>
    <xf numFmtId="306" fontId="11" fillId="0" borderId="2" xfId="0" applyFont="true" applyBorder="true" applyAlignment="true">
      <alignment horizontal="left" vertical="center"/>
    </xf>
    <xf numFmtId="306" fontId="25" fillId="0" borderId="2" xfId="0" applyFont="true" applyBorder="true" applyAlignment="true">
      <alignment horizontal="center" vertical="center"/>
    </xf>
    <xf numFmtId="306" fontId="10" fillId="3" borderId="1" xfId="0" applyFont="true" applyFill="true" applyBorder="true" applyAlignment="true">
      <alignment horizontal="center" vertical="center" wrapText="true"/>
    </xf>
    <xf numFmtId="301" fontId="25" fillId="0" borderId="2" xfId="0" applyNumberFormat="true" applyFont="true" applyBorder="true" applyAlignment="true">
      <alignment horizontal="center" vertical="center"/>
    </xf>
    <xf numFmtId="10" fontId="11" fillId="0" borderId="2" xfId="0" applyNumberFormat="true" applyFont="true" applyBorder="true" applyAlignment="true">
      <alignment horizontal="left" vertical="center"/>
    </xf>
    <xf numFmtId="306" fontId="10" fillId="4" borderId="11" xfId="0" applyFont="true" applyFill="true" applyBorder="true" applyAlignment="true">
      <alignment horizontal="center" vertical="center"/>
    </xf>
    <xf numFmtId="306" fontId="10" fillId="4" borderId="24" xfId="0" applyFont="true" applyFill="true" applyBorder="true" applyAlignment="true">
      <alignment horizontal="center" vertical="center"/>
    </xf>
    <xf numFmtId="306" fontId="10" fillId="4" borderId="25" xfId="0" applyFont="true" applyFill="true" applyBorder="true" applyAlignment="true">
      <alignment horizontal="center" vertical="center" wrapText="true"/>
    </xf>
    <xf numFmtId="306" fontId="14" fillId="4" borderId="25" xfId="0" applyFont="true" applyFill="true" applyBorder="true" applyAlignment="true">
      <alignment horizontal="center" vertical="center" wrapText="true"/>
    </xf>
    <xf numFmtId="306" fontId="10" fillId="4" borderId="26" xfId="0" applyFont="true" applyFill="true" applyBorder="true" applyAlignment="true">
      <alignment horizontal="center" vertical="center" wrapText="true"/>
    </xf>
    <xf numFmtId="306" fontId="25" fillId="15" borderId="2" xfId="0" applyFont="true" applyFill="true" applyBorder="true" applyAlignment="true">
      <alignment horizontal="center" vertical="center"/>
    </xf>
    <xf numFmtId="306" fontId="16" fillId="0" borderId="1" xfId="0" applyFont="true" applyBorder="true" applyAlignment="true">
      <alignment horizontal="left" vertical="top" wrapText="true"/>
    </xf>
    <xf numFmtId="10" fontId="16" fillId="0" borderId="1" xfId="0" applyNumberFormat="true" applyFont="true" applyBorder="true" applyAlignment="true">
      <alignment horizontal="center" vertical="top" wrapText="true"/>
    </xf>
    <xf numFmtId="306" fontId="16" fillId="16" borderId="1" xfId="0" applyFont="true" applyFill="true" applyBorder="true" applyAlignment="true">
      <alignment horizontal="center" vertical="center" wrapText="true"/>
    </xf>
    <xf numFmtId="306" fontId="11" fillId="16" borderId="1" xfId="0" applyFont="true" applyFill="true" applyBorder="true" applyAlignment="true">
      <alignment horizontal="center" vertical="center" wrapText="true"/>
    </xf>
    <xf numFmtId="306" fontId="25" fillId="0" borderId="2" xfId="0" applyFont="true" applyBorder="true" applyAlignment="true">
      <alignment horizontal="center" vertical="center" wrapText="true"/>
    </xf>
    <xf numFmtId="306" fontId="17" fillId="0" borderId="1" xfId="0" applyFont="true" applyBorder="true" applyAlignment="true">
      <alignment horizontal="left" vertical="top" wrapText="true"/>
    </xf>
    <xf numFmtId="306" fontId="26" fillId="5" borderId="2" xfId="0" applyFont="true" applyFill="true" applyBorder="true" applyAlignment="true">
      <alignment horizontal="center" vertical="center" wrapText="true"/>
    </xf>
    <xf numFmtId="306" fontId="26" fillId="17" borderId="2" xfId="0" applyFont="true" applyFill="true" applyBorder="true" applyAlignment="true">
      <alignment horizontal="center" vertical="center" wrapText="true"/>
    </xf>
    <xf numFmtId="306" fontId="27" fillId="17" borderId="2" xfId="0" applyFont="true" applyFill="true" applyBorder="true" applyAlignment="true">
      <alignment horizontal="center" vertical="center"/>
    </xf>
    <xf numFmtId="306" fontId="52" fillId="0" borderId="11" xfId="0" applyBorder="true" applyAlignment="true">
      <alignment horizontal="left" vertical="center"/>
    </xf>
    <xf numFmtId="306" fontId="16" fillId="18" borderId="27" xfId="0" applyFont="true" applyFill="true" applyBorder="true" applyAlignment="true">
      <alignment horizontal="center" vertical="center" wrapText="true"/>
    </xf>
    <xf numFmtId="306" fontId="11" fillId="18" borderId="1" xfId="0" applyFont="true" applyFill="true" applyBorder="true" applyAlignment="true">
      <alignment horizontal="center" vertical="center" wrapText="true"/>
    </xf>
    <xf numFmtId="306" fontId="16" fillId="18" borderId="1" xfId="0" applyFont="true" applyFill="true" applyBorder="true" applyAlignment="true">
      <alignment horizontal="center" vertical="center" wrapText="true"/>
    </xf>
    <xf numFmtId="306" fontId="16" fillId="19" borderId="1" xfId="0" applyFont="true" applyFill="true" applyBorder="true" applyAlignment="true">
      <alignment horizontal="center" vertical="center" wrapText="true"/>
    </xf>
    <xf numFmtId="306" fontId="20" fillId="0" borderId="2" xfId="0" applyFont="true" applyBorder="true" applyAlignment="true">
      <alignment horizontal="center" vertical="center" wrapText="true"/>
    </xf>
    <xf numFmtId="300" fontId="20" fillId="0" borderId="2" xfId="0" applyNumberFormat="true" applyFont="true" applyBorder="true" applyAlignment="true">
      <alignment horizontal="center" vertical="center"/>
    </xf>
    <xf numFmtId="306" fontId="20" fillId="0" borderId="2" xfId="0" applyFont="true" applyBorder="true" applyAlignment="true">
      <alignment horizontal="center" vertical="center"/>
    </xf>
    <xf numFmtId="306" fontId="52" fillId="0" borderId="2" xfId="0" applyBorder="true" applyAlignment="true">
      <alignment horizontal="center" vertical="center" wrapText="true"/>
    </xf>
    <xf numFmtId="300" fontId="52" fillId="0" borderId="2" xfId="0" applyNumberFormat="true" applyBorder="true" applyAlignment="true">
      <alignment horizontal="center" vertical="center"/>
    </xf>
    <xf numFmtId="306" fontId="52" fillId="0" borderId="2" xfId="0" applyBorder="true" applyAlignment="true">
      <alignment horizontal="left" vertical="center"/>
    </xf>
    <xf numFmtId="306" fontId="16" fillId="20" borderId="1" xfId="0" applyFont="true" applyFill="true" applyBorder="true" applyAlignment="true">
      <alignment horizontal="center" vertical="center" wrapText="true"/>
    </xf>
    <xf numFmtId="306" fontId="16" fillId="21" borderId="1" xfId="0" applyFont="true" applyFill="true" applyBorder="true" applyAlignment="true">
      <alignment horizontal="center" vertical="center" wrapText="true"/>
    </xf>
    <xf numFmtId="306" fontId="16" fillId="13" borderId="1" xfId="0" applyFont="true" applyFill="true" applyBorder="true" applyAlignment="true">
      <alignment horizontal="center" vertical="center" wrapText="true"/>
    </xf>
    <xf numFmtId="306" fontId="16" fillId="14" borderId="1" xfId="0" applyFont="true" applyFill="true" applyBorder="true" applyAlignment="true">
      <alignment horizontal="center" vertical="center" wrapText="true"/>
    </xf>
    <xf numFmtId="306" fontId="20" fillId="0" borderId="61" xfId="0" applyFont="true"/>
    <xf numFmtId="306" fontId="16" fillId="0" borderId="22" xfId="0" applyFont="true" applyBorder="true" applyAlignment="true">
      <alignment horizontal="left" vertical="top" wrapText="true"/>
    </xf>
    <xf numFmtId="306" fontId="16" fillId="0" borderId="11" xfId="0" applyFont="true" applyBorder="true" applyAlignment="true">
      <alignment horizontal="left" vertical="top" wrapText="true"/>
    </xf>
    <xf numFmtId="306" fontId="16" fillId="7" borderId="1" xfId="0" applyFont="true" applyFill="true" applyBorder="true" applyAlignment="true">
      <alignment horizontal="center" vertical="center" wrapText="true"/>
    </xf>
    <xf numFmtId="306" fontId="16" fillId="0" borderId="28" xfId="0" applyFont="true" applyBorder="true" applyAlignment="true">
      <alignment horizontal="left" vertical="center"/>
    </xf>
    <xf numFmtId="306" fontId="16" fillId="10" borderId="1" xfId="0" applyFont="true" applyFill="true" applyBorder="true" applyAlignment="true">
      <alignment horizontal="center" vertical="center" wrapText="true"/>
    </xf>
    <xf numFmtId="306" fontId="16" fillId="0" borderId="11" xfId="0" applyFont="true" applyBorder="true" applyAlignment="true">
      <alignment horizontal="left" vertical="center"/>
    </xf>
    <xf numFmtId="306" fontId="16" fillId="22" borderId="1" xfId="0" applyFont="true" applyFill="true" applyBorder="true" applyAlignment="true">
      <alignment horizontal="center" vertical="center" wrapText="true"/>
    </xf>
    <xf numFmtId="306" fontId="16" fillId="0" borderId="22" xfId="0" applyFont="true" applyBorder="true" applyAlignment="true">
      <alignment horizontal="center" vertical="center" wrapText="true"/>
    </xf>
    <xf numFmtId="10" fontId="16" fillId="0" borderId="22" xfId="0" applyNumberFormat="true" applyFont="true" applyBorder="true" applyAlignment="true">
      <alignment horizontal="center" vertical="top" wrapText="true"/>
    </xf>
    <xf numFmtId="306" fontId="16" fillId="23" borderId="22" xfId="0" applyFont="true" applyFill="true" applyBorder="true" applyAlignment="true">
      <alignment horizontal="center" vertical="center" wrapText="true"/>
    </xf>
    <xf numFmtId="306" fontId="16" fillId="0" borderId="28" xfId="0" applyFont="true" applyBorder="true" applyAlignment="true">
      <alignment horizontal="center" vertical="center" wrapText="true"/>
    </xf>
    <xf numFmtId="306" fontId="16" fillId="0" borderId="23" xfId="0" applyFont="true" applyBorder="true" applyAlignment="true">
      <alignment horizontal="center" vertical="center" wrapText="true"/>
    </xf>
    <xf numFmtId="300" fontId="20" fillId="0" borderId="61" xfId="0" applyNumberFormat="true" applyFont="true" applyAlignment="true">
      <alignment horizontal="center" vertical="center"/>
    </xf>
    <xf numFmtId="306" fontId="20" fillId="0" borderId="61" xfId="0" applyFont="true" applyAlignment="true">
      <alignment horizontal="left" vertical="center"/>
    </xf>
    <xf numFmtId="306" fontId="10" fillId="4" borderId="28" xfId="0" applyFont="true" applyFill="true" applyBorder="true" applyAlignment="true">
      <alignment horizontal="center" vertical="center"/>
    </xf>
    <xf numFmtId="306" fontId="14" fillId="4" borderId="26" xfId="0" applyFont="true" applyFill="true" applyBorder="true" applyAlignment="true">
      <alignment horizontal="center" vertical="center" wrapText="true"/>
    </xf>
    <xf numFmtId="306" fontId="16" fillId="24" borderId="1" xfId="0" applyFont="true" applyFill="true" applyBorder="true" applyAlignment="true">
      <alignment horizontal="center" vertical="top" wrapText="true"/>
    </xf>
    <xf numFmtId="306" fontId="20" fillId="0" borderId="1" xfId="0" applyFont="true" applyBorder="true" applyAlignment="true">
      <alignment vertical="bottom"/>
    </xf>
    <xf numFmtId="306" fontId="20" fillId="0" borderId="1" xfId="0" applyFont="true" applyBorder="true"/>
    <xf numFmtId="306" fontId="16" fillId="25" borderId="1" xfId="0" applyFont="true" applyFill="true" applyBorder="true" applyAlignment="true">
      <alignment horizontal="center" vertical="top" wrapText="true"/>
    </xf>
    <xf numFmtId="306" fontId="16" fillId="26" borderId="1" xfId="0" applyFont="true" applyFill="true" applyBorder="true" applyAlignment="true">
      <alignment horizontal="center" vertical="top" wrapText="true"/>
    </xf>
    <xf numFmtId="306" fontId="16" fillId="20" borderId="1" xfId="0" applyFont="true" applyFill="true" applyBorder="true" applyAlignment="true">
      <alignment horizontal="center" vertical="top" wrapText="true"/>
    </xf>
    <xf numFmtId="10" fontId="16" fillId="0" borderId="11" xfId="0" applyNumberFormat="true" applyFont="true" applyBorder="true" applyAlignment="true">
      <alignment horizontal="center" vertical="top" wrapText="true"/>
    </xf>
    <xf numFmtId="306" fontId="16" fillId="0" borderId="11" xfId="0" applyFont="true" applyBorder="true" applyAlignment="true">
      <alignment horizontal="center" vertical="top" wrapText="true"/>
    </xf>
    <xf numFmtId="306" fontId="16" fillId="20" borderId="11" xfId="0" applyFont="true" applyFill="true" applyBorder="true" applyAlignment="true">
      <alignment horizontal="center" vertical="top" wrapText="true"/>
    </xf>
    <xf numFmtId="306" fontId="16" fillId="20" borderId="12" xfId="0" applyFont="true" applyFill="true" applyBorder="true" applyAlignment="true">
      <alignment horizontal="center" vertical="top" wrapText="true"/>
    </xf>
    <xf numFmtId="306" fontId="16" fillId="0" borderId="1" xfId="0" applyFont="true" applyBorder="true" applyAlignment="true">
      <alignment horizontal="center" vertical="top"/>
    </xf>
    <xf numFmtId="306" fontId="16" fillId="21" borderId="1" xfId="0" applyFont="true" applyFill="true" applyBorder="true" applyAlignment="true">
      <alignment horizontal="center" vertical="top" wrapText="true"/>
    </xf>
    <xf numFmtId="306" fontId="16" fillId="21" borderId="22" xfId="0" applyFont="true" applyFill="true" applyBorder="true" applyAlignment="true">
      <alignment horizontal="center" vertical="top" wrapText="true"/>
    </xf>
    <xf numFmtId="300" fontId="11" fillId="0" borderId="61" xfId="0" applyNumberFormat="true" applyFont="true" applyAlignment="true">
      <alignment horizontal="center" vertical="center" wrapText="true"/>
    </xf>
    <xf numFmtId="306" fontId="16" fillId="13" borderId="22" xfId="0" applyFont="true" applyFill="true" applyBorder="true" applyAlignment="true">
      <alignment horizontal="center" vertical="top" wrapText="true"/>
    </xf>
    <xf numFmtId="10" fontId="16" fillId="0" borderId="19" xfId="0" applyNumberFormat="true" applyFont="true" applyBorder="true" applyAlignment="true">
      <alignment horizontal="center" vertical="top" wrapText="true"/>
    </xf>
    <xf numFmtId="10" fontId="16" fillId="0" borderId="12" xfId="0" applyNumberFormat="true" applyFont="true" applyBorder="true" applyAlignment="true">
      <alignment horizontal="center" vertical="top" wrapText="true"/>
    </xf>
    <xf numFmtId="306" fontId="16" fillId="27" borderId="1" xfId="0" applyFont="true" applyFill="true" applyBorder="true" applyAlignment="true">
      <alignment horizontal="center" vertical="top" wrapText="true"/>
    </xf>
    <xf numFmtId="10" fontId="16" fillId="0" borderId="23" xfId="0" applyNumberFormat="true" applyFont="true" applyBorder="true" applyAlignment="true">
      <alignment horizontal="center" vertical="top" wrapText="true"/>
    </xf>
    <xf numFmtId="306" fontId="28" fillId="0" borderId="1" xfId="0" applyFont="true" applyBorder="true" applyAlignment="true">
      <alignment horizontal="center" vertical="center"/>
    </xf>
    <xf numFmtId="306" fontId="29" fillId="0" borderId="1" xfId="0" applyFont="true" applyBorder="true" applyAlignment="true">
      <alignment horizontal="center" vertical="top" wrapText="true"/>
    </xf>
    <xf numFmtId="306" fontId="28" fillId="0" borderId="19" xfId="0" applyFont="true" applyBorder="true" applyAlignment="true">
      <alignment horizontal="center" vertical="center"/>
    </xf>
    <xf numFmtId="306" fontId="28" fillId="0" borderId="1" xfId="0" applyFont="true" applyBorder="true" applyAlignment="true">
      <alignment horizontal="center" vertical="center" wrapText="true"/>
    </xf>
    <xf numFmtId="306" fontId="30" fillId="0" borderId="1" xfId="0" applyFont="true" applyBorder="true" applyAlignment="true">
      <alignment horizontal="center" vertical="top" wrapText="true"/>
    </xf>
    <xf numFmtId="306" fontId="31" fillId="0" borderId="2" xfId="0" applyFont="true" applyBorder="true" applyAlignment="true">
      <alignment horizontal="center" vertical="center"/>
    </xf>
    <xf numFmtId="306" fontId="31" fillId="0" borderId="21" xfId="0" applyFont="true" applyBorder="true" applyAlignment="true">
      <alignment horizontal="center" vertical="center"/>
    </xf>
    <xf numFmtId="306" fontId="31" fillId="0" borderId="29" xfId="0" applyFont="true" applyBorder="true" applyAlignment="true">
      <alignment horizontal="center" vertical="center"/>
    </xf>
    <xf numFmtId="306" fontId="31" fillId="0" borderId="2" xfId="0" applyFont="true" applyBorder="true" applyAlignment="true">
      <alignment horizontal="center" vertical="center" wrapText="true"/>
    </xf>
    <xf numFmtId="49" fontId="31" fillId="0" borderId="2" xfId="0" applyNumberFormat="true" applyFont="true" applyBorder="true" applyAlignment="true">
      <alignment horizontal="center" vertical="center"/>
    </xf>
    <xf numFmtId="306" fontId="27" fillId="0" borderId="2" xfId="0" applyFont="true" applyBorder="true" applyAlignment="true">
      <alignment horizontal="center" vertical="center"/>
    </xf>
    <xf numFmtId="306" fontId="32" fillId="0" borderId="21" xfId="0" applyFont="true" applyBorder="true" applyAlignment="true">
      <alignment horizontal="left" vertical="center" wrapText="true"/>
    </xf>
    <xf numFmtId="306" fontId="32" fillId="0" borderId="2" xfId="0" applyFont="true" applyBorder="true" applyAlignment="true">
      <alignment horizontal="center" vertical="center" wrapText="true"/>
    </xf>
    <xf numFmtId="306" fontId="32" fillId="0" borderId="30" xfId="0" applyFont="true" applyBorder="true" applyAlignment="true">
      <alignment horizontal="left" vertical="center" wrapText="true"/>
    </xf>
    <xf numFmtId="14" fontId="27" fillId="0" borderId="2" xfId="0" applyNumberFormat="true" applyFont="true" applyBorder="true" applyAlignment="true">
      <alignment horizontal="center" vertical="center" wrapText="true"/>
    </xf>
    <xf numFmtId="306" fontId="27" fillId="0" borderId="2" xfId="0" applyFont="true" applyBorder="true" applyAlignment="true">
      <alignment horizontal="center" vertical="center" wrapText="true"/>
    </xf>
    <xf numFmtId="306" fontId="26" fillId="0" borderId="2" xfId="0" applyFont="true" applyBorder="true" applyAlignment="true">
      <alignment horizontal="center" vertical="center" wrapText="true"/>
    </xf>
    <xf numFmtId="306" fontId="33" fillId="0" borderId="2" xfId="0" applyFont="true" applyBorder="true" applyAlignment="true">
      <alignment horizontal="center" vertical="center"/>
    </xf>
    <xf numFmtId="306" fontId="33" fillId="0" borderId="2" xfId="0" applyFont="true" applyBorder="true"/>
    <xf numFmtId="306" fontId="33" fillId="0" borderId="21" xfId="0" applyFont="true" applyBorder="true"/>
    <xf numFmtId="306" fontId="32" fillId="0" borderId="31" xfId="0" applyFont="true" applyBorder="true" applyAlignment="true">
      <alignment horizontal="left" vertical="center"/>
    </xf>
    <xf numFmtId="306" fontId="33" fillId="0" borderId="21" xfId="0" applyFont="true" applyBorder="true" applyAlignment="true">
      <alignment horizontal="center" vertical="center"/>
    </xf>
    <xf numFmtId="306" fontId="33" fillId="16" borderId="2" xfId="0" applyFont="true" applyFill="true" applyBorder="true"/>
    <xf numFmtId="306" fontId="27" fillId="17" borderId="32" xfId="0" applyFont="true" applyFill="true" applyBorder="true" applyAlignment="true">
      <alignment horizontal="left" vertical="center"/>
    </xf>
    <xf numFmtId="306" fontId="27" fillId="17" borderId="3" xfId="0" applyFont="true" applyFill="true" applyBorder="true" applyAlignment="true">
      <alignment horizontal="center" vertical="center"/>
    </xf>
    <xf numFmtId="306" fontId="27" fillId="17" borderId="30" xfId="0" applyFont="true" applyFill="true" applyBorder="true" applyAlignment="true">
      <alignment horizontal="left" vertical="center" wrapText="true"/>
    </xf>
    <xf numFmtId="306" fontId="33" fillId="17" borderId="3" xfId="0" applyFont="true" applyFill="true" applyBorder="true" applyAlignment="true">
      <alignment horizontal="center" vertical="center" wrapText="true"/>
    </xf>
    <xf numFmtId="306" fontId="27" fillId="17" borderId="2" xfId="0" applyFont="true" applyFill="true" applyBorder="true" applyAlignment="true">
      <alignment horizontal="center" vertical="center" wrapText="true"/>
    </xf>
    <xf numFmtId="306" fontId="33" fillId="17" borderId="2" xfId="0" applyFont="true" applyFill="true" applyBorder="true" applyAlignment="true">
      <alignment horizontal="center" vertical="center"/>
    </xf>
    <xf numFmtId="306" fontId="33" fillId="17" borderId="61" xfId="0" applyFont="true" applyFill="true" applyAlignment="true">
      <alignment horizontal="center" vertical="center"/>
    </xf>
    <xf numFmtId="306" fontId="33" fillId="17" borderId="61" xfId="0" applyFont="true" applyFill="true"/>
    <xf numFmtId="306" fontId="27" fillId="17" borderId="33" xfId="0" applyFont="true" applyFill="true" applyBorder="true" applyAlignment="true">
      <alignment horizontal="left" vertical="center"/>
    </xf>
    <xf numFmtId="306" fontId="27" fillId="17" borderId="5" xfId="0" applyFont="true" applyFill="true" applyBorder="true" applyAlignment="true">
      <alignment horizontal="center" vertical="center"/>
    </xf>
    <xf numFmtId="306" fontId="27" fillId="17" borderId="34" xfId="0" applyFont="true" applyFill="true" applyBorder="true" applyAlignment="true">
      <alignment horizontal="left" vertical="center"/>
    </xf>
    <xf numFmtId="306" fontId="33" fillId="17" borderId="4" xfId="0" applyFont="true" applyFill="true" applyBorder="true" applyAlignment="true">
      <alignment horizontal="center" vertical="center" wrapText="true"/>
    </xf>
    <xf numFmtId="306" fontId="27" fillId="6" borderId="2" xfId="0" applyFont="true" applyFill="true" applyBorder="true" applyAlignment="true">
      <alignment horizontal="center" vertical="center"/>
    </xf>
    <xf numFmtId="306" fontId="27" fillId="0" borderId="21" xfId="0" applyFont="true" applyBorder="true" applyAlignment="true">
      <alignment horizontal="left" vertical="center" wrapText="true"/>
    </xf>
    <xf numFmtId="306" fontId="27" fillId="0" borderId="30" xfId="0" applyFont="true" applyBorder="true" applyAlignment="true">
      <alignment horizontal="left" vertical="center" wrapText="true"/>
    </xf>
    <xf numFmtId="306" fontId="27" fillId="0" borderId="31" xfId="0" applyFont="true" applyBorder="true" applyAlignment="true">
      <alignment horizontal="left" vertical="center" wrapText="true"/>
    </xf>
    <xf numFmtId="306" fontId="33" fillId="0" borderId="61" xfId="0" applyFont="true" applyAlignment="true">
      <alignment horizontal="center" vertical="center"/>
    </xf>
    <xf numFmtId="306" fontId="33" fillId="0" borderId="32" xfId="0" applyFont="true" applyBorder="true" applyAlignment="true">
      <alignment horizontal="left" vertical="center"/>
    </xf>
    <xf numFmtId="306" fontId="33" fillId="0" borderId="30" xfId="0" applyFont="true" applyBorder="true" applyAlignment="true">
      <alignment horizontal="left" vertical="center" wrapText="true"/>
    </xf>
    <xf numFmtId="306" fontId="33" fillId="0" borderId="32" xfId="0" applyFont="true" applyBorder="true" applyAlignment="true">
      <alignment horizontal="center" vertical="center"/>
    </xf>
    <xf numFmtId="306" fontId="33" fillId="0" borderId="3" xfId="0" applyFont="true" applyBorder="true" applyAlignment="true">
      <alignment horizontal="center" vertical="center" wrapText="true"/>
    </xf>
    <xf numFmtId="306" fontId="15" fillId="0" borderId="2" xfId="0" applyFont="true" applyBorder="true" applyAlignment="true">
      <alignment horizontal="center" vertical="center" wrapText="true"/>
    </xf>
    <xf numFmtId="306" fontId="33" fillId="0" borderId="35" xfId="0" applyFont="true" applyBorder="true" applyAlignment="true">
      <alignment horizontal="left" vertical="center"/>
    </xf>
    <xf numFmtId="306" fontId="33" fillId="0" borderId="31" xfId="0" applyFont="true" applyBorder="true" applyAlignment="true">
      <alignment horizontal="left" vertical="center"/>
    </xf>
    <xf numFmtId="306" fontId="33" fillId="0" borderId="35" xfId="0" applyFont="true" applyBorder="true" applyAlignment="true">
      <alignment horizontal="center" vertical="center"/>
    </xf>
    <xf numFmtId="306" fontId="33" fillId="0" borderId="5" xfId="0" applyFont="true" applyBorder="true" applyAlignment="true">
      <alignment horizontal="center" vertical="center" wrapText="true"/>
    </xf>
    <xf numFmtId="306" fontId="33" fillId="0" borderId="33" xfId="0" applyFont="true" applyBorder="true" applyAlignment="true">
      <alignment horizontal="left" vertical="center" wrapText="true"/>
    </xf>
    <xf numFmtId="306" fontId="33" fillId="0" borderId="3" xfId="0" applyFont="true" applyBorder="true" applyAlignment="true">
      <alignment horizontal="center" vertical="center"/>
    </xf>
    <xf numFmtId="306" fontId="32" fillId="0" borderId="31" xfId="0" applyFont="true" applyBorder="true" applyAlignment="true">
      <alignment horizontal="left" vertical="center" wrapText="true"/>
    </xf>
    <xf numFmtId="306" fontId="33" fillId="0" borderId="5" xfId="0" applyFont="true" applyBorder="true" applyAlignment="true">
      <alignment horizontal="center" vertical="center"/>
    </xf>
    <xf numFmtId="306" fontId="33" fillId="0" borderId="33" xfId="0" applyFont="true" applyBorder="true" applyAlignment="true">
      <alignment horizontal="left" vertical="center"/>
    </xf>
    <xf numFmtId="306" fontId="32" fillId="0" borderId="3" xfId="0" applyFont="true" applyBorder="true" applyAlignment="true">
      <alignment horizontal="center" vertical="center" wrapText="true"/>
    </xf>
    <xf numFmtId="306" fontId="32" fillId="0" borderId="34" xfId="0" applyFont="true" applyBorder="true" applyAlignment="true">
      <alignment horizontal="center" vertical="center" wrapText="true"/>
    </xf>
    <xf numFmtId="306" fontId="33" fillId="0" borderId="4" xfId="0" applyFont="true" applyBorder="true" applyAlignment="true">
      <alignment horizontal="center" vertical="center"/>
    </xf>
    <xf numFmtId="306" fontId="33" fillId="0" borderId="34" xfId="0" applyFont="true" applyBorder="true" applyAlignment="true">
      <alignment horizontal="center" vertical="center"/>
    </xf>
    <xf numFmtId="306" fontId="32" fillId="0" borderId="4" xfId="0" applyFont="true" applyBorder="true" applyAlignment="true">
      <alignment horizontal="center" vertical="center" wrapText="true"/>
    </xf>
    <xf numFmtId="306" fontId="33" fillId="16" borderId="32" xfId="0" applyFont="true" applyFill="true" applyBorder="true" applyAlignment="true">
      <alignment horizontal="left" vertical="center" wrapText="true"/>
    </xf>
    <xf numFmtId="306" fontId="32" fillId="16" borderId="3" xfId="0" applyFont="true" applyFill="true" applyBorder="true" applyAlignment="true">
      <alignment horizontal="center" vertical="center" wrapText="true"/>
    </xf>
    <xf numFmtId="306" fontId="32" fillId="16" borderId="30" xfId="0" applyFont="true" applyFill="true" applyBorder="true" applyAlignment="true">
      <alignment horizontal="left" vertical="center" wrapText="true"/>
    </xf>
    <xf numFmtId="306" fontId="33" fillId="16" borderId="3" xfId="0" applyFont="true" applyFill="true" applyBorder="true" applyAlignment="true">
      <alignment horizontal="center" vertical="center"/>
    </xf>
    <xf numFmtId="306" fontId="33" fillId="16" borderId="30" xfId="0" applyFont="true" applyFill="true" applyBorder="true" applyAlignment="true">
      <alignment horizontal="center" vertical="center"/>
    </xf>
    <xf numFmtId="306" fontId="27" fillId="16" borderId="2" xfId="0" applyFont="true" applyFill="true" applyBorder="true" applyAlignment="true">
      <alignment horizontal="center" vertical="center" wrapText="true"/>
    </xf>
    <xf numFmtId="306" fontId="26" fillId="16" borderId="2" xfId="0" applyFont="true" applyFill="true" applyBorder="true" applyAlignment="true">
      <alignment horizontal="center" vertical="center" wrapText="true"/>
    </xf>
    <xf numFmtId="306" fontId="27" fillId="16" borderId="2" xfId="0" applyFont="true" applyFill="true" applyBorder="true" applyAlignment="true">
      <alignment horizontal="center" vertical="center"/>
    </xf>
    <xf numFmtId="306" fontId="33" fillId="16" borderId="2" xfId="0" applyFont="true" applyFill="true" applyBorder="true" applyAlignment="true">
      <alignment horizontal="center" vertical="center"/>
    </xf>
    <xf numFmtId="306" fontId="33" fillId="16" borderId="21" xfId="0" applyFont="true" applyFill="true" applyBorder="true" applyAlignment="true">
      <alignment horizontal="center" vertical="center"/>
    </xf>
    <xf numFmtId="306" fontId="33" fillId="16" borderId="33" xfId="0" applyFont="true" applyFill="true" applyBorder="true" applyAlignment="true">
      <alignment horizontal="left" vertical="center" wrapText="true"/>
    </xf>
    <xf numFmtId="306" fontId="32" fillId="16" borderId="5" xfId="0" applyFont="true" applyFill="true" applyBorder="true" applyAlignment="true">
      <alignment horizontal="center" vertical="center" wrapText="true"/>
    </xf>
    <xf numFmtId="306" fontId="32" fillId="16" borderId="31" xfId="0" applyFont="true" applyFill="true" applyBorder="true" applyAlignment="true">
      <alignment horizontal="left" vertical="center" wrapText="true"/>
    </xf>
    <xf numFmtId="306" fontId="33" fillId="16" borderId="4" xfId="0" applyFont="true" applyFill="true" applyBorder="true" applyAlignment="true">
      <alignment horizontal="center" vertical="center"/>
    </xf>
    <xf numFmtId="306" fontId="33" fillId="16" borderId="31" xfId="0" applyFont="true" applyFill="true" applyBorder="true" applyAlignment="true">
      <alignment horizontal="center" vertical="center"/>
    </xf>
    <xf numFmtId="306" fontId="33" fillId="16" borderId="21" xfId="0" applyFont="true" applyFill="true" applyBorder="true" applyAlignment="true">
      <alignment horizontal="left" vertical="center"/>
    </xf>
    <xf numFmtId="14" fontId="27" fillId="16" borderId="2" xfId="0" applyNumberFormat="true" applyFont="true" applyFill="true" applyBorder="true" applyAlignment="true">
      <alignment horizontal="center" vertical="center" wrapText="true"/>
    </xf>
    <xf numFmtId="306" fontId="16" fillId="16" borderId="2" xfId="0" applyFont="true" applyFill="true" applyBorder="true" applyAlignment="true">
      <alignment horizontal="center" vertical="center" wrapText="true"/>
    </xf>
    <xf numFmtId="306" fontId="15" fillId="16" borderId="2" xfId="0" applyFont="true" applyFill="true" applyBorder="true" applyAlignment="true">
      <alignment horizontal="center" vertical="center" wrapText="true"/>
    </xf>
    <xf numFmtId="306" fontId="31" fillId="16" borderId="2" xfId="0" applyFont="true" applyFill="true" applyBorder="true" applyAlignment="true">
      <alignment horizontal="center" vertical="center"/>
    </xf>
    <xf numFmtId="306" fontId="27" fillId="16" borderId="32" xfId="0" applyFont="true" applyFill="true" applyBorder="true" applyAlignment="true">
      <alignment horizontal="left" vertical="center" wrapText="true"/>
    </xf>
    <xf numFmtId="306" fontId="27" fillId="16" borderId="30" xfId="0" applyFont="true" applyFill="true" applyBorder="true" applyAlignment="true">
      <alignment horizontal="left" vertical="center" wrapText="true"/>
    </xf>
    <xf numFmtId="306" fontId="27" fillId="16" borderId="35" xfId="0" applyFont="true" applyFill="true" applyBorder="true" applyAlignment="true">
      <alignment horizontal="left" vertical="center" wrapText="true"/>
    </xf>
    <xf numFmtId="306" fontId="27" fillId="16" borderId="31" xfId="0" applyFont="true" applyFill="true" applyBorder="true" applyAlignment="true">
      <alignment horizontal="left" vertical="center" wrapText="true"/>
    </xf>
    <xf numFmtId="306" fontId="33" fillId="16" borderId="5" xfId="0" applyFont="true" applyFill="true" applyBorder="true" applyAlignment="true">
      <alignment horizontal="center" vertical="center"/>
    </xf>
    <xf numFmtId="306" fontId="33" fillId="16" borderId="61" xfId="0" applyFont="true" applyFill="true" applyAlignment="true">
      <alignment horizontal="center" vertical="center"/>
    </xf>
    <xf numFmtId="306" fontId="33" fillId="16" borderId="61" xfId="0" applyFont="true" applyFill="true"/>
    <xf numFmtId="306" fontId="33" fillId="16" borderId="32" xfId="0" applyFont="true" applyFill="true" applyBorder="true" applyAlignment="true">
      <alignment horizontal="left" vertical="center"/>
    </xf>
    <xf numFmtId="306" fontId="33" fillId="16" borderId="30" xfId="0" applyFont="true" applyFill="true" applyBorder="true" applyAlignment="true">
      <alignment horizontal="left" vertical="center"/>
    </xf>
    <xf numFmtId="306" fontId="33" fillId="16" borderId="35" xfId="0" applyFont="true" applyFill="true" applyBorder="true" applyAlignment="true">
      <alignment horizontal="left" vertical="center"/>
    </xf>
    <xf numFmtId="306" fontId="33" fillId="16" borderId="31" xfId="0" applyFont="true" applyFill="true" applyBorder="true" applyAlignment="true">
      <alignment horizontal="left" vertical="center"/>
    </xf>
    <xf numFmtId="306" fontId="27" fillId="28" borderId="21" xfId="0" applyFont="true" applyFill="true" applyBorder="true" applyAlignment="true">
      <alignment horizontal="left" vertical="center" wrapText="true"/>
    </xf>
    <xf numFmtId="306" fontId="27" fillId="28" borderId="2" xfId="0" applyFont="true" applyFill="true" applyBorder="true" applyAlignment="true">
      <alignment horizontal="center" vertical="center" wrapText="true"/>
    </xf>
    <xf numFmtId="306" fontId="27" fillId="28" borderId="30" xfId="0" applyFont="true" applyFill="true" applyBorder="true" applyAlignment="true">
      <alignment horizontal="center" vertical="center" wrapText="true"/>
    </xf>
    <xf numFmtId="14" fontId="27" fillId="28" borderId="2" xfId="0" applyNumberFormat="true" applyFont="true" applyFill="true" applyBorder="true" applyAlignment="true">
      <alignment horizontal="center" vertical="center" wrapText="true"/>
    </xf>
    <xf numFmtId="306" fontId="26" fillId="28" borderId="2" xfId="0" applyFont="true" applyFill="true" applyBorder="true" applyAlignment="true">
      <alignment horizontal="center" vertical="center" wrapText="true"/>
    </xf>
    <xf numFmtId="306" fontId="33" fillId="28" borderId="2" xfId="0" applyFont="true" applyFill="true" applyBorder="true"/>
    <xf numFmtId="306" fontId="33" fillId="28" borderId="21" xfId="0" applyFont="true" applyFill="true" applyBorder="true" applyAlignment="true">
      <alignment horizontal="left" vertical="center"/>
    </xf>
    <xf numFmtId="306" fontId="27" fillId="28" borderId="31" xfId="0" applyFont="true" applyFill="true" applyBorder="true" applyAlignment="true">
      <alignment horizontal="center" vertical="center" wrapText="true"/>
    </xf>
    <xf numFmtId="306" fontId="33" fillId="28" borderId="2" xfId="0" applyFont="true" applyFill="true" applyBorder="true" applyAlignment="true">
      <alignment horizontal="center" vertical="center"/>
    </xf>
    <xf numFmtId="306" fontId="15" fillId="28" borderId="2" xfId="0" applyFont="true" applyFill="true" applyBorder="true" applyAlignment="true">
      <alignment horizontal="center" vertical="center" wrapText="true"/>
    </xf>
    <xf numFmtId="306" fontId="31" fillId="28" borderId="2" xfId="0" applyFont="true" applyFill="true" applyBorder="true" applyAlignment="true">
      <alignment horizontal="center" vertical="center"/>
    </xf>
    <xf numFmtId="306" fontId="16" fillId="28" borderId="2" xfId="0" applyFont="true" applyFill="true" applyBorder="true" applyAlignment="true">
      <alignment horizontal="center" vertical="center" wrapText="true"/>
    </xf>
    <xf numFmtId="306" fontId="33" fillId="28" borderId="21" xfId="0" applyFont="true" applyFill="true" applyBorder="true"/>
    <xf numFmtId="14" fontId="27" fillId="28" borderId="21" xfId="0" applyNumberFormat="true" applyFont="true" applyFill="true" applyBorder="true" applyAlignment="true">
      <alignment horizontal="center" vertical="center" wrapText="true"/>
    </xf>
    <xf numFmtId="306" fontId="33" fillId="28" borderId="21" xfId="0" applyFont="true" applyFill="true" applyBorder="true" applyAlignment="true">
      <alignment horizontal="center" vertical="center"/>
    </xf>
    <xf numFmtId="306" fontId="27" fillId="28" borderId="2" xfId="0" applyFont="true" applyFill="true" applyBorder="true" applyAlignment="true">
      <alignment horizontal="center" vertical="center"/>
    </xf>
    <xf numFmtId="306" fontId="27" fillId="28" borderId="30" xfId="0" applyFont="true" applyFill="true" applyBorder="true" applyAlignment="true">
      <alignment horizontal="center" vertical="center"/>
    </xf>
    <xf numFmtId="306" fontId="27" fillId="28" borderId="31" xfId="0" applyFont="true" applyFill="true" applyBorder="true" applyAlignment="true">
      <alignment horizontal="center" vertical="center"/>
    </xf>
    <xf numFmtId="306" fontId="33" fillId="29" borderId="2" xfId="0" applyFont="true" applyFill="true" applyBorder="true"/>
    <xf numFmtId="306" fontId="33" fillId="28" borderId="32" xfId="0" applyFont="true" applyFill="true" applyBorder="true" applyAlignment="true">
      <alignment horizontal="left" vertical="center" wrapText="true"/>
    </xf>
    <xf numFmtId="306" fontId="27" fillId="28" borderId="3" xfId="0" applyFont="true" applyFill="true" applyBorder="true" applyAlignment="true">
      <alignment horizontal="center" vertical="center"/>
    </xf>
    <xf numFmtId="306" fontId="27" fillId="28" borderId="30" xfId="0" applyFont="true" applyFill="true" applyBorder="true" applyAlignment="true">
      <alignment horizontal="left" vertical="center"/>
    </xf>
    <xf numFmtId="306" fontId="33" fillId="28" borderId="35" xfId="0" applyFont="true" applyFill="true" applyBorder="true" applyAlignment="true">
      <alignment horizontal="left" vertical="center"/>
    </xf>
    <xf numFmtId="306" fontId="27" fillId="28" borderId="5" xfId="0" applyFont="true" applyFill="true" applyBorder="true" applyAlignment="true">
      <alignment horizontal="center" vertical="center"/>
    </xf>
    <xf numFmtId="306" fontId="27" fillId="28" borderId="31" xfId="0" applyFont="true" applyFill="true" applyBorder="true" applyAlignment="true">
      <alignment horizontal="left" vertical="center"/>
    </xf>
    <xf numFmtId="306" fontId="27" fillId="29" borderId="2" xfId="0" applyFont="true" applyFill="true" applyBorder="true" applyAlignment="true">
      <alignment horizontal="center" vertical="center"/>
    </xf>
    <xf numFmtId="306" fontId="33" fillId="28" borderId="2" xfId="0" applyFont="true" applyFill="true" applyBorder="true" applyAlignment="true">
      <alignment horizontal="center" vertical="center" wrapText="true"/>
    </xf>
    <xf numFmtId="306" fontId="33" fillId="28" borderId="30" xfId="0" applyFont="true" applyFill="true" applyBorder="true" applyAlignment="true">
      <alignment horizontal="left" vertical="center" wrapText="true"/>
    </xf>
    <xf numFmtId="306" fontId="33" fillId="28" borderId="32" xfId="0" applyFont="true" applyFill="true" applyBorder="true" applyAlignment="true">
      <alignment horizontal="center" vertical="center"/>
    </xf>
    <xf numFmtId="306" fontId="33" fillId="28" borderId="3" xfId="0" applyFont="true" applyFill="true" applyBorder="true" applyAlignment="true">
      <alignment horizontal="center" vertical="center"/>
    </xf>
    <xf numFmtId="306" fontId="33" fillId="28" borderId="31" xfId="0" applyFont="true" applyFill="true" applyBorder="true" applyAlignment="true">
      <alignment horizontal="left" vertical="center" wrapText="true"/>
    </xf>
    <xf numFmtId="306" fontId="33" fillId="28" borderId="35" xfId="0" applyFont="true" applyFill="true" applyBorder="true" applyAlignment="true">
      <alignment horizontal="center" vertical="center"/>
    </xf>
    <xf numFmtId="306" fontId="33" fillId="28" borderId="5" xfId="0" applyFont="true" applyFill="true" applyBorder="true" applyAlignment="true">
      <alignment horizontal="center" vertical="center"/>
    </xf>
    <xf numFmtId="306" fontId="27" fillId="0" borderId="2" xfId="0" applyFont="true" applyBorder="true"/>
    <xf numFmtId="306" fontId="27" fillId="0" borderId="21" xfId="0" applyFont="true" applyBorder="true" applyAlignment="true">
      <alignment vertical="center" wrapText="true"/>
    </xf>
    <xf numFmtId="306" fontId="27" fillId="0" borderId="29" xfId="0" applyFont="true" applyBorder="true" applyAlignment="true">
      <alignment horizontal="left" vertical="center" wrapText="true"/>
    </xf>
    <xf numFmtId="306" fontId="27" fillId="0" borderId="21" xfId="0" applyFont="true" applyBorder="true" applyAlignment="true">
      <alignment horizontal="center" vertical="center" wrapText="true"/>
    </xf>
    <xf numFmtId="306" fontId="26" fillId="0" borderId="21" xfId="0" applyFont="true" applyBorder="true" applyAlignment="true">
      <alignment horizontal="center" vertical="center" wrapText="true"/>
    </xf>
    <xf numFmtId="306" fontId="26" fillId="30" borderId="2" xfId="0" applyFont="true" applyFill="true" applyBorder="true" applyAlignment="true">
      <alignment horizontal="center" vertical="center" wrapText="true"/>
    </xf>
    <xf numFmtId="306" fontId="34" fillId="30" borderId="2" xfId="0" applyFont="true" applyFill="true" applyBorder="true"/>
    <xf numFmtId="306" fontId="27" fillId="0" borderId="11" xfId="0" applyFont="true" applyBorder="true"/>
    <xf numFmtId="306" fontId="16" fillId="0" borderId="13" xfId="0" applyFont="true" applyBorder="true" applyAlignment="true">
      <alignment horizontal="center" vertical="center"/>
    </xf>
    <xf numFmtId="306" fontId="16" fillId="0" borderId="12" xfId="0" applyFont="true" applyBorder="true" applyAlignment="true">
      <alignment horizontal="center" vertical="center"/>
    </xf>
    <xf numFmtId="306" fontId="16" fillId="0" borderId="2" xfId="0" applyFont="true" applyBorder="true" applyAlignment="true">
      <alignment horizontal="center" vertical="center"/>
    </xf>
    <xf numFmtId="306" fontId="27" fillId="0" borderId="1" xfId="0" applyFont="true" applyBorder="true"/>
    <xf numFmtId="306" fontId="16" fillId="0" borderId="36" xfId="0" applyFont="true" applyBorder="true" applyAlignment="true">
      <alignment horizontal="center" vertical="center"/>
    </xf>
    <xf numFmtId="306" fontId="16" fillId="0" borderId="19" xfId="0" applyFont="true" applyBorder="true" applyAlignment="true">
      <alignment horizontal="center" vertical="center"/>
    </xf>
    <xf numFmtId="306" fontId="16" fillId="0" borderId="61" xfId="0" applyFont="true" applyAlignment="true">
      <alignment horizontal="center" vertical="center"/>
    </xf>
    <xf numFmtId="306" fontId="27" fillId="0" borderId="61" xfId="0" applyFont="true" applyAlignment="true">
      <alignment horizontal="left" vertical="center" wrapText="true"/>
    </xf>
    <xf numFmtId="306" fontId="16" fillId="0" borderId="61" xfId="0" applyFont="true" applyAlignment="true">
      <alignment horizontal="left" vertical="center"/>
    </xf>
    <xf numFmtId="306" fontId="27" fillId="0" borderId="19" xfId="0" applyFont="true" applyBorder="true" applyAlignment="true">
      <alignment horizontal="center" vertical="center"/>
    </xf>
    <xf numFmtId="306" fontId="27" fillId="0" borderId="21" xfId="0" applyFont="true" applyBorder="true" applyAlignment="true">
      <alignment horizontal="center" vertical="center"/>
    </xf>
    <xf numFmtId="306" fontId="27" fillId="0" borderId="12" xfId="0" applyFont="true" applyBorder="true" applyAlignment="true">
      <alignment horizontal="center" vertical="center"/>
    </xf>
    <xf numFmtId="302" fontId="27" fillId="31" borderId="2" xfId="0" applyNumberFormat="true" applyFont="true" applyFill="true" applyBorder="true" applyAlignment="true">
      <alignment horizontal="center" vertical="center"/>
    </xf>
    <xf numFmtId="306" fontId="27" fillId="31" borderId="2" xfId="0" applyFont="true" applyFill="true" applyBorder="true" applyAlignment="true">
      <alignment horizontal="center" vertical="center"/>
    </xf>
    <xf numFmtId="306" fontId="33" fillId="0" borderId="19" xfId="0" applyFont="true" applyBorder="true"/>
    <xf numFmtId="306" fontId="27" fillId="0" borderId="61" xfId="0" applyFont="true" applyAlignment="true">
      <alignment horizontal="center" vertical="center"/>
    </xf>
    <xf numFmtId="49" fontId="27" fillId="32" borderId="2" xfId="0" applyNumberFormat="true" applyFont="true" applyFill="true" applyBorder="true" applyAlignment="true">
      <alignment horizontal="center" vertical="center"/>
    </xf>
    <xf numFmtId="306" fontId="33" fillId="33" borderId="61" xfId="0" applyFont="true" applyFill="true" applyAlignment="true">
      <alignment horizontal="center" vertical="center"/>
    </xf>
    <xf numFmtId="306" fontId="33" fillId="33" borderId="2" xfId="0" applyFont="true" applyFill="true" applyBorder="true" applyAlignment="true">
      <alignment horizontal="center" vertical="center"/>
    </xf>
    <xf numFmtId="306" fontId="27" fillId="0" borderId="61" xfId="0" applyFont="true"/>
    <xf numFmtId="302" fontId="27" fillId="12" borderId="2" xfId="0" applyNumberFormat="true" applyFont="true" applyFill="true" applyBorder="true" applyAlignment="true">
      <alignment horizontal="center" vertical="center"/>
    </xf>
    <xf numFmtId="302" fontId="27" fillId="12" borderId="21" xfId="0" applyNumberFormat="true" applyFont="true" applyFill="true" applyBorder="true" applyAlignment="true">
      <alignment horizontal="center" vertical="center"/>
    </xf>
    <xf numFmtId="306" fontId="33" fillId="0" borderId="2" xfId="0" applyFont="true" applyBorder="true" applyAlignment="true">
      <alignment horizontal="center" vertical="center" wrapText="true"/>
    </xf>
    <xf numFmtId="306" fontId="10" fillId="3" borderId="37" xfId="0" applyFont="true" applyFill="true" applyBorder="true" applyAlignment="true">
      <alignment horizontal="center" vertical="center"/>
    </xf>
    <xf numFmtId="306" fontId="52" fillId="0" borderId="38" xfId="0" applyBorder="true"/>
    <xf numFmtId="306" fontId="52" fillId="0" borderId="39" xfId="0" applyBorder="true"/>
    <xf numFmtId="306" fontId="52" fillId="0" borderId="40" xfId="0" applyBorder="true"/>
    <xf numFmtId="306" fontId="10" fillId="3" borderId="19" xfId="0" applyFont="true" applyFill="true" applyBorder="true" applyAlignment="true">
      <alignment horizontal="center" vertical="center" wrapText="true"/>
    </xf>
    <xf numFmtId="306" fontId="52" fillId="0" borderId="36" xfId="0" applyBorder="true"/>
    <xf numFmtId="306" fontId="35" fillId="0" borderId="61" xfId="0" applyFont="true"/>
    <xf numFmtId="306" fontId="16" fillId="34" borderId="1" xfId="0" applyFont="true" applyFill="true" applyBorder="true" applyAlignment="true">
      <alignment horizontal="center" vertical="top" wrapText="true"/>
    </xf>
    <xf numFmtId="306" fontId="11" fillId="6" borderId="61" xfId="0" applyFont="true" applyFill="true" applyAlignment="true">
      <alignment horizontal="center" vertical="center" wrapText="true"/>
    </xf>
    <xf numFmtId="306" fontId="35" fillId="6" borderId="61" xfId="0" applyFont="true" applyFill="true" applyAlignment="true">
      <alignment horizontal="center" vertical="center" wrapText="true"/>
    </xf>
    <xf numFmtId="306" fontId="18" fillId="32" borderId="61" xfId="0" applyFont="true" applyFill="true" applyAlignment="true">
      <alignment horizontal="center" vertical="center" wrapText="true"/>
    </xf>
    <xf numFmtId="303" fontId="11" fillId="0" borderId="61" xfId="0" applyNumberFormat="true" applyFont="true" applyAlignment="true">
      <alignment horizontal="center" vertical="center"/>
    </xf>
    <xf numFmtId="306" fontId="18" fillId="35" borderId="61" xfId="0" applyFont="true" applyFill="true" applyAlignment="true">
      <alignment horizontal="center" vertical="center" wrapText="true"/>
    </xf>
    <xf numFmtId="306" fontId="18" fillId="6" borderId="61" xfId="0" applyFont="true" applyFill="true" applyAlignment="true">
      <alignment horizontal="center" vertical="center" wrapText="true"/>
    </xf>
    <xf numFmtId="306" fontId="16" fillId="34" borderId="41" xfId="0" applyFont="true" applyFill="true" applyBorder="true" applyAlignment="true">
      <alignment horizontal="center" vertical="top" wrapText="true"/>
    </xf>
    <xf numFmtId="306" fontId="16" fillId="36" borderId="1" xfId="0" applyFont="true" applyFill="true" applyBorder="true" applyAlignment="true">
      <alignment horizontal="center" vertical="top" wrapText="true"/>
    </xf>
    <xf numFmtId="306" fontId="16" fillId="37" borderId="1" xfId="0" applyFont="true" applyFill="true" applyBorder="true" applyAlignment="true">
      <alignment horizontal="center" vertical="top" wrapText="true"/>
    </xf>
    <xf numFmtId="306" fontId="35" fillId="35" borderId="61" xfId="0" applyFont="true" applyFill="true" applyAlignment="true">
      <alignment horizontal="center" vertical="center" wrapText="true"/>
    </xf>
    <xf numFmtId="306" fontId="13" fillId="6" borderId="61" xfId="0" applyFont="true" applyFill="true" applyAlignment="true">
      <alignment horizontal="center" vertical="center" wrapText="true"/>
    </xf>
    <xf numFmtId="306" fontId="16" fillId="0" borderId="12" xfId="0" applyFont="true" applyBorder="true" applyAlignment="true">
      <alignment horizontal="center" vertical="top" wrapText="true"/>
    </xf>
    <xf numFmtId="306" fontId="16" fillId="0" borderId="42" xfId="0" applyFont="true" applyBorder="true" applyAlignment="true">
      <alignment horizontal="center" vertical="top" wrapText="true"/>
    </xf>
    <xf numFmtId="306" fontId="16" fillId="37" borderId="19" xfId="0" applyFont="true" applyFill="true" applyBorder="true" applyAlignment="true">
      <alignment horizontal="center" vertical="top" wrapText="true"/>
    </xf>
    <xf numFmtId="306" fontId="16" fillId="9" borderId="1" xfId="0" applyFont="true" applyFill="true" applyBorder="true" applyAlignment="true">
      <alignment horizontal="center" vertical="top" wrapText="true"/>
    </xf>
    <xf numFmtId="306" fontId="16" fillId="38" borderId="1" xfId="0" applyFont="true" applyFill="true" applyBorder="true" applyAlignment="true">
      <alignment horizontal="center" vertical="top" wrapText="true"/>
    </xf>
    <xf numFmtId="306" fontId="11" fillId="35" borderId="61" xfId="0" applyFont="true" applyFill="true" applyAlignment="true">
      <alignment horizontal="center" vertical="center" wrapText="true"/>
    </xf>
    <xf numFmtId="306" fontId="19" fillId="0" borderId="61" xfId="0" applyFont="true" applyAlignment="true">
      <alignment horizontal="center" vertical="top" wrapText="true"/>
    </xf>
    <xf numFmtId="49" fontId="24" fillId="6" borderId="1" xfId="0" applyNumberFormat="true" applyFont="true" applyFill="true" applyBorder="true" applyAlignment="true">
      <alignment horizontal="center" vertical="center" wrapText="true"/>
    </xf>
    <xf numFmtId="306" fontId="11" fillId="0" borderId="1" xfId="0" applyFont="true" applyBorder="true"/>
    <xf numFmtId="306" fontId="11" fillId="0" borderId="1" xfId="0" applyFont="true" applyBorder="true" applyAlignment="true">
      <alignment horizontal="center" vertical="center"/>
    </xf>
    <xf numFmtId="306" fontId="25" fillId="0" borderId="1" xfId="0" applyFont="true" applyBorder="true" applyAlignment="true">
      <alignment horizontal="center" vertical="center"/>
    </xf>
    <xf numFmtId="306" fontId="25" fillId="0" borderId="1" xfId="0" applyFont="true" applyBorder="true"/>
    <xf numFmtId="10" fontId="11" fillId="0" borderId="1" xfId="0" applyNumberFormat="true" applyFont="true" applyBorder="true" applyAlignment="true">
      <alignment horizontal="center" vertical="center"/>
    </xf>
    <xf numFmtId="306" fontId="25" fillId="0" borderId="1" xfId="0" applyFont="true" applyBorder="true" applyAlignment="true">
      <alignment horizontal="left" vertical="center"/>
    </xf>
    <xf numFmtId="306" fontId="16" fillId="24" borderId="19" xfId="0" applyFont="true" applyFill="true" applyBorder="true" applyAlignment="true">
      <alignment horizontal="center" vertical="top" wrapText="true"/>
    </xf>
    <xf numFmtId="306" fontId="25" fillId="39" borderId="1" xfId="0" applyFont="true" applyFill="true" applyBorder="true" applyAlignment="true">
      <alignment horizontal="left" vertical="center"/>
    </xf>
    <xf numFmtId="306" fontId="25" fillId="32" borderId="1" xfId="0" applyFont="true" applyFill="true" applyBorder="true" applyAlignment="true">
      <alignment horizontal="left" vertical="center"/>
    </xf>
    <xf numFmtId="306" fontId="17" fillId="0" borderId="22" xfId="0" applyFont="true" applyBorder="true" applyAlignment="true">
      <alignment horizontal="center" vertical="top" wrapText="true"/>
    </xf>
    <xf numFmtId="306" fontId="16" fillId="40" borderId="1" xfId="0" applyFont="true" applyFill="true" applyBorder="true" applyAlignment="true">
      <alignment horizontal="center" vertical="top" wrapText="true"/>
    </xf>
    <xf numFmtId="306" fontId="25" fillId="6" borderId="1" xfId="0" applyFont="true" applyFill="true" applyBorder="true" applyAlignment="true">
      <alignment horizontal="left" vertical="center"/>
    </xf>
    <xf numFmtId="306" fontId="52" fillId="0" borderId="11" xfId="0" applyBorder="true"/>
    <xf numFmtId="306" fontId="16" fillId="26" borderId="27" xfId="0" applyFont="true" applyFill="true" applyBorder="true" applyAlignment="true">
      <alignment horizontal="center" vertical="top" wrapText="true"/>
    </xf>
    <xf numFmtId="306" fontId="16" fillId="0" borderId="27" xfId="0" applyFont="true" applyBorder="true" applyAlignment="true">
      <alignment horizontal="center" vertical="top" wrapText="true"/>
    </xf>
    <xf numFmtId="306" fontId="16" fillId="20" borderId="19" xfId="0" applyFont="true" applyFill="true" applyBorder="true" applyAlignment="true">
      <alignment horizontal="center" vertical="top" wrapText="true"/>
    </xf>
    <xf numFmtId="306" fontId="16" fillId="21" borderId="19" xfId="0" applyFont="true" applyFill="true" applyBorder="true" applyAlignment="true">
      <alignment horizontal="center" vertical="top" wrapText="true"/>
    </xf>
    <xf numFmtId="306" fontId="16" fillId="13" borderId="19" xfId="0" applyFont="true" applyFill="true" applyBorder="true" applyAlignment="true">
      <alignment horizontal="center" vertical="top" wrapText="true"/>
    </xf>
    <xf numFmtId="306" fontId="52" fillId="0" borderId="1" xfId="0" applyBorder="true" applyAlignment="true">
      <alignment vertical="bottom"/>
    </xf>
    <xf numFmtId="306" fontId="16" fillId="14" borderId="19" xfId="0" applyFont="true" applyFill="true" applyBorder="true" applyAlignment="true">
      <alignment horizontal="center" vertical="top" wrapText="true"/>
    </xf>
    <xf numFmtId="306" fontId="16" fillId="14" borderId="22" xfId="0" applyFont="true" applyFill="true" applyBorder="true" applyAlignment="true">
      <alignment horizontal="center" vertical="top" wrapText="true"/>
    </xf>
    <xf numFmtId="306" fontId="16" fillId="14" borderId="23" xfId="0" applyFont="true" applyFill="true" applyBorder="true" applyAlignment="true">
      <alignment horizontal="center" vertical="top" wrapText="true"/>
    </xf>
    <xf numFmtId="306" fontId="11" fillId="0" borderId="1" xfId="0" applyFont="true" applyBorder="true" applyAlignment="true">
      <alignment horizontal="left" vertical="center"/>
    </xf>
    <xf numFmtId="306" fontId="20" fillId="0" borderId="1" xfId="0" applyFont="true" applyBorder="true" applyAlignment="true">
      <alignment horizontal="center" vertical="center"/>
    </xf>
    <xf numFmtId="9" fontId="11" fillId="0" borderId="1" xfId="0" applyNumberFormat="true" applyFont="true" applyBorder="true" applyAlignment="true">
      <alignment horizontal="center" vertical="center"/>
    </xf>
    <xf numFmtId="306" fontId="20" fillId="0" borderId="1" xfId="0" applyFont="true" applyBorder="true" applyAlignment="true">
      <alignment horizontal="center" vertical="center" wrapText="true"/>
    </xf>
    <xf numFmtId="306" fontId="52" fillId="0" borderId="1" xfId="0" applyBorder="true" applyAlignment="true">
      <alignment vertical="center" wrapText="true"/>
    </xf>
    <xf numFmtId="306" fontId="11" fillId="0" borderId="1" xfId="0" applyFont="true" applyBorder="true" applyAlignment="true">
      <alignment vertical="center" wrapText="true"/>
    </xf>
    <xf numFmtId="306" fontId="16" fillId="24" borderId="22" xfId="0" applyFont="true" applyFill="true" applyBorder="true" applyAlignment="true">
      <alignment horizontal="center" vertical="top" wrapText="true"/>
    </xf>
    <xf numFmtId="306" fontId="16" fillId="24" borderId="43" xfId="0" applyFont="true" applyFill="true" applyBorder="true" applyAlignment="true">
      <alignment horizontal="center" vertical="top" wrapText="true"/>
    </xf>
    <xf numFmtId="306" fontId="16" fillId="24" borderId="44" xfId="0" applyFont="true" applyFill="true" applyBorder="true" applyAlignment="true">
      <alignment horizontal="center" vertical="top" wrapText="true"/>
    </xf>
    <xf numFmtId="306" fontId="11" fillId="0" borderId="22" xfId="0" applyFont="true" applyBorder="true" applyAlignment="true">
      <alignment horizontal="center" vertical="center" wrapText="true"/>
    </xf>
    <xf numFmtId="306" fontId="16" fillId="24" borderId="23" xfId="0" applyFont="true" applyFill="true" applyBorder="true" applyAlignment="true">
      <alignment horizontal="center" vertical="top" wrapText="true"/>
    </xf>
    <xf numFmtId="306" fontId="52" fillId="0" borderId="19" xfId="0" applyBorder="true"/>
    <xf numFmtId="306" fontId="16" fillId="25" borderId="44" xfId="0" applyFont="true" applyFill="true" applyBorder="true" applyAlignment="true">
      <alignment horizontal="center" vertical="top" wrapText="true"/>
    </xf>
    <xf numFmtId="306" fontId="16" fillId="26" borderId="11" xfId="0" applyFont="true" applyFill="true" applyBorder="true" applyAlignment="true">
      <alignment horizontal="center" vertical="top" wrapText="true"/>
    </xf>
    <xf numFmtId="306" fontId="16" fillId="0" borderId="45" xfId="0" applyFont="true" applyBorder="true" applyAlignment="true">
      <alignment horizontal="center" vertical="top" wrapText="true"/>
    </xf>
    <xf numFmtId="306" fontId="16" fillId="13" borderId="11" xfId="0" applyFont="true" applyFill="true" applyBorder="true" applyAlignment="true">
      <alignment horizontal="center" vertical="top" wrapText="true"/>
    </xf>
    <xf numFmtId="306" fontId="16" fillId="41" borderId="11" xfId="0" applyFont="true" applyFill="true" applyBorder="true" applyAlignment="true">
      <alignment horizontal="center" vertical="top" wrapText="true"/>
    </xf>
    <xf numFmtId="306" fontId="16" fillId="41" borderId="12" xfId="0" applyFont="true" applyFill="true" applyBorder="true" applyAlignment="true">
      <alignment horizontal="center" vertical="top" wrapText="true"/>
    </xf>
    <xf numFmtId="306" fontId="16" fillId="41" borderId="1" xfId="0" applyFont="true" applyFill="true" applyBorder="true" applyAlignment="true">
      <alignment horizontal="center" vertical="top" wrapText="true"/>
    </xf>
    <xf numFmtId="306" fontId="16" fillId="41" borderId="19" xfId="0" applyFont="true" applyFill="true" applyBorder="true" applyAlignment="true">
      <alignment horizontal="center" vertical="top" wrapText="true"/>
    </xf>
    <xf numFmtId="306" fontId="10" fillId="3" borderId="46" xfId="0" applyFont="true" applyFill="true" applyBorder="true" applyAlignment="true">
      <alignment horizontal="center" vertical="center"/>
    </xf>
    <xf numFmtId="306" fontId="14" fillId="4" borderId="14" xfId="0" applyFont="true" applyFill="true" applyBorder="true" applyAlignment="true">
      <alignment horizontal="center" vertical="center"/>
    </xf>
    <xf numFmtId="306" fontId="10" fillId="6" borderId="61" xfId="0" applyFont="true" applyFill="true" applyAlignment="true">
      <alignment horizontal="center" vertical="center" wrapText="true"/>
    </xf>
    <xf numFmtId="306" fontId="14" fillId="6" borderId="61" xfId="0" applyFont="true" applyFill="true" applyAlignment="true">
      <alignment horizontal="center" vertical="center" wrapText="true"/>
    </xf>
    <xf numFmtId="306" fontId="35" fillId="0" borderId="61" xfId="0" applyFont="true" applyAlignment="true">
      <alignment horizontal="center" vertical="center" wrapText="true"/>
    </xf>
    <xf numFmtId="306" fontId="11" fillId="35" borderId="61" xfId="0" applyFont="true" applyFill="true" applyAlignment="true">
      <alignment horizontal="center" vertical="center"/>
    </xf>
    <xf numFmtId="306" fontId="14" fillId="0" borderId="61" xfId="0" applyFont="true" applyAlignment="true">
      <alignment horizontal="center" vertical="center" wrapText="true"/>
    </xf>
    <xf numFmtId="306" fontId="36" fillId="0" borderId="1" xfId="0" applyFont="true" applyBorder="true" applyAlignment="true">
      <alignment horizontal="center" vertical="top" wrapText="true"/>
    </xf>
    <xf numFmtId="306" fontId="35" fillId="0" borderId="61" xfId="0" applyFont="true" applyAlignment="true">
      <alignment vertical="center" wrapText="true"/>
    </xf>
    <xf numFmtId="306" fontId="35" fillId="0" borderId="61" xfId="0" applyFont="true" applyAlignment="true">
      <alignment horizontal="center" vertical="center"/>
    </xf>
    <xf numFmtId="306" fontId="35" fillId="32" borderId="61" xfId="0" applyFont="true" applyFill="true" applyAlignment="true">
      <alignment horizontal="center" vertical="center" wrapText="true"/>
    </xf>
    <xf numFmtId="306" fontId="19" fillId="0" borderId="22" xfId="0" applyFont="true" applyBorder="true" applyAlignment="true">
      <alignment horizontal="center" vertical="top" wrapText="true"/>
    </xf>
    <xf numFmtId="306" fontId="19" fillId="0" borderId="11" xfId="0" applyFont="true" applyBorder="true" applyAlignment="true">
      <alignment horizontal="center" vertical="top" wrapText="true"/>
    </xf>
    <xf numFmtId="306" fontId="36" fillId="0" borderId="22" xfId="0" applyFont="true" applyBorder="true" applyAlignment="true">
      <alignment horizontal="center" vertical="top" wrapText="true"/>
    </xf>
    <xf numFmtId="306" fontId="16" fillId="37" borderId="47" xfId="0" applyFont="true" applyFill="true" applyBorder="true" applyAlignment="true">
      <alignment horizontal="center" vertical="top" wrapText="true"/>
    </xf>
    <xf numFmtId="306" fontId="35" fillId="0" borderId="1" xfId="0" applyFont="true" applyBorder="true" applyAlignment="true">
      <alignment horizontal="left" vertical="center"/>
    </xf>
    <xf numFmtId="306" fontId="11" fillId="0" borderId="42" xfId="0" applyFont="true" applyBorder="true" applyAlignment="true">
      <alignment horizontal="center" vertical="center" wrapText="true"/>
    </xf>
    <xf numFmtId="306" fontId="10" fillId="3" borderId="48" xfId="0" applyFont="true" applyFill="true" applyBorder="true" applyAlignment="true">
      <alignment horizontal="center" vertical="center"/>
    </xf>
    <xf numFmtId="306" fontId="10" fillId="3" borderId="48" xfId="0" applyFont="true" applyFill="true" applyBorder="true" applyAlignment="true">
      <alignment horizontal="center" vertical="center" wrapText="true"/>
    </xf>
    <xf numFmtId="306" fontId="10" fillId="4" borderId="1" xfId="0" applyFont="true" applyFill="true" applyBorder="true" applyAlignment="true">
      <alignment horizontal="center" vertical="center"/>
    </xf>
    <xf numFmtId="306" fontId="10" fillId="4" borderId="49" xfId="0" applyFont="true" applyFill="true" applyBorder="true" applyAlignment="true">
      <alignment horizontal="center" vertical="center"/>
    </xf>
    <xf numFmtId="306" fontId="10" fillId="4" borderId="49" xfId="0" applyFont="true" applyFill="true" applyBorder="true" applyAlignment="true">
      <alignment horizontal="center" vertical="center" wrapText="true"/>
    </xf>
    <xf numFmtId="306" fontId="10" fillId="4" borderId="1" xfId="0" applyFont="true" applyFill="true" applyBorder="true" applyAlignment="true">
      <alignment horizontal="center" vertical="center" wrapText="true"/>
    </xf>
    <xf numFmtId="306" fontId="14" fillId="4" borderId="1" xfId="0" applyFont="true" applyFill="true" applyBorder="true" applyAlignment="true">
      <alignment horizontal="center" vertical="center" wrapText="true"/>
    </xf>
    <xf numFmtId="306" fontId="52" fillId="0" borderId="22" xfId="0" applyBorder="true" applyAlignment="true">
      <alignment horizontal="center" vertical="center"/>
    </xf>
    <xf numFmtId="306" fontId="52" fillId="0" borderId="1" xfId="0" applyBorder="true" applyAlignment="true">
      <alignment horizontal="left" vertical="center" wrapText="true"/>
    </xf>
    <xf numFmtId="306" fontId="37" fillId="0" borderId="22" xfId="0" applyFont="true" applyBorder="true" applyAlignment="true">
      <alignment horizontal="center" vertical="center" wrapText="true"/>
    </xf>
    <xf numFmtId="306" fontId="52" fillId="0" borderId="1" xfId="0" applyBorder="true" applyAlignment="true">
      <alignment horizontal="left" vertical="center"/>
    </xf>
    <xf numFmtId="306" fontId="52" fillId="0" borderId="28" xfId="0" applyBorder="true" applyAlignment="true">
      <alignment horizontal="center" vertical="center"/>
    </xf>
    <xf numFmtId="306" fontId="52" fillId="0" borderId="28" xfId="0" applyBorder="true" applyAlignment="true">
      <alignment horizontal="center" vertical="center" wrapText="true"/>
    </xf>
    <xf numFmtId="306" fontId="52" fillId="0" borderId="28" xfId="0" applyBorder="true"/>
    <xf numFmtId="306" fontId="52" fillId="0" borderId="22" xfId="0" applyBorder="true" applyAlignment="true">
      <alignment horizontal="left" vertical="center" wrapText="true"/>
    </xf>
    <xf numFmtId="306" fontId="52" fillId="0" borderId="22" xfId="0" applyBorder="true" applyAlignment="true">
      <alignment horizontal="left" vertical="center"/>
    </xf>
    <xf numFmtId="306" fontId="52" fillId="0" borderId="50" xfId="0" applyBorder="true"/>
    <xf numFmtId="306" fontId="52" fillId="0" borderId="11" xfId="0" applyBorder="true" applyAlignment="true">
      <alignment horizontal="center" vertical="center"/>
    </xf>
    <xf numFmtId="14" fontId="52" fillId="0" borderId="11" xfId="0" applyNumberFormat="true" applyBorder="true" applyAlignment="true">
      <alignment horizontal="left" vertical="center" wrapText="true"/>
    </xf>
    <xf numFmtId="306" fontId="52" fillId="0" borderId="43" xfId="0" applyBorder="true" applyAlignment="true">
      <alignment horizontal="center" vertical="center"/>
    </xf>
    <xf numFmtId="306" fontId="52" fillId="0" borderId="51" xfId="0" applyBorder="true"/>
    <xf numFmtId="306" fontId="52" fillId="0" borderId="11" xfId="0" applyBorder="true" applyAlignment="true">
      <alignment horizontal="center" vertical="center" wrapText="true"/>
    </xf>
    <xf numFmtId="14" fontId="52" fillId="0" borderId="1" xfId="0" applyNumberFormat="true" applyBorder="true" applyAlignment="true">
      <alignment horizontal="left" vertical="center" wrapText="true"/>
    </xf>
    <xf numFmtId="306" fontId="52" fillId="0" borderId="44" xfId="0" applyBorder="true" applyAlignment="true">
      <alignment horizontal="center" vertical="center"/>
    </xf>
    <xf numFmtId="306" fontId="38" fillId="0" borderId="11" xfId="0" applyFont="true" applyBorder="true" applyAlignment="true">
      <alignment horizontal="left" vertical="center" wrapText="true"/>
    </xf>
    <xf numFmtId="306" fontId="52" fillId="0" borderId="52" xfId="0" applyBorder="true" applyAlignment="true">
      <alignment horizontal="center" vertical="center"/>
    </xf>
    <xf numFmtId="306" fontId="52" fillId="0" borderId="52" xfId="0" applyBorder="true"/>
    <xf numFmtId="306" fontId="52" fillId="0" borderId="53" xfId="0" applyBorder="true"/>
    <xf numFmtId="306" fontId="52" fillId="0" borderId="54" xfId="0" applyBorder="true" applyAlignment="true">
      <alignment horizontal="center" vertical="center"/>
    </xf>
    <xf numFmtId="306" fontId="52" fillId="0" borderId="55" xfId="0" applyBorder="true" applyAlignment="true">
      <alignment horizontal="center" vertical="center"/>
    </xf>
    <xf numFmtId="306" fontId="52" fillId="42" borderId="19" xfId="0" applyFill="true" applyBorder="true" applyAlignment="true">
      <alignment horizontal="center" vertical="center"/>
    </xf>
    <xf numFmtId="306" fontId="52" fillId="42" borderId="36" xfId="0" applyFill="true" applyBorder="true" applyAlignment="true">
      <alignment horizontal="center" vertical="center"/>
    </xf>
    <xf numFmtId="306" fontId="52" fillId="0" borderId="36" xfId="0" applyBorder="true" applyAlignment="true">
      <alignment horizontal="center" vertical="center"/>
    </xf>
    <xf numFmtId="306" fontId="52" fillId="43" borderId="1" xfId="0" applyFill="true" applyBorder="true" applyAlignment="true">
      <alignment horizontal="center" vertical="center"/>
    </xf>
    <xf numFmtId="306" fontId="52" fillId="42" borderId="22" xfId="0" applyFill="true" applyBorder="true" applyAlignment="true">
      <alignment horizontal="center" vertical="center" wrapText="true"/>
    </xf>
    <xf numFmtId="306" fontId="52" fillId="42" borderId="22" xfId="0" applyFill="true" applyBorder="true" applyAlignment="true">
      <alignment horizontal="center" vertical="center"/>
    </xf>
    <xf numFmtId="306" fontId="52" fillId="42" borderId="1" xfId="0" applyFill="true" applyBorder="true" applyAlignment="true">
      <alignment horizontal="center" vertical="center"/>
    </xf>
    <xf numFmtId="304" fontId="52" fillId="42" borderId="19" xfId="0" applyNumberFormat="true" applyFill="true" applyBorder="true" applyAlignment="true">
      <alignment horizontal="center" vertical="center"/>
    </xf>
    <xf numFmtId="306" fontId="52" fillId="44" borderId="1" xfId="0" applyFill="true" applyBorder="true" applyAlignment="true">
      <alignment horizontal="center" vertical="center"/>
    </xf>
    <xf numFmtId="306" fontId="52" fillId="0" borderId="23" xfId="0" applyBorder="true" applyAlignment="true">
      <alignment horizontal="left" vertical="center" wrapText="true"/>
    </xf>
    <xf numFmtId="306" fontId="52" fillId="0" borderId="56" xfId="0" applyBorder="true"/>
    <xf numFmtId="306" fontId="52" fillId="0" borderId="43" xfId="0" applyBorder="true"/>
    <xf numFmtId="306" fontId="52" fillId="42" borderId="1" xfId="0" applyFill="true" applyBorder="true" applyAlignment="true">
      <alignment horizontal="left" vertical="center" wrapText="true"/>
    </xf>
    <xf numFmtId="306" fontId="52" fillId="42" borderId="44" xfId="0" applyFill="true" applyBorder="true" applyAlignment="true">
      <alignment horizontal="center" vertical="center"/>
    </xf>
    <xf numFmtId="305" fontId="52" fillId="42" borderId="1" xfId="0" applyNumberFormat="true" applyFill="true" applyBorder="true" applyAlignment="true">
      <alignment horizontal="center" vertical="center"/>
    </xf>
    <xf numFmtId="306" fontId="16" fillId="43" borderId="1" xfId="0" applyFont="true" applyFill="true" applyBorder="true" applyAlignment="true">
      <alignment horizontal="center" vertical="center" wrapText="true"/>
    </xf>
    <xf numFmtId="306" fontId="52" fillId="44" borderId="44" xfId="0" applyFill="true" applyBorder="true" applyAlignment="true">
      <alignment horizontal="center" vertical="center"/>
    </xf>
    <xf numFmtId="306" fontId="20" fillId="43" borderId="1" xfId="0" applyFont="true" applyFill="true" applyBorder="true" applyAlignment="true">
      <alignment horizontal="center" vertical="center"/>
    </xf>
    <xf numFmtId="306" fontId="52" fillId="44" borderId="19" xfId="0" applyFill="true" applyBorder="true" applyAlignment="true">
      <alignment horizontal="center" vertical="center"/>
    </xf>
    <xf numFmtId="306" fontId="52" fillId="42" borderId="28" xfId="0" applyFill="true" applyBorder="true" applyAlignment="true">
      <alignment horizontal="center" vertical="center" wrapText="true"/>
    </xf>
    <xf numFmtId="306" fontId="16" fillId="44" borderId="1" xfId="0" applyFont="true" applyFill="true" applyBorder="true" applyAlignment="true">
      <alignment horizontal="center" vertical="center" wrapText="true"/>
    </xf>
    <xf numFmtId="306" fontId="16" fillId="43" borderId="22" xfId="0" applyFont="true" applyFill="true" applyBorder="true" applyAlignment="true">
      <alignment horizontal="center" vertical="center" wrapText="true"/>
    </xf>
    <xf numFmtId="306" fontId="16" fillId="44" borderId="22" xfId="0" applyFont="true" applyFill="true" applyBorder="true" applyAlignment="true">
      <alignment horizontal="center" vertical="center" wrapText="true"/>
    </xf>
    <xf numFmtId="306" fontId="52" fillId="44" borderId="23" xfId="0" applyFill="true" applyBorder="true" applyAlignment="true">
      <alignment horizontal="center" vertical="center"/>
    </xf>
    <xf numFmtId="306" fontId="52" fillId="44" borderId="43" xfId="0" applyFill="true" applyBorder="true" applyAlignment="true">
      <alignment horizontal="center" vertical="center"/>
    </xf>
    <xf numFmtId="306" fontId="52" fillId="0" borderId="44" xfId="0" applyBorder="true" applyAlignment="true">
      <alignment horizontal="left" vertical="center" wrapText="true"/>
    </xf>
    <xf numFmtId="306" fontId="52" fillId="0" borderId="44" xfId="0" applyBorder="true"/>
    <xf numFmtId="306" fontId="52" fillId="42" borderId="11" xfId="0" applyFill="true" applyBorder="true" applyAlignment="true">
      <alignment horizontal="center" vertical="center" wrapText="true"/>
    </xf>
    <xf numFmtId="306" fontId="20" fillId="44" borderId="1" xfId="0" applyFont="true" applyFill="true" applyBorder="true" applyAlignment="true">
      <alignment horizontal="center" vertical="center"/>
    </xf>
    <xf numFmtId="306" fontId="52" fillId="42" borderId="1" xfId="0" applyFill="true" applyBorder="true" applyAlignment="true">
      <alignment horizontal="center" vertical="center" wrapText="true"/>
    </xf>
    <xf numFmtId="27" fontId="52" fillId="42" borderId="1" xfId="0" applyNumberFormat="true" applyFill="true" applyBorder="true" applyAlignment="true">
      <alignment horizontal="center" vertical="center" wrapText="true"/>
    </xf>
    <xf numFmtId="306" fontId="52" fillId="42" borderId="44" xfId="0" applyFill="true" applyBorder="true" applyAlignment="true">
      <alignment horizontal="left" vertical="top" wrapText="true"/>
    </xf>
    <xf numFmtId="306" fontId="52" fillId="42" borderId="13" xfId="0" applyFill="true" applyBorder="true" applyAlignment="true">
      <alignment horizontal="center" vertical="center"/>
    </xf>
    <xf numFmtId="306" fontId="52" fillId="44" borderId="22" xfId="0" applyFill="true" applyBorder="true" applyAlignment="true">
      <alignment horizontal="center" vertical="center"/>
    </xf>
    <xf numFmtId="306" fontId="20" fillId="43" borderId="28" xfId="0" applyFont="true" applyFill="true" applyBorder="true" applyAlignment="true">
      <alignment horizontal="center" vertical="center"/>
    </xf>
    <xf numFmtId="306" fontId="52" fillId="44" borderId="28" xfId="0" applyFill="true" applyBorder="true" applyAlignment="true">
      <alignment horizontal="center" vertical="center"/>
    </xf>
    <xf numFmtId="306" fontId="25" fillId="0" borderId="12" xfId="0" applyFont="true" applyBorder="true" applyAlignment="true">
      <alignment vertical="center" wrapText="true"/>
    </xf>
    <xf numFmtId="306" fontId="19" fillId="44" borderId="22" xfId="0" applyFont="true" applyFill="true" applyBorder="true" applyAlignment="true">
      <alignment horizontal="center" vertical="center" wrapText="true"/>
    </xf>
    <xf numFmtId="306" fontId="25" fillId="0" borderId="13" xfId="0" applyFont="true" applyBorder="true"/>
    <xf numFmtId="306" fontId="25" fillId="0" borderId="50" xfId="0" applyFont="true" applyBorder="true"/>
    <xf numFmtId="306" fontId="52" fillId="42" borderId="28" xfId="0" applyFill="true" applyBorder="true" applyAlignment="true">
      <alignment horizontal="center" vertical="center"/>
    </xf>
    <xf numFmtId="306" fontId="52" fillId="42" borderId="11" xfId="0" applyFill="true" applyBorder="true" applyAlignment="true">
      <alignment horizontal="center" vertical="center"/>
    </xf>
    <xf numFmtId="306" fontId="52" fillId="42" borderId="1" xfId="0" applyFill="true" applyBorder="true"/>
    <xf numFmtId="306" fontId="52" fillId="42" borderId="44" xfId="0" applyFill="true" applyBorder="true" applyAlignment="true">
      <alignment horizontal="left" vertical="center" wrapText="true"/>
    </xf>
    <xf numFmtId="306" fontId="19" fillId="44" borderId="1" xfId="0" applyFont="true" applyFill="true" applyBorder="true" applyAlignment="true">
      <alignment horizontal="center" vertical="center" wrapText="true"/>
    </xf>
    <xf numFmtId="306" fontId="52" fillId="42" borderId="44" xfId="0" applyFill="true" applyBorder="true" applyAlignment="true">
      <alignment horizontal="center" vertical="center" wrapText="true"/>
    </xf>
    <xf numFmtId="306" fontId="16" fillId="43" borderId="11" xfId="0" applyFont="true" applyFill="true" applyBorder="true" applyAlignment="true">
      <alignment horizontal="center" vertical="center" wrapText="true"/>
    </xf>
    <xf numFmtId="306" fontId="52" fillId="44" borderId="50" xfId="0" applyFill="true" applyBorder="true" applyAlignment="true">
      <alignment horizontal="center" vertical="center"/>
    </xf>
    <xf numFmtId="306" fontId="52" fillId="44" borderId="11" xfId="0" applyFill="true" applyBorder="true" applyAlignment="true">
      <alignment horizontal="center" vertical="center"/>
    </xf>
    <xf numFmtId="306" fontId="52" fillId="0" borderId="57" xfId="0" applyBorder="true" applyAlignment="true">
      <alignment horizontal="center" vertical="center"/>
    </xf>
    <xf numFmtId="27" fontId="52" fillId="42" borderId="11" xfId="0" applyNumberFormat="true" applyFill="true" applyBorder="true" applyAlignment="true">
      <alignment horizontal="center" vertical="center" wrapText="true"/>
    </xf>
    <xf numFmtId="306" fontId="52" fillId="42" borderId="58" xfId="0" applyFill="true" applyBorder="true" applyAlignment="true">
      <alignment horizontal="center" vertical="center" wrapText="true"/>
    </xf>
    <xf numFmtId="306" fontId="52" fillId="42" borderId="59" xfId="0" applyFill="true" applyBorder="true" applyAlignment="true">
      <alignment horizontal="center" vertical="center" wrapText="true"/>
    </xf>
    <xf numFmtId="306" fontId="52" fillId="42" borderId="42" xfId="0" applyFill="true" applyBorder="true" applyAlignment="true">
      <alignment horizontal="center" vertical="center" wrapText="true"/>
    </xf>
    <xf numFmtId="306" fontId="52" fillId="42" borderId="23" xfId="0" applyFill="true" applyBorder="true" applyAlignment="true">
      <alignment horizontal="center" vertical="center"/>
    </xf>
    <xf numFmtId="305" fontId="52" fillId="42" borderId="44" xfId="0" applyNumberFormat="true" applyFill="true" applyBorder="true" applyAlignment="true">
      <alignment horizontal="center" vertical="center"/>
    </xf>
    <xf numFmtId="306" fontId="20" fillId="42" borderId="36" xfId="0" applyFont="true" applyFill="true" applyBorder="true" applyAlignment="true">
      <alignment horizontal="center" vertical="center"/>
    </xf>
    <xf numFmtId="306" fontId="16" fillId="43" borderId="44" xfId="0" applyFont="true" applyFill="true" applyBorder="true" applyAlignment="true">
      <alignment horizontal="center" vertical="center" wrapText="true"/>
    </xf>
    <xf numFmtId="306" fontId="25" fillId="0" borderId="44" xfId="0" applyFont="true" applyBorder="true"/>
    <xf numFmtId="306" fontId="52" fillId="42" borderId="19" xfId="0" applyFill="true" applyBorder="true"/>
    <xf numFmtId="306" fontId="20" fillId="42" borderId="36" xfId="0" applyFont="true" applyFill="true" applyBorder="true" applyAlignment="true">
      <alignment horizontal="center" vertical="center" wrapText="true"/>
    </xf>
    <xf numFmtId="305" fontId="52" fillId="42" borderId="11" xfId="0" applyNumberFormat="true" applyFill="true" applyBorder="true" applyAlignment="true">
      <alignment horizontal="center" vertical="center"/>
    </xf>
    <xf numFmtId="306" fontId="25" fillId="0" borderId="56" xfId="0" applyFont="true" applyBorder="true"/>
    <xf numFmtId="306" fontId="52" fillId="42" borderId="12" xfId="0" applyFill="true" applyBorder="true" applyAlignment="true">
      <alignment horizontal="center" vertical="center"/>
    </xf>
    <xf numFmtId="306" fontId="52" fillId="0" borderId="56" xfId="0" applyBorder="true" applyAlignment="true">
      <alignment vertical="center" wrapText="true"/>
    </xf>
    <xf numFmtId="305" fontId="52" fillId="42" borderId="1" xfId="0" applyNumberFormat="true" applyFill="true" applyBorder="true"/>
    <xf numFmtId="306" fontId="52" fillId="0" borderId="50" xfId="0" applyBorder="true" applyAlignment="true">
      <alignment horizontal="left" vertical="center"/>
    </xf>
    <xf numFmtId="300" fontId="52" fillId="42" borderId="1" xfId="0" applyNumberFormat="true" applyFill="true" applyBorder="true" applyAlignment="true">
      <alignment horizontal="center" vertical="center"/>
    </xf>
    <xf numFmtId="306" fontId="52" fillId="42" borderId="50" xfId="0" applyFill="true" applyBorder="true" applyAlignment="true">
      <alignment horizontal="center" vertical="center"/>
    </xf>
    <xf numFmtId="300" fontId="20" fillId="42" borderId="1" xfId="0" applyNumberFormat="true" applyFont="true" applyFill="true" applyBorder="true" applyAlignment="true">
      <alignment horizontal="center" vertical="center"/>
    </xf>
    <xf numFmtId="306" fontId="52" fillId="43" borderId="11" xfId="0" applyFill="true" applyBorder="true" applyAlignment="true">
      <alignment horizontal="center" vertical="center"/>
    </xf>
    <xf numFmtId="306" fontId="39" fillId="44" borderId="11" xfId="0" applyFont="true" applyFill="true" applyBorder="true" applyAlignment="true">
      <alignment horizontal="center" vertical="center"/>
    </xf>
    <xf numFmtId="304" fontId="52" fillId="0" borderId="61" xfId="0" applyNumberFormat="true"/>
    <xf numFmtId="306" fontId="11" fillId="0" borderId="11" xfId="0" applyFont="true" applyBorder="true" applyAlignment="true">
      <alignment horizontal="center" vertical="center"/>
    </xf>
    <xf numFmtId="306" fontId="25" fillId="0" borderId="11" xfId="0" applyFont="true" applyBorder="true" applyAlignment="true">
      <alignment horizontal="center" vertical="center"/>
    </xf>
    <xf numFmtId="304" fontId="11" fillId="0" borderId="11" xfId="0" applyNumberFormat="true" applyFont="true" applyBorder="true" applyAlignment="true">
      <alignment horizontal="center" vertical="center" wrapText="true"/>
    </xf>
    <xf numFmtId="306" fontId="11" fillId="0" borderId="12" xfId="0" applyFont="true" applyBorder="true" applyAlignment="true">
      <alignment horizontal="center" vertical="center"/>
    </xf>
    <xf numFmtId="306" fontId="25" fillId="0" borderId="1" xfId="0" applyFont="true" applyBorder="true" applyAlignment="true">
      <alignment horizontal="center" vertical="center" wrapText="true"/>
    </xf>
    <xf numFmtId="300" fontId="25" fillId="0" borderId="1" xfId="0" applyNumberFormat="true" applyFont="true" applyBorder="true" applyAlignment="true">
      <alignment horizontal="center" vertical="center"/>
    </xf>
    <xf numFmtId="306" fontId="11" fillId="0" borderId="19" xfId="0" applyFont="true" applyBorder="true" applyAlignment="true">
      <alignment horizontal="center" vertical="center"/>
    </xf>
    <xf numFmtId="300" fontId="11" fillId="0" borderId="1" xfId="0" applyNumberFormat="true" applyFont="true" applyBorder="true" applyAlignment="true">
      <alignment horizontal="center" vertical="center"/>
    </xf>
    <xf numFmtId="306" fontId="11" fillId="0" borderId="44" xfId="0" applyFont="true" applyBorder="true" applyAlignment="true">
      <alignment horizontal="center" vertical="center"/>
    </xf>
    <xf numFmtId="304" fontId="11" fillId="0" borderId="1" xfId="0" applyNumberFormat="true" applyFont="true" applyBorder="true" applyAlignment="true">
      <alignment horizontal="center" vertical="center"/>
    </xf>
    <xf numFmtId="300" fontId="25" fillId="0" borderId="19" xfId="0" applyNumberFormat="true" applyFont="true" applyBorder="true" applyAlignment="true">
      <alignment horizontal="center" vertical="center"/>
    </xf>
    <xf fontId="25" fillId="0" borderId="1" xfId="0">
      <alignment horizontal="center" vertical="center" wrapText="true"/>
    </xf>
    <xf fontId="25" fillId="0" borderId="1" xfId="0">
      <alignment horizontal="center" vertical="center"/>
    </xf>
    <xf numFmtId="306" fontId="52" fillId="0" borderId="61" xfId="0" applyAlignment="true">
      <alignment horizontal="left" vertical="center"/>
    </xf>
    <xf numFmtId="306" fontId="16" fillId="43" borderId="1" xfId="0" applyFont="true" applyFill="true" applyBorder="true" applyAlignment="true">
      <alignment horizontal="center" vertical="top" wrapText="true"/>
    </xf>
    <xf numFmtId="306" fontId="16" fillId="44" borderId="1" xfId="0" applyFont="true" applyFill="true" applyBorder="true" applyAlignment="true">
      <alignment horizontal="center" vertical="top" wrapText="true"/>
    </xf>
    <xf numFmtId="306" fontId="16" fillId="43" borderId="22" xfId="0" applyFont="true" applyFill="true" applyBorder="true" applyAlignment="true">
      <alignment horizontal="center" vertical="top" wrapText="true"/>
    </xf>
    <xf numFmtId="306" fontId="16" fillId="44" borderId="22" xfId="0" applyFont="true" applyFill="true" applyBorder="true" applyAlignment="true">
      <alignment horizontal="center" vertical="top" wrapText="true"/>
    </xf>
    <xf numFmtId="306" fontId="52" fillId="0" borderId="22" xfId="0" applyBorder="true"/>
    <xf numFmtId="306" fontId="16" fillId="43" borderId="28" xfId="0" applyFont="true" applyFill="true" applyBorder="true" applyAlignment="true">
      <alignment horizontal="center" vertical="top" wrapText="true"/>
    </xf>
    <xf numFmtId="306" fontId="16" fillId="44" borderId="28" xfId="0" applyFont="true" applyFill="true" applyBorder="true" applyAlignment="true">
      <alignment horizontal="center" vertical="top" wrapText="true"/>
    </xf>
    <xf numFmtId="306" fontId="52" fillId="44" borderId="42" xfId="0" applyFill="true" applyBorder="true" applyAlignment="true">
      <alignment horizontal="center" vertical="center"/>
    </xf>
    <xf numFmtId="306" fontId="52" fillId="32" borderId="1" xfId="0" applyFill="true" applyBorder="true" applyAlignment="true">
      <alignment horizontal="center" vertical="center"/>
    </xf>
    <xf numFmtId="306" fontId="25" fillId="0" borderId="11" xfId="0" applyFont="true" applyBorder="true"/>
    <xf numFmtId="306" fontId="52" fillId="0" borderId="12" xfId="0" applyBorder="true"/>
    <xf numFmtId="306" fontId="20" fillId="32" borderId="1" xfId="0" applyFont="true" applyFill="true" applyBorder="true" applyAlignment="true">
      <alignment horizontal="center" vertical="center"/>
    </xf>
    <xf numFmtId="306" fontId="16" fillId="43" borderId="11" xfId="0" applyFont="true" applyFill="true" applyBorder="true" applyAlignment="true">
      <alignment horizontal="center" vertical="top" wrapText="true"/>
    </xf>
    <xf numFmtId="306" fontId="52" fillId="44" borderId="12" xfId="0" applyFill="true" applyBorder="true" applyAlignment="true">
      <alignment horizontal="center" vertical="center"/>
    </xf>
    <xf numFmtId="306" fontId="20" fillId="42" borderId="1" xfId="0" applyFont="true" applyFill="true" applyBorder="true" applyAlignment="true">
      <alignment horizontal="center" vertical="center"/>
    </xf>
    <xf numFmtId="306" fontId="25" fillId="0" borderId="22" xfId="0" applyFont="true" applyBorder="true"/>
    <xf numFmtId="306" fontId="52" fillId="42" borderId="22" xfId="0" applyFill="true" applyBorder="true"/>
    <xf numFmtId="306" fontId="20" fillId="44" borderId="44" xfId="0" applyFont="true" applyFill="true" applyBorder="true" applyAlignment="true">
      <alignment horizontal="center" vertical="center"/>
    </xf>
    <xf numFmtId="306" fontId="52" fillId="42" borderId="51" xfId="0" applyFill="true" applyBorder="true" applyAlignment="true">
      <alignment horizontal="center" vertical="center"/>
    </xf>
    <xf numFmtId="306" fontId="52" fillId="42" borderId="42" xfId="0" applyFill="true" applyBorder="true" applyAlignment="true">
      <alignment horizontal="center" vertical="center"/>
    </xf>
    <xf numFmtId="306" fontId="16" fillId="35" borderId="1" xfId="0" applyFont="true" applyFill="true" applyBorder="true" applyAlignment="true">
      <alignment horizontal="center" vertical="top" wrapText="true"/>
    </xf>
    <xf numFmtId="306" fontId="52" fillId="0" borderId="11" xfId="0" applyBorder="true" applyAlignment="true">
      <alignment horizontal="left" vertical="center" wrapText="true"/>
    </xf>
    <xf numFmtId="306" fontId="19" fillId="44" borderId="22" xfId="0" applyFont="true" applyFill="true" applyBorder="true" applyAlignment="true">
      <alignment horizontal="center" vertical="top" wrapText="true"/>
    </xf>
    <xf numFmtId="306" fontId="52" fillId="43" borderId="22" xfId="0" applyFill="true" applyBorder="true" applyAlignment="true">
      <alignment horizontal="center" vertical="center"/>
    </xf>
    <xf numFmtId="306" fontId="52" fillId="44" borderId="36" xfId="0" applyFill="true" applyBorder="true" applyAlignment="true">
      <alignment horizontal="center" vertical="center"/>
    </xf>
    <xf numFmtId="306" fontId="52" fillId="0" borderId="42" xfId="0" applyBorder="true"/>
    <xf numFmtId="306" fontId="40" fillId="43" borderId="1" xfId="0" applyFont="true" applyFill="true" applyBorder="true" applyAlignment="true">
      <alignment horizontal="center" vertical="top" wrapText="true"/>
    </xf>
    <xf numFmtId="306" fontId="41" fillId="44" borderId="1" xfId="0" applyFont="true" applyFill="true" applyBorder="true" applyAlignment="true">
      <alignment horizontal="center" vertical="center"/>
    </xf>
    <xf numFmtId="306" fontId="52" fillId="0" borderId="23" xfId="0" applyBorder="true" applyAlignment="true">
      <alignment vertical="center" wrapText="true"/>
    </xf>
    <xf numFmtId="306" fontId="20" fillId="44" borderId="36" xfId="0" applyFont="true" applyFill="true" applyBorder="true" applyAlignment="true">
      <alignment horizontal="center" vertical="center"/>
    </xf>
    <xf numFmtId="306" fontId="52" fillId="42" borderId="56" xfId="0" applyFill="true" applyBorder="true" applyAlignment="true">
      <alignment horizontal="center" vertical="center"/>
    </xf>
    <xf numFmtId="306" fontId="20" fillId="44" borderId="19" xfId="0" applyFont="true" applyFill="true" applyBorder="true" applyAlignment="true">
      <alignment horizontal="center" vertical="center"/>
    </xf>
    <xf numFmtId="306" fontId="16" fillId="43" borderId="44" xfId="0" applyFont="true" applyFill="true" applyBorder="true" applyAlignment="true">
      <alignment horizontal="center" vertical="top" wrapText="true"/>
    </xf>
    <xf numFmtId="306" fontId="52" fillId="43" borderId="44" xfId="0" applyFill="true" applyBorder="true" applyAlignment="true">
      <alignment horizontal="center" vertical="center"/>
    </xf>
    <xf numFmtId="306" fontId="16" fillId="44" borderId="11" xfId="0" applyFont="true" applyFill="true" applyBorder="true" applyAlignment="true">
      <alignment horizontal="center" vertical="top" wrapText="true"/>
    </xf>
    <xf numFmtId="306" fontId="39" fillId="42" borderId="19" xfId="0" applyFont="true" applyFill="true" applyBorder="true" applyAlignment="true">
      <alignment horizontal="center" vertical="center"/>
    </xf>
    <xf numFmtId="306" fontId="39" fillId="44" borderId="1" xfId="0" applyFont="true" applyFill="true" applyBorder="true" applyAlignment="true">
      <alignment horizontal="center" vertical="center"/>
    </xf>
    <xf numFmtId="306" fontId="11" fillId="0" borderId="22" xfId="0" applyFont="true" applyBorder="true" applyAlignment="true">
      <alignment horizontal="center" vertical="center"/>
    </xf>
    <xf numFmtId="306" fontId="25" fillId="0" borderId="19" xfId="0" applyFont="true" applyBorder="true" applyAlignment="true">
      <alignment horizontal="left" vertical="center"/>
    </xf>
    <xf numFmtId="306" fontId="11" fillId="0" borderId="51" xfId="0" applyFont="true" applyBorder="true" applyAlignment="true">
      <alignment horizontal="center" vertical="center"/>
    </xf>
    <xf numFmtId="306" fontId="11" fillId="0" borderId="43" xfId="0" applyFont="true" applyBorder="true" applyAlignment="true">
      <alignment horizontal="center" vertical="center"/>
    </xf>
    <xf numFmtId="306" fontId="10" fillId="45" borderId="1" xfId="0" applyFont="true" applyFill="true" applyBorder="true"/>
    <xf numFmtId="306" fontId="10" fillId="4" borderId="1" xfId="0" applyFont="true" applyFill="true" applyBorder="true"/>
    <xf numFmtId="306" fontId="11" fillId="0" borderId="42" xfId="0" applyFont="true" applyBorder="true"/>
    <xf numFmtId="306" fontId="11" fillId="0" borderId="1" xfId="0" applyFont="true" applyBorder="true" applyAlignment="true">
      <alignment horizontal="left" vertical="top" wrapText="true"/>
    </xf>
    <xf numFmtId="306" fontId="11" fillId="0" borderId="1" xfId="0" applyFont="true" applyBorder="true" applyAlignment="true">
      <alignment horizontal="left" vertical="top"/>
    </xf>
    <xf numFmtId="306" fontId="42" fillId="15" borderId="1" xfId="0" applyFont="true" applyFill="true" applyBorder="true" applyAlignment="true">
      <alignment horizontal="center" vertical="center"/>
    </xf>
    <xf numFmtId="306" fontId="42" fillId="0" borderId="1" xfId="0" applyFont="true" applyBorder="true" applyAlignment="true">
      <alignment vertical="center" wrapText="true"/>
    </xf>
    <xf numFmtId="306" fontId="42" fillId="0" borderId="1" xfId="0" applyFont="true" applyBorder="true" applyAlignment="true">
      <alignment horizontal="center" vertical="center"/>
    </xf>
    <xf numFmtId="306" fontId="42" fillId="0" borderId="1" xfId="0" applyFont="true" applyBorder="true" applyAlignment="true">
      <alignment horizontal="center" vertical="center" wrapText="true"/>
    </xf>
    <xf numFmtId="49" fontId="11" fillId="0" borderId="1" xfId="0" applyNumberFormat="true" applyFont="true" applyBorder="true" applyAlignment="true">
      <alignment horizontal="right" vertical="center"/>
    </xf>
    <xf numFmtId="306" fontId="43" fillId="0" borderId="1" xfId="0" applyFont="true" applyBorder="true" applyAlignment="true">
      <alignment vertical="center" wrapText="true"/>
    </xf>
    <xf numFmtId="306" fontId="42" fillId="0" borderId="1" xfId="0" applyFont="true" applyBorder="true"/>
    <xf numFmtId="306" fontId="43" fillId="0" borderId="1" xfId="0" applyFont="true" applyBorder="true" applyAlignment="true">
      <alignment horizontal="center" vertical="center" wrapText="true"/>
    </xf>
    <xf numFmtId="49" fontId="11" fillId="0" borderId="1" xfId="0" applyNumberFormat="true" applyFont="true" applyBorder="true" applyAlignment="true">
      <alignment horizontal="center" vertical="center"/>
    </xf>
    <xf numFmtId="306" fontId="42" fillId="15" borderId="1" xfId="0" applyFont="true" applyFill="true" applyBorder="true" applyAlignment="true">
      <alignment horizontal="center" vertical="center" wrapText="true"/>
    </xf>
    <xf numFmtId="306" fontId="11" fillId="0" borderId="1" xfId="0" applyFont="true" applyBorder="true" applyAlignment="true">
      <alignment horizontal="right" vertical="center"/>
    </xf>
    <xf numFmtId="306" fontId="42" fillId="38" borderId="1" xfId="0" applyFont="true" applyFill="true" applyBorder="true" applyAlignment="true">
      <alignment horizontal="center" vertical="center" wrapText="true"/>
    </xf>
    <xf numFmtId="306" fontId="42" fillId="0" borderId="1" xfId="0" applyFont="true" applyBorder="true" applyAlignment="true">
      <alignment horizontal="left" vertical="top" wrapText="true"/>
    </xf>
    <xf numFmtId="306" fontId="42" fillId="38" borderId="1" xfId="0" applyFont="true" applyFill="true" applyBorder="true" applyAlignment="true">
      <alignment horizontal="center" vertical="center"/>
    </xf>
    <xf numFmtId="306" fontId="11" fillId="15" borderId="1" xfId="0" applyFont="true" applyFill="true" applyBorder="true" applyAlignment="true">
      <alignment horizontal="center" vertical="center" wrapText="true"/>
    </xf>
    <xf numFmtId="306" fontId="11" fillId="15" borderId="1" xfId="0" applyFont="true" applyFill="true" applyBorder="true" applyAlignment="true">
      <alignment horizontal="center" vertical="center"/>
    </xf>
    <xf numFmtId="306" fontId="11" fillId="4" borderId="1" xfId="0" applyFont="true" applyFill="true" applyBorder="true" applyAlignment="true">
      <alignment horizontal="center" vertical="center" wrapText="true"/>
    </xf>
    <xf numFmtId="306" fontId="42" fillId="0" borderId="1" xfId="0" applyFont="true" applyBorder="true" applyAlignment="true">
      <alignment horizontal="center"/>
    </xf>
    <xf numFmtId="306" fontId="10" fillId="0" borderId="42" xfId="0" applyFont="true" applyBorder="true"/>
    <xf numFmtId="306" fontId="42" fillId="0" borderId="1" xfId="0" applyFont="true" applyBorder="true" applyAlignment="true">
      <alignment horizontal="center" vertical="top" wrapText="true"/>
    </xf>
    <xf numFmtId="306" fontId="11" fillId="4" borderId="1" xfId="0" applyFont="true" applyFill="true" applyBorder="true" applyAlignment="true">
      <alignment horizontal="center" vertical="center"/>
    </xf>
    <xf numFmtId="306" fontId="11" fillId="46" borderId="1" xfId="0" applyFont="true" applyFill="true" applyBorder="true" applyAlignment="true">
      <alignment horizontal="center" vertical="center" wrapText="true"/>
    </xf>
    <xf numFmtId="306" fontId="11" fillId="46" borderId="1" xfId="0" applyFont="true" applyFill="true" applyBorder="true" applyAlignment="true">
      <alignment horizontal="center" vertical="center"/>
    </xf>
    <xf numFmtId="306" fontId="11" fillId="37" borderId="1" xfId="0" applyFont="true" applyFill="true" applyBorder="true" applyAlignment="true">
      <alignment horizontal="center" vertical="center"/>
    </xf>
    <xf numFmtId="306" fontId="11" fillId="0" borderId="61" xfId="0" applyFont="true" applyAlignment="true">
      <alignment horizontal="left" vertical="top" wrapText="true"/>
    </xf>
    <xf numFmtId="306" fontId="11" fillId="0" borderId="61" xfId="0" applyFont="true" applyAlignment="true">
      <alignment horizontal="left" vertical="top"/>
    </xf>
    <xf numFmtId="306" fontId="11" fillId="0" borderId="51" xfId="0" applyFont="true" applyBorder="true" applyAlignment="true">
      <alignment horizontal="left" vertical="top" wrapText="true"/>
    </xf>
    <xf numFmtId="306" fontId="11" fillId="0" borderId="22" xfId="0" applyFont="true" applyBorder="true" applyAlignment="true">
      <alignment horizontal="left" vertical="top"/>
    </xf>
    <xf numFmtId="306" fontId="11" fillId="0" borderId="22" xfId="0" applyFont="true" applyBorder="true" applyAlignment="true">
      <alignment vertical="center" wrapText="true"/>
    </xf>
    <xf numFmtId="306" fontId="11" fillId="0" borderId="22" xfId="0" applyFont="true" applyBorder="true"/>
    <xf numFmtId="306" fontId="11" fillId="0" borderId="42" xfId="0" applyFont="true" applyBorder="true" applyAlignment="true">
      <alignment horizontal="center" vertical="center"/>
    </xf>
    <xf numFmtId="49" fontId="11" fillId="0" borderId="61" xfId="0" applyNumberFormat="true" applyFont="true" applyAlignment="true">
      <alignment horizontal="right" vertical="center"/>
    </xf>
    <xf numFmtId="306" fontId="11" fillId="0" borderId="36" xfId="0" applyFont="true" applyBorder="true" applyAlignment="true">
      <alignment horizontal="center" vertical="center"/>
    </xf>
    <xf numFmtId="306" fontId="11" fillId="0" borderId="1" xfId="0" applyFont="true" applyBorder="true" applyAlignment="true">
      <alignment horizontal="left" vertical="center" wrapText="true"/>
    </xf>
    <xf numFmtId="306" fontId="11" fillId="0" borderId="61" xfId="0" applyFont="true" applyAlignment="true">
      <alignment horizontal="right" vertical="center"/>
    </xf>
    <xf numFmtId="306" fontId="11" fillId="0" borderId="42" xfId="0" applyFont="true" applyBorder="true" applyAlignment="true">
      <alignment vertical="center" wrapText="true"/>
    </xf>
    <xf numFmtId="10" fontId="11" fillId="0" borderId="1" xfId="0" applyNumberFormat="true" applyFont="true" applyBorder="true"/>
    <xf numFmtId="306" fontId="18" fillId="0" borderId="42" xfId="0" applyFont="true" applyBorder="true" applyAlignment="true">
      <alignment vertical="center" wrapText="true"/>
    </xf>
    <xf numFmtId="306" fontId="11" fillId="0" borderId="51" xfId="0" applyFont="true" applyBorder="true"/>
    <xf numFmtId="306" fontId="52" fillId="43" borderId="19" xfId="0" applyFill="true" applyBorder="true" applyAlignment="true">
      <alignment horizontal="center" vertical="center"/>
    </xf>
    <xf numFmtId="306" fontId="17" fillId="43" borderId="1" xfId="0" applyFont="true" applyFill="true" applyBorder="true" applyAlignment="true">
      <alignment horizontal="center" vertical="top" wrapText="true"/>
    </xf>
    <xf numFmtId="306" fontId="19" fillId="43" borderId="1" xfId="0" applyFont="true" applyFill="true" applyBorder="true" applyAlignment="true">
      <alignment horizontal="center" vertical="top" wrapText="true"/>
    </xf>
    <xf numFmtId="306" fontId="15" fillId="43" borderId="1" xfId="0" applyFont="true" applyFill="true" applyBorder="true" applyAlignment="true">
      <alignment horizontal="center" vertical="top" wrapText="true"/>
    </xf>
    <xf numFmtId="306" fontId="20" fillId="43" borderId="19" xfId="0" applyFont="true" applyFill="true" applyBorder="true" applyAlignment="true">
      <alignment horizontal="center" vertical="center"/>
    </xf>
    <xf numFmtId="306" fontId="20" fillId="0" borderId="38" xfId="0" applyFont="true" applyBorder="true" applyAlignment="true">
      <alignment vertical="bottom"/>
    </xf>
    <xf numFmtId="306" fontId="20" fillId="0" borderId="39" xfId="0" applyFont="true" applyBorder="true" applyAlignment="true">
      <alignment vertical="bottom"/>
    </xf>
    <xf numFmtId="306" fontId="20" fillId="0" borderId="40" xfId="0" applyFont="true" applyBorder="true" applyAlignment="true">
      <alignment vertical="bottom"/>
    </xf>
    <xf numFmtId="306" fontId="20" fillId="0" borderId="36" xfId="0" applyFont="true" applyBorder="true" applyAlignment="true">
      <alignment vertical="bottom"/>
    </xf>
    <xf numFmtId="306" fontId="14" fillId="4" borderId="60" xfId="0" applyFont="true" applyFill="true" applyBorder="true" applyAlignment="true">
      <alignment horizontal="center" vertical="center" wrapText="true"/>
    </xf>
    <xf numFmtId="306" fontId="18" fillId="0" borderId="1" xfId="0" applyFont="true" applyBorder="true" applyAlignment="true">
      <alignment horizontal="center" vertical="center" wrapText="true"/>
    </xf>
    <xf numFmtId="306" fontId="11" fillId="6" borderId="1" xfId="0" applyFont="true" applyFill="true" applyBorder="true" applyAlignment="true">
      <alignment horizontal="center" vertical="center"/>
    </xf>
    <xf numFmtId="303" fontId="11" fillId="6" borderId="1" xfId="0" applyNumberFormat="true" applyFont="true" applyFill="true" applyBorder="true" applyAlignment="true">
      <alignment horizontal="center" vertical="center"/>
    </xf>
    <xf numFmtId="303" fontId="11" fillId="0" borderId="1" xfId="0" applyNumberFormat="true" applyFont="true" applyBorder="true" applyAlignment="true">
      <alignment horizontal="center" vertical="center"/>
    </xf>
    <xf numFmtId="306" fontId="16" fillId="8" borderId="19" xfId="0" applyFont="true" applyFill="true" applyBorder="true" applyAlignment="true">
      <alignment horizontal="center" vertical="top" wrapText="true"/>
    </xf>
    <xf numFmtId="306" fontId="44" fillId="47" borderId="22" xfId="0" applyFont="true" applyFill="true" applyBorder="true" applyAlignment="true">
      <alignment vertical="center" wrapText="true"/>
    </xf>
    <xf numFmtId="306" fontId="44" fillId="47" borderId="22" xfId="0" applyFont="true" applyFill="true" applyBorder="true"/>
    <xf numFmtId="306" fontId="44" fillId="48" borderId="23" xfId="0" applyFont="true" applyFill="true" applyBorder="true" applyAlignment="true">
      <alignment vertical="center" wrapText="true"/>
    </xf>
    <xf numFmtId="306" fontId="44" fillId="48" borderId="22" xfId="0" applyFont="true" applyFill="true" applyBorder="true" applyAlignment="true">
      <alignment vertical="center" wrapText="true"/>
    </xf>
    <xf numFmtId="306" fontId="45" fillId="0" borderId="61" xfId="0" applyFont="true" applyAlignment="true">
      <alignment vertical="center" wrapText="true"/>
    </xf>
    <xf numFmtId="306" fontId="45" fillId="49" borderId="22" xfId="0" applyFont="true" applyFill="true" applyBorder="true" applyAlignment="true">
      <alignment vertical="center" wrapText="true"/>
    </xf>
    <xf numFmtId="306" fontId="45" fillId="49" borderId="1" xfId="0" applyFont="true" applyFill="true" applyBorder="true" applyAlignment="true">
      <alignment vertical="center" wrapText="true"/>
    </xf>
    <xf numFmtId="306" fontId="44" fillId="12" borderId="1" xfId="0" applyFont="true" applyFill="true" applyBorder="true" applyAlignment="true">
      <alignment vertical="center" wrapText="true"/>
    </xf>
    <xf numFmtId="306" fontId="46" fillId="49" borderId="1" xfId="0" applyFont="true" applyFill="true" applyBorder="true" applyAlignment="true">
      <alignment vertical="center" wrapText="true"/>
    </xf>
    <xf numFmtId="306" fontId="45" fillId="0" borderId="61" xfId="0" applyFont="true"/>
    <xf numFmtId="306" fontId="44" fillId="35" borderId="1" xfId="0" applyFont="true" applyFill="true" applyBorder="true" applyAlignment="true">
      <alignment vertical="center" wrapText="true"/>
    </xf>
    <xf numFmtId="306" fontId="44" fillId="49" borderId="1" xfId="0" applyFont="true" applyFill="true" applyBorder="true" applyAlignment="true">
      <alignment vertical="center" wrapText="true"/>
    </xf>
    <xf numFmtId="306" fontId="44" fillId="0" borderId="61" xfId="0" applyFont="true" applyAlignment="true">
      <alignment vertical="center" wrapText="true"/>
    </xf>
    <xf numFmtId="306" fontId="47" fillId="0" borderId="1" xfId="0" applyFont="true" applyBorder="true" applyAlignment="true">
      <alignment horizontal="center" vertical="center" wrapText="true"/>
    </xf>
    <xf numFmtId="306" fontId="47" fillId="0" borderId="1" xfId="0" applyFont="true" applyBorder="true" applyAlignment="true">
      <alignment vertical="center" wrapText="true"/>
    </xf>
    <xf numFmtId="306" fontId="25" fillId="0" borderId="1" xfId="0" applyFont="true" applyBorder="true" applyAlignment="true">
      <alignment vertical="center" wrapText="true"/>
    </xf>
    <xf numFmtId="306" fontId="47" fillId="0" borderId="44" xfId="0" applyFont="true" applyBorder="true" applyAlignment="true">
      <alignment vertical="center" wrapText="true"/>
    </xf>
    <xf numFmtId="306" fontId="47" fillId="0" borderId="44" xfId="0" applyFont="true" applyBorder="true" applyAlignment="true">
      <alignment horizontal="center" vertical="center" wrapText="true"/>
    </xf>
    <xf numFmtId="306" fontId="25" fillId="3" borderId="1" xfId="0" applyFont="true" applyFill="true" applyBorder="true" applyAlignment="true">
      <alignment horizontal="left" vertical="center" wrapText="true"/>
    </xf>
    <xf numFmtId="306" fontId="48" fillId="0" borderId="1" xfId="0" applyFont="true" applyBorder="true" applyAlignment="true">
      <alignment vertical="center" wrapText="true"/>
    </xf>
    <xf numFmtId="306" fontId="49" fillId="0" borderId="1" xfId="0" applyFont="true" applyBorder="true" applyAlignment="true">
      <alignment vertical="center" wrapText="true"/>
    </xf>
    <xf numFmtId="306" fontId="49" fillId="0" borderId="19" xfId="0" applyFont="true" applyBorder="true" applyAlignment="true">
      <alignment vertical="center" wrapText="true"/>
    </xf>
    <xf numFmtId="306" fontId="49" fillId="0" borderId="19" xfId="0" applyFont="true" applyBorder="true" applyAlignment="true">
      <alignment horizontal="left" vertical="top" wrapText="true"/>
    </xf>
    <xf numFmtId="306" fontId="25" fillId="0" borderId="1" xfId="0" applyFont="true" applyBorder="true" applyAlignment="true">
      <alignment horizontal="left" vertical="top" wrapText="true"/>
    </xf>
    <xf numFmtId="306" fontId="47" fillId="15" borderId="1" xfId="0" applyFont="true" applyFill="true" applyBorder="true" applyAlignment="true">
      <alignment horizontal="center" vertical="center" wrapText="true"/>
    </xf>
    <xf numFmtId="306" fontId="47" fillId="15" borderId="1" xfId="0" applyFont="true" applyFill="true" applyBorder="true" applyAlignment="true">
      <alignment vertical="center" wrapText="true"/>
    </xf>
    <xf numFmtId="306" fontId="48" fillId="0" borderId="1" xfId="0" applyFont="true" applyBorder="true" applyAlignment="true">
      <alignment horizontal="center" vertical="center" wrapText="true"/>
    </xf>
    <xf numFmtId="306" fontId="25" fillId="50" borderId="1" xfId="0" applyFont="true" applyFill="true" applyBorder="true" applyAlignment="true">
      <alignment vertical="center" wrapText="true"/>
    </xf>
    <xf numFmtId="306" fontId="25" fillId="14" borderId="1" xfId="0" applyFont="true" applyFill="true" applyBorder="true" applyAlignment="true">
      <alignment vertical="center" wrapText="true"/>
    </xf>
    <xf numFmtId="306" fontId="50" fillId="0" borderId="1" xfId="0" applyFont="true" applyBorder="true" applyAlignment="true">
      <alignment horizontal="left" vertical="top" wrapText="true"/>
    </xf>
    <xf numFmtId="306" fontId="48" fillId="0" borderId="28" xfId="0" applyFont="true" applyBorder="true" applyAlignment="true">
      <alignment horizontal="center" vertical="center" wrapText="true"/>
    </xf>
    <xf numFmtId="306" fontId="25" fillId="0" borderId="28" xfId="0" applyFont="true" applyBorder="true" applyAlignment="true">
      <alignment horizontal="left" vertical="top" wrapText="true"/>
    </xf>
    <xf numFmtId="306" fontId="48" fillId="0" borderId="11" xfId="0" applyFont="true" applyBorder="true" applyAlignment="true">
      <alignment horizontal="center" vertical="center" wrapText="true"/>
    </xf>
    <xf numFmtId="306" fontId="25" fillId="0" borderId="11" xfId="0" applyFont="true" applyBorder="true" applyAlignment="true">
      <alignment horizontal="left" vertical="top" wrapText="true"/>
    </xf>
    <xf numFmtId="306" fontId="50" fillId="0" borderId="11" xfId="0" applyFont="true" applyBorder="true" applyAlignment="true">
      <alignment horizontal="left" vertical="top" wrapText="true"/>
    </xf>
    <xf numFmtId="306" fontId="47" fillId="15" borderId="1" xfId="0" applyFont="true" applyFill="true" applyBorder="true" applyAlignment="true">
      <alignment horizontal="left" vertical="top" wrapText="true"/>
    </xf>
    <xf numFmtId="306" fontId="47" fillId="0" borderId="1" xfId="0" applyFont="true" applyBorder="true" applyAlignment="true">
      <alignment vertical="top" wrapText="true"/>
    </xf>
    <xf numFmtId="306" fontId="25" fillId="0" borderId="1" xfId="0" applyFont="true" applyBorder="true" applyAlignment="true">
      <alignment vertical="top" wrapText="true"/>
    </xf>
    <xf numFmtId="306" fontId="51" fillId="0" borderId="1" xfId="0" applyFont="true" applyBorder="true" applyAlignment="true">
      <alignment vertical="top" wrapText="true"/>
    </xf>
    <xf numFmtId="306" fontId="50" fillId="0" borderId="1" xfId="0" applyFont="true" applyBorder="true" applyAlignment="true">
      <alignment vertical="top" wrapText="true"/>
    </xf>
    <xf numFmtId="306" fontId="51" fillId="15" borderId="1" xfId="0" applyFont="true" applyFill="true" applyBorder="true" applyAlignment="true">
      <alignment horizontal="center" vertical="center" wrapText="true"/>
    </xf>
    <xf numFmtId="306" fontId="47" fillId="4" borderId="1" xfId="0" applyFont="true" applyFill="true" applyBorder="true" applyAlignment="true">
      <alignment horizontal="center" vertical="center" wrapText="true"/>
    </xf>
    <xf numFmtId="306" fontId="48" fillId="0" borderId="1" xfId="0" applyFont="true" applyBorder="true" applyAlignment="true">
      <alignment horizontal="center" vertical="top" wrapText="true"/>
    </xf>
    <xf numFmtId="306" fontId="16" fillId="4" borderId="1" xfId="0" applyFont="true" applyFill="true" applyBorder="true" applyAlignment="true">
      <alignment horizontal="center" vertical="center" wrapText="true"/>
    </xf>
    <xf numFmtId="306" fontId="16" fillId="14" borderId="1" xfId="0" applyFont="true" applyFill="true" applyBorder="true" applyAlignment="true">
      <alignment vertical="center" wrapText="true"/>
    </xf>
    <xf numFmtId="306" fontId="47" fillId="51" borderId="1" xfId="0" applyFont="true" applyFill="true" applyBorder="true" applyAlignment="true">
      <alignment horizontal="center" vertical="center" wrapText="true"/>
    </xf>
    <xf numFmtId="306" fontId="25" fillId="0" borderId="61" xfId="0" applyFont="true" applyAlignment="true">
      <alignment horizontal="center" vertical="center"/>
    </xf>
    <xf numFmtId="306" fontId="25" fillId="0" borderId="61" xfId="0" applyFont="true" applyAlignment="true">
      <alignment horizontal="left" vertical="top"/>
    </xf>
    <xf numFmtId="306" fontId="25" fillId="0" borderId="61" xfId="0" applyFont="true" applyAlignment="true">
      <alignment horizontal="left" vertical="top" wrapText="true"/>
    </xf>
    <xf numFmtId="306" fontId="52" fillId="52" borderId="61" xfId="0" applyNumberFormat="true" applyFill="true" applyBorder="true" applyAlignment="true">
      <alignment horizontal="center" vertical="center"/>
    </xf>
    <xf numFmtId="304" fontId="52" fillId="52" borderId="61" xfId="0" applyNumberFormat="true" applyFill="true" applyBorder="true" applyAlignment="true">
      <alignment horizontal="center" vertical="center"/>
    </xf>
    <xf numFmtId="306" fontId="52" fillId="52" borderId="61" xfId="0" applyNumberFormat="true" applyFill="true" applyBorder="true" applyAlignment="true">
      <alignment horizontal="left" vertical="center"/>
    </xf>
    <xf numFmtId="300" fontId="52" fillId="52" borderId="61" xfId="0" applyNumberFormat="true" applyFill="true" applyBorder="true" applyAlignment="true">
      <alignment horizontal="center" vertical="center"/>
    </xf>
    <xf numFmtId="306" fontId="33" fillId="16" borderId="61" xfId="0" applyNumberFormat="true" applyFont="true" applyFill="true" applyBorder="true" applyAlignment="true">
      <alignment vertical="center"/>
    </xf>
    <xf numFmtId="306" fontId="33" fillId="52" borderId="61" xfId="0" applyNumberFormat="true" applyFont="true" applyFill="true" applyBorder="true" applyAlignment="true">
      <alignment vertical="center"/>
    </xf>
    <xf numFmtId="306" fontId="33" fillId="29" borderId="61" xfId="0" applyNumberFormat="true" applyFont="true" applyFill="true" applyBorder="true" applyAlignment="true">
      <alignment vertical="center"/>
    </xf>
    <xf numFmtId="306" fontId="33" fillId="52" borderId="2" xfId="0" applyNumberFormat="true" applyFont="true" applyFill="true" applyBorder="true" applyAlignment="true">
      <alignment horizontal="center" vertical="center"/>
    </xf>
    <xf numFmtId="306" fontId="33" fillId="52" borderId="61" xfId="0" applyNumberFormat="true" applyFont="true" applyFill="true" applyBorder="true" applyAlignment="true">
      <alignment horizontal="left" vertical="center"/>
    </xf>
    <xf numFmtId="306" fontId="33" fillId="52" borderId="2" xfId="0" applyNumberFormat="true" applyFont="true" applyFill="true" applyBorder="true" applyAlignment="true">
      <alignment vertical="center"/>
    </xf>
  </cellXfs>
  <cellStyles>
    <cellStyle name="常规" xfId="0" builtinId="0"/>
    <cellStyle name="汇总" xfId="1" builtinId="25"/>
    <cellStyle name="链接单元格" xfId="2" builtinId="24"/>
    <cellStyle name="强调文字颜色 3" xfId="3" builtinId="37"/>
    <cellStyle name="标题 2" xfId="4" builtinId="17"/>
    <cellStyle name="标题 4" xfId="5" builtinId="19"/>
    <cellStyle name="标题 3" xfId="6" builtinId="18"/>
    <cellStyle name="60% - 强调文字颜色 6" xfId="7" builtinId="52"/>
    <cellStyle name="标题" xfId="8" builtinId="15"/>
    <cellStyle name="强调文字颜色 6" xfId="9" builtinId="49"/>
    <cellStyle name="20% - 强调文字颜色 6" xfId="10" builtinId="50"/>
    <cellStyle name="40% - 强调文字颜色 6" xfId="11" builtinId="51"/>
    <cellStyle name="好" xfId="12" builtinId="26"/>
    <cellStyle name="货币[0]" xfId="13" builtinId="7"/>
    <cellStyle name="60% - 强调文字颜色 4" xfId="14" builtinId="44"/>
    <cellStyle name="60% - 强调文字颜色 3" xfId="15" builtinId="40"/>
    <cellStyle name="千位分隔" xfId="16" builtinId="3"/>
    <cellStyle name="检查单元格" xfId="17" builtinId="23"/>
    <cellStyle name="计算" xfId="18" builtinId="22"/>
    <cellStyle name="输入" xfId="19" builtinId="20"/>
    <cellStyle name="注释" xfId="20" builtinId="10"/>
    <cellStyle name="40% - 强调文字颜色 5" xfId="21" builtinId="47"/>
    <cellStyle name="差" xfId="22" builtinId="27"/>
    <cellStyle name="60% - 强调文字颜色 1" xfId="23" builtinId="32"/>
    <cellStyle name="输出" xfId="24" builtinId="21"/>
    <cellStyle name="20% - 强调文字颜色 3" xfId="25" builtinId="38"/>
    <cellStyle name="40% - 强调文字颜色 1" xfId="26" builtinId="31"/>
    <cellStyle name="20% - 强调文字颜色 1" xfId="27" builtinId="30"/>
    <cellStyle name="强调文字颜色 1" xfId="28" builtinId="29"/>
    <cellStyle name="适中" xfId="29" builtinId="28"/>
    <cellStyle name="解释性文本" xfId="30" builtinId="53"/>
    <cellStyle name="标题 1" xfId="31" builtinId="16"/>
    <cellStyle name="60% - 强调文字颜色 2" xfId="32" builtinId="36"/>
    <cellStyle name="40% - 强调文字颜色 2" xfId="33" builtinId="35"/>
    <cellStyle name="20% - 强调文字颜色 2" xfId="34" builtinId="34"/>
    <cellStyle name="强调文字颜色 2" xfId="35" builtinId="33"/>
    <cellStyle name="40% - 强调文字颜色 4" xfId="36" builtinId="43"/>
    <cellStyle name="千位分隔[0]" xfId="37" builtinId="6"/>
    <cellStyle name="强调文字颜色 4" xfId="38" builtinId="41"/>
    <cellStyle name="货币" xfId="39" builtinId="4"/>
    <cellStyle name="40% - 强调文字颜色 3" xfId="40" builtinId="39"/>
    <cellStyle name="百分比" xfId="41" builtinId="5"/>
    <cellStyle name="20% - 强调文字颜色 4" xfId="42" builtinId="42"/>
    <cellStyle name="警告文本" xfId="43" builtinId="11"/>
    <cellStyle name="60% - 强调文字颜色 5" xfId="44" builtinId="48"/>
    <cellStyle name="强调文字颜色 5" xfId="45" builtinId="45"/>
    <cellStyle name="超链接" xfId="46" builtinId="8"/>
    <cellStyle name="20% - 强调文字颜色 5" xfId="47" builtinId="46"/>
    <cellStyle name="已访问的超链接" xfId="48" builtinId="9"/>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12" Type="http://schemas.openxmlformats.org/officeDocument/2006/relationships/worksheet" Target="worksheets/sheet10.xml" /><Relationship Id="rId11" Type="http://schemas.openxmlformats.org/officeDocument/2006/relationships/worksheet" Target="worksheets/sheet9.xml" /><Relationship Id="rId16" Type="http://schemas.openxmlformats.org/officeDocument/2006/relationships/worksheet" Target="worksheets/sheet14.xml" /><Relationship Id="rId13" Type="http://schemas.openxmlformats.org/officeDocument/2006/relationships/worksheet" Target="worksheets/sheet11.xml" /><Relationship Id="rId10" Type="http://schemas.openxmlformats.org/officeDocument/2006/relationships/worksheet" Target="worksheets/sheet8.xml" /><Relationship Id="rId1" Type="http://schemas.openxmlformats.org/officeDocument/2006/relationships/theme" Target="theme/theme1.xml" /><Relationship Id="rId14" Type="http://schemas.openxmlformats.org/officeDocument/2006/relationships/worksheet" Target="worksheets/sheet12.xml" /><Relationship Id="rId15" Type="http://schemas.openxmlformats.org/officeDocument/2006/relationships/worksheet" Target="worksheets/sheet13.xml" /><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8" Type="http://schemas.openxmlformats.org/officeDocument/2006/relationships/worksheet" Target="worksheets/sheet6.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20</xdr:row>
      <xdr:rowOff>0</xdr:rowOff>
    </xdr:from>
    <xdr:ext cx="10896600" cy="1333500"/>
    <xdr:pic>
      <xdr:nvPicPr>
        <xdr:cNvPr id="1" name="图片 1"/>
        <xdr:cNvPicPr/>
      </xdr:nvPicPr>
      <xdr:blipFill>
        <a:blip r:embed="rId0" r:link="rId0"/>
        <a:stretch>
          <a:fillRect/>
        </a:stretch>
      </xdr:blipFill>
      <xdr:spPr>
        <a:xfrm>
          <a:off x="0" y="4295775"/>
          <a:ext cx="10896600" cy="1333500"/>
        </a:xfrm>
        <a:prstGeom prst="rect">
          <a:avLst/>
        </a:prstGeom>
      </xdr:spPr>
    </xdr:pic>
    <xdr:clientData/>
  </xdr:oneCellAnchor>
  <xdr:oneCellAnchor>
    <xdr:from>
      <xdr:col>0</xdr:col>
      <xdr:colOff>0</xdr:colOff>
      <xdr:row>5</xdr:row>
      <xdr:rowOff>85725</xdr:rowOff>
    </xdr:from>
    <xdr:ext cx="11058525" cy="3067050"/>
    <xdr:pic>
      <xdr:nvPicPr>
        <xdr:cNvPr id="2" name="图片 2"/>
        <xdr:cNvPicPr/>
      </xdr:nvPicPr>
      <xdr:blipFill>
        <a:blip r:embed="rId1" r:link="rId1"/>
        <a:stretch>
          <a:fillRect/>
        </a:stretch>
      </xdr:blipFill>
      <xdr:spPr>
        <a:xfrm>
          <a:off x="0" y="1952625"/>
          <a:ext cx="11058525" cy="30670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0" Type="http://schemas.openxmlformats.org/officeDocument/2006/relationships/hyperlink" Target="https://drive.weixin.qq.com/s?k=AI4AagdpABEcAsh6HKAZIAiwZ_AFo"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6.xml.rels><?xml version="1.0" encoding="UTF-8" standalone="yes"?><Relationships xmlns="http://schemas.openxmlformats.org/package/2006/relationships"><Relationship Id="rId0" Type="http://schemas.openxmlformats.org/officeDocument/2006/relationships/hyperlink" Target="https://itsm.atrust.sangfor.com/#/ticket/detail?id=64544&amp;from=myCreatedTicket&amp;project_id=0" TargetMode="External"/></Relationships>
</file>

<file path=xl/worksheets/sheet1.xml><?xml version="1.0" encoding="utf-8"?>
<worksheet xmlns:r="http://schemas.openxmlformats.org/officeDocument/2006/relationships" xmlns="http://schemas.openxmlformats.org/spreadsheetml/2006/main">
  <sheetPr codeName="sw-2026年OKR"/>
  <dimension ref="G16"/>
  <sheetViews>
    <sheetView showGridLines="true" tabSelected="false" workbookViewId="0"/>
  </sheetViews>
  <sheetFormatPr defaultColWidth="9" defaultRowHeight="13.5" outlineLevelCol="6"/>
  <cols>
    <col min="1" max="1" width="1.75" customWidth="true"/>
    <col min="2" max="2" width="13.4922" customWidth="true"/>
    <col min="3" max="3" width="48.082" customWidth="true"/>
    <col min="4" max="4" width="45.5" customWidth="true"/>
    <col min="5" max="5" width="96.2812" customWidth="true"/>
    <col min="6" max="6" width="52.125" customWidth="true"/>
  </cols>
  <sheetData>
    <row r="1" spans="1:7" ht="39" customHeight="true">
      <c r="A1" s="10" t="s"/>
      <c r="B1" s="11" t="s">
        <v>9</v>
      </c>
      <c r="C1" s="11" t="s">
        <v>10</v>
      </c>
      <c r="D1" s="11" t="s">
        <v>11</v>
      </c>
      <c r="E1" s="11" t="s">
        <v>12</v>
      </c>
      <c r="F1" s="12" t="s">
        <v>13</v>
      </c>
      <c r="G1" s="11" t="s"/>
    </row>
    <row r="2" spans="1:7" ht="27">
      <c r="A2" s="13" t="s"/>
      <c r="B2" s="14" t="s">
        <v>14</v>
      </c>
      <c r="C2" s="15" t="s">
        <v>15</v>
      </c>
      <c r="D2" s="16" t="s">
        <v>16</v>
      </c>
      <c r="E2" s="17" t="s">
        <v>17</v>
      </c>
      <c r="F2" s="15" t="s"/>
      <c r="G2" s="18" t="s"/>
    </row>
    <row r="3" spans="1:7">
      <c r="A3" s="13" t="s"/>
      <c r="B3" s="14" t="s"/>
      <c r="C3" s="15" t="s"/>
      <c r="D3" s="19" t="s"/>
      <c r="E3" s="17" t="s">
        <v>18</v>
      </c>
      <c r="F3" s="15" t="s"/>
      <c r="G3" s="18" t="s"/>
    </row>
    <row r="4" spans="1:7">
      <c r="A4" s="13" t="s"/>
      <c r="B4" s="14" t="s"/>
      <c r="C4" s="15" t="s"/>
      <c r="D4" s="19" t="s"/>
      <c r="E4" s="20" t="s">
        <v>19</v>
      </c>
      <c r="F4" s="15" t="s"/>
      <c r="G4" s="18" t="s"/>
    </row>
    <row r="5" spans="1:7">
      <c r="A5" s="13" t="s"/>
      <c r="B5" s="14" t="s"/>
      <c r="C5" s="15" t="s"/>
      <c r="D5" s="21" t="s"/>
      <c r="E5" s="15" t="s">
        <v>20</v>
      </c>
      <c r="F5" s="15" t="s"/>
      <c r="G5" s="18" t="s"/>
    </row>
    <row r="6" spans="1:7">
      <c r="A6" s="13" t="s"/>
      <c r="B6" s="14" t="s">
        <v>21</v>
      </c>
      <c r="C6" s="15" t="s">
        <v>22</v>
      </c>
      <c r="D6" s="16" t="s">
        <v>23</v>
      </c>
      <c r="E6" s="17" t="s">
        <v>24</v>
      </c>
      <c r="F6" s="15" t="s"/>
      <c r="G6" s="18" t="s"/>
    </row>
    <row r="7" spans="1:7" ht="27">
      <c r="A7" s="13" t="s"/>
      <c r="B7" s="14" t="s"/>
      <c r="C7" s="15" t="s"/>
      <c r="D7" s="19" t="s"/>
      <c r="E7" s="15" t="s">
        <v>25</v>
      </c>
      <c r="F7" s="15" t="s"/>
      <c r="G7" s="18" t="s"/>
    </row>
    <row r="8" spans="1:7" ht="27">
      <c r="A8" s="13" t="s"/>
      <c r="B8" s="14" t="s"/>
      <c r="C8" s="15" t="s"/>
      <c r="D8" s="21" t="s"/>
      <c r="E8" s="15" t="s">
        <v>26</v>
      </c>
      <c r="F8" s="15" t="s"/>
      <c r="G8" s="18" t="s"/>
    </row>
    <row r="9" spans="1:7">
      <c r="A9" s="13" t="s"/>
      <c r="B9" s="14" t="s"/>
      <c r="C9" s="22" t="s">
        <v>27</v>
      </c>
      <c r="D9" s="19" t="s">
        <v>28</v>
      </c>
      <c r="E9" s="23" t="s">
        <v>29</v>
      </c>
      <c r="F9" s="17" t="s">
        <v>30</v>
      </c>
      <c r="G9" s="18" t="s"/>
    </row>
    <row r="10" spans="1:7" ht="27">
      <c r="A10" s="13" t="s"/>
      <c r="B10" s="14" t="s"/>
      <c r="C10" s="24" t="s"/>
      <c r="D10" s="19" t="s"/>
      <c r="E10" s="21" t="s"/>
      <c r="F10" s="15" t="s">
        <v>31</v>
      </c>
      <c r="G10" s="18" t="s"/>
    </row>
    <row r="11" spans="1:7" ht="22.5" customHeight="true">
      <c r="A11" s="25" t="s"/>
      <c r="B11" s="26" t="s"/>
      <c r="C11" s="27" t="s"/>
      <c r="D11" s="28" t="s"/>
      <c r="E11" s="29" t="s">
        <v>32</v>
      </c>
      <c r="F11" s="30" t="s"/>
      <c r="G11" s="18" t="s"/>
    </row>
    <row r="12" spans="1:7" ht="21.75" customHeight="true">
      <c r="A12" s="13" t="s"/>
      <c r="B12" s="14" t="s"/>
      <c r="C12" s="31" t="s"/>
      <c r="D12" s="21" t="s"/>
      <c r="E12" s="32" t="s"/>
      <c r="F12" s="33" t="s"/>
      <c r="G12" s="18" t="s"/>
    </row>
    <row r="13" spans="1:7" ht="54">
      <c r="A13" s="13" t="s"/>
      <c r="B13" s="14" t="s">
        <v>33</v>
      </c>
      <c r="C13" s="15" t="s">
        <v>34</v>
      </c>
      <c r="D13" s="34" t="s">
        <v>35</v>
      </c>
      <c r="E13" s="35" t="s">
        <v>889</v>
      </c>
      <c r="F13" s="15" t="s"/>
      <c r="G13" s="18" t="s"/>
    </row>
    <row r="14" spans="1:7" ht="27">
      <c r="A14" s="13" t="s"/>
      <c r="B14" s="14" t="s">
        <v>36</v>
      </c>
      <c r="C14" s="15" t="s">
        <v>37</v>
      </c>
      <c r="D14" s="16" t="s">
        <v>38</v>
      </c>
      <c r="E14" s="15" t="s">
        <v>39</v>
      </c>
      <c r="F14" s="15" t="s"/>
      <c r="G14" s="18" t="s"/>
    </row>
    <row r="15" spans="1:7">
      <c r="A15" s="13" t="s"/>
      <c r="B15" s="14" t="s"/>
      <c r="C15" s="15" t="s"/>
      <c r="D15" s="19" t="s"/>
      <c r="E15" s="17" t="s">
        <v>40</v>
      </c>
      <c r="F15" s="15" t="s"/>
      <c r="G15" s="18" t="s"/>
    </row>
    <row r="16" spans="1:7">
      <c r="A16" s="13" t="s"/>
      <c r="B16" s="14" t="s"/>
      <c r="C16" s="15" t="s"/>
      <c r="D16" s="21" t="s"/>
      <c r="E16" s="15" t="s">
        <v>41</v>
      </c>
      <c r="F16" s="15" t="s"/>
      <c r="G16" s="18" t="s"/>
    </row>
  </sheetData>
  <mergeCells count="14">
    <mergeCell ref="B2:B5"/>
    <mergeCell ref="B14:B16"/>
    <mergeCell ref="C2:C5"/>
    <mergeCell ref="C6:C8"/>
    <mergeCell ref="C14:C16"/>
    <mergeCell ref="D2:D5"/>
    <mergeCell ref="D6:D8"/>
    <mergeCell ref="D14:D16"/>
    <mergeCell ref="E9:E10"/>
    <mergeCell ref="A2:A16"/>
    <mergeCell ref="B6:B12"/>
    <mergeCell ref="C9:C12"/>
    <mergeCell ref="D9:D12"/>
    <mergeCell ref="E11:E12"/>
  </mergeCells>
  <hyperlinks>
    <hyperlink ref="E13" r:id="rId0"/>
  </hyperlinks>
  <pageMargins left="0.7" right="0.7" top="0.75" bottom="0.75" header="0.3" footer="0.3"/>
  <pageSetup paperSize="1" orientation="portrait"/>
  <headerFooter/>
</worksheet>
</file>

<file path=xl/worksheets/sheet2.xml><?xml version="1.0" encoding="utf-8"?>
<worksheet xmlns="http://schemas.openxmlformats.org/spreadsheetml/2006/main">
  <sheetPr codeName="AD人力甘特图(2024)" filterMode="true">
    <tabColor rgb="FFFFFFFF"/>
  </sheetPr>
  <dimension ref="AH200"/>
  <sheetViews>
    <sheetView showGridLines="true" workbookViewId="0">
      <pane ySplit="4" topLeftCell="A5" activePane="bottomLeft" state="frozen"/>
    </sheetView>
  </sheetViews>
  <sheetFormatPr defaultColWidth="10.2857" defaultRowHeight="12.75"/>
  <cols>
    <col min="1" max="1" width="11.2952" customWidth="true"/>
    <col min="2" max="2" width="10.2952" customWidth="true"/>
    <col min="3" max="3" width="12.1429" customWidth="true"/>
    <col min="4" max="4" width="13.4381" hidden="true" customWidth="true"/>
    <col min="5" max="6" width="12.4095" hidden="true" customWidth="true"/>
    <col min="7" max="7" width="11.4571" hidden="true" customWidth="true"/>
    <col min="8" max="8" width="12.5429" hidden="true" customWidth="true"/>
    <col min="9" max="9" width="13.7524" hidden="true" customWidth="true"/>
    <col min="10" max="11" width="14.4381" hidden="true" customWidth="true"/>
    <col min="12" max="15" width="14.4381" customWidth="true"/>
    <col min="16" max="16" width="28.3238" customWidth="true"/>
    <col min="17" max="17" width="21.7143" style="678" customWidth="true"/>
    <col min="18" max="18" width="14.4381" style="678" customWidth="true"/>
    <col min="19" max="19" width="16.7333" style="678" customWidth="true"/>
    <col min="20" max="20" width="9.4381" customWidth="true"/>
    <col min="21" max="21" width="5.66667" customWidth="true"/>
    <col min="22" max="22" width="20.9048" style="678" customWidth="true"/>
    <col min="23" max="23" width="18.8952" customWidth="true"/>
    <col min="24" max="25" width="11.7143" customWidth="true"/>
    <col min="26" max="26" width="12.8095" customWidth="true"/>
    <col min="27" max="28" width="11.7143" customWidth="true"/>
    <col min="29" max="29" width="24.6952" customWidth="true"/>
    <col min="30" max="34" width="11.7143" customWidth="true"/>
  </cols>
  <sheetData>
    <row r="1" spans="1:34" ht="13.5">
      <c r="A1" s="326" t="s">
        <v>42</v>
      </c>
      <c r="B1" s="327" t="s"/>
      <c r="C1" s="327" t="s"/>
      <c r="D1" s="327" t="s"/>
      <c r="E1" s="327" t="s"/>
      <c r="F1" s="327" t="s"/>
      <c r="G1" s="327" t="s"/>
      <c r="H1" s="327" t="s"/>
      <c r="I1" s="327" t="s"/>
      <c r="J1" s="327" t="s"/>
      <c r="K1" s="327" t="s"/>
      <c r="P1" s="38" t="s"/>
      <c r="Q1" s="38" t="s"/>
      <c r="AH1" s="39" t="s"/>
    </row>
    <row r="2" spans="1:17" ht="13.5">
      <c r="A2" s="328" t="s"/>
      <c r="B2" s="329" t="s"/>
      <c r="C2" s="329" t="s"/>
      <c r="D2" s="329" t="s"/>
      <c r="E2" s="329" t="s"/>
      <c r="F2" s="329" t="s"/>
      <c r="G2" s="329" t="s"/>
      <c r="H2" s="329" t="s"/>
      <c r="I2" s="329" t="s"/>
      <c r="J2" s="329" t="s"/>
      <c r="K2" s="329" t="s"/>
      <c r="P2" s="38" t="s"/>
      <c r="Q2" s="38" t="s"/>
    </row>
    <row r="3" spans="1:17" ht="13.5">
      <c r="A3" s="95" t="s">
        <v>43</v>
      </c>
      <c r="B3" s="95" t="s"/>
      <c r="C3" s="95" t="s"/>
      <c r="D3" s="330" t="s">
        <v>290</v>
      </c>
      <c r="E3" s="331" t="s"/>
      <c r="F3" s="331" t="s"/>
      <c r="G3" s="331" t="s"/>
      <c r="H3" s="331" t="s"/>
      <c r="I3" s="331" t="s"/>
      <c r="J3" s="331" t="s"/>
      <c r="K3" s="331" t="s"/>
      <c r="P3" s="38" t="s"/>
      <c r="Q3" s="38" t="s"/>
    </row>
    <row r="4" spans="1:34" ht="13.5">
      <c r="A4" s="43" t="s">
        <v>51</v>
      </c>
      <c r="B4" s="44" t="s">
        <v>52</v>
      </c>
      <c r="C4" s="43" t="s">
        <v>291</v>
      </c>
      <c r="D4" s="45" t="s">
        <v>55</v>
      </c>
      <c r="E4" s="45" t="s">
        <v>56</v>
      </c>
      <c r="F4" s="46" t="s">
        <v>57</v>
      </c>
      <c r="G4" s="47" t="s">
        <v>58</v>
      </c>
      <c r="H4" s="47" t="s">
        <v>59</v>
      </c>
      <c r="I4" s="46" t="s">
        <v>60</v>
      </c>
      <c r="J4" s="46" t="s">
        <v>61</v>
      </c>
      <c r="K4" s="45" t="s">
        <v>62</v>
      </c>
      <c r="L4" s="48" t="s">
        <v>63</v>
      </c>
      <c r="M4" s="48" t="s">
        <v>64</v>
      </c>
      <c r="N4" s="48" t="s">
        <v>65</v>
      </c>
      <c r="O4" s="48" t="s">
        <v>66</v>
      </c>
      <c r="P4" s="38" t="s">
        <v>292</v>
      </c>
      <c r="Q4" s="38" t="s"/>
      <c r="R4" s="38" t="s">
        <v>293</v>
      </c>
      <c r="S4" s="38" t="s">
        <v>294</v>
      </c>
      <c r="AH4" s="332" t="s"/>
    </row>
    <row r="5" spans="1:34" ht="24">
      <c r="A5" s="54" t="s">
        <v>295</v>
      </c>
      <c r="B5" s="54" t="s">
        <v>78</v>
      </c>
      <c r="C5" s="333" t="s">
        <v>296</v>
      </c>
      <c r="D5" s="54" t="s">
        <v>297</v>
      </c>
      <c r="E5" s="54" t="s">
        <v>297</v>
      </c>
      <c r="F5" s="54" t="s">
        <v>297</v>
      </c>
      <c r="G5" s="54" t="s">
        <v>298</v>
      </c>
      <c r="H5" s="54" t="s">
        <v>298</v>
      </c>
      <c r="I5" s="54" t="s">
        <v>298</v>
      </c>
      <c r="J5" s="54" t="s">
        <v>298</v>
      </c>
      <c r="K5" s="54" t="s">
        <v>299</v>
      </c>
      <c r="L5" s="54" t="s">
        <v>300</v>
      </c>
      <c r="M5" s="54" t="s">
        <v>300</v>
      </c>
      <c r="N5" s="54" t="s">
        <v>300</v>
      </c>
      <c r="O5" s="54" t="s">
        <v>300</v>
      </c>
      <c r="P5" s="334" t="s">
        <v>301</v>
      </c>
      <c r="Q5" s="62" t="s">
        <v>300</v>
      </c>
      <c r="R5" s="57" t="s">
        <v>115</v>
      </c>
      <c r="S5" s="57" t="s"/>
      <c r="T5" s="60" t="s"/>
      <c r="U5" s="59" t="s"/>
      <c r="V5" s="57" t="s">
        <v>302</v>
      </c>
      <c r="W5" s="59" t="s"/>
      <c r="X5" s="59" t="s"/>
      <c r="Y5" s="59" t="s"/>
      <c r="Z5" s="59" t="s"/>
      <c r="AA5" s="59" t="s"/>
      <c r="AB5" s="59" t="s"/>
      <c r="AC5" s="60" t="s"/>
      <c r="AD5" s="59" t="s"/>
      <c r="AE5" s="59" t="s"/>
      <c r="AF5" s="59" t="s"/>
      <c r="AG5" s="59" t="s"/>
      <c r="AH5" s="59" t="s"/>
    </row>
    <row r="6" spans="1:34" ht="13.5" hidden="true">
      <c r="A6" s="54" t="s">
        <v>303</v>
      </c>
      <c r="B6" s="54" t="s">
        <v>304</v>
      </c>
      <c r="C6" s="333" t="s">
        <v>296</v>
      </c>
      <c r="D6" s="54">
        <v>7027</v>
      </c>
      <c r="E6" s="54">
        <v>7028</v>
      </c>
      <c r="F6" s="54">
        <v>7028</v>
      </c>
      <c r="G6" s="54">
        <v>7028</v>
      </c>
      <c r="H6" s="54">
        <v>7028</v>
      </c>
      <c r="I6" s="54">
        <v>7028</v>
      </c>
      <c r="J6" s="54">
        <v>7028</v>
      </c>
      <c r="K6" s="54" t="s">
        <v>115</v>
      </c>
      <c r="L6" s="54" t="s">
        <v>115</v>
      </c>
      <c r="M6" s="54" t="s">
        <v>115</v>
      </c>
      <c r="N6" s="54" t="s">
        <v>115</v>
      </c>
      <c r="O6" s="54" t="s">
        <v>115</v>
      </c>
      <c r="P6" s="38" t="s">
        <v>305</v>
      </c>
      <c r="Q6" s="57" t="s"/>
      <c r="R6" s="54" t="s">
        <v>304</v>
      </c>
      <c r="S6" s="57" t="s"/>
      <c r="T6" s="60" t="s"/>
      <c r="U6" s="59" t="s"/>
      <c r="V6" s="57" t="s"/>
      <c r="W6" s="59" t="s"/>
      <c r="X6" s="59" t="s"/>
      <c r="Y6" s="59" t="s"/>
      <c r="Z6" s="59" t="s"/>
      <c r="AA6" s="59" t="s"/>
      <c r="AB6" s="59" t="s"/>
      <c r="AC6" s="60" t="s"/>
      <c r="AD6" s="59" t="s"/>
      <c r="AE6" s="59" t="s"/>
      <c r="AF6" s="59" t="s"/>
      <c r="AG6" s="59" t="s"/>
      <c r="AH6" s="59" t="s"/>
    </row>
    <row r="7" spans="1:34" ht="24">
      <c r="A7" s="70" t="s">
        <v>892</v>
      </c>
      <c r="B7" s="54" t="s">
        <v>78</v>
      </c>
      <c r="C7" s="333" t="s">
        <v>296</v>
      </c>
      <c r="D7" s="54">
        <v>7027</v>
      </c>
      <c r="E7" s="54" t="s">
        <v>160</v>
      </c>
      <c r="F7" s="54" t="s">
        <v>160</v>
      </c>
      <c r="G7" s="54" t="s">
        <v>306</v>
      </c>
      <c r="H7" s="54" t="s">
        <v>306</v>
      </c>
      <c r="I7" s="54" t="s">
        <v>306</v>
      </c>
      <c r="J7" s="54" t="s">
        <v>160</v>
      </c>
      <c r="K7" s="76" t="s">
        <v>160</v>
      </c>
      <c r="L7" s="90" t="s">
        <v>307</v>
      </c>
      <c r="M7" s="90" t="s">
        <v>307</v>
      </c>
      <c r="N7" s="90" t="s">
        <v>307</v>
      </c>
      <c r="O7" s="90" t="s">
        <v>307</v>
      </c>
      <c r="P7" s="335" t="s">
        <v>308</v>
      </c>
      <c r="Q7" s="336" t="s">
        <v>307</v>
      </c>
      <c r="R7" s="57" t="s">
        <v>115</v>
      </c>
      <c r="S7" s="57" t="s"/>
      <c r="T7" s="69" t="s"/>
      <c r="U7" s="68" t="s"/>
      <c r="W7" s="68" t="s"/>
      <c r="X7" s="68" t="s"/>
      <c r="Y7" s="68" t="s"/>
      <c r="Z7" s="68" t="s"/>
      <c r="AA7" s="68" t="s"/>
      <c r="AB7" s="68" t="s"/>
      <c r="AC7" s="69" t="s"/>
      <c r="AD7" s="68" t="s"/>
      <c r="AE7" s="68" t="s"/>
      <c r="AF7" s="68" t="s"/>
      <c r="AG7" s="68" t="s"/>
      <c r="AH7" s="68" t="s"/>
    </row>
    <row r="8" spans="1:34" ht="27">
      <c r="A8" s="63" t="s">
        <v>309</v>
      </c>
      <c r="B8" s="54" t="s">
        <v>78</v>
      </c>
      <c r="C8" s="333" t="s">
        <v>296</v>
      </c>
      <c r="D8" s="54">
        <v>7027</v>
      </c>
      <c r="E8" s="54" t="s">
        <v>297</v>
      </c>
      <c r="F8" s="54" t="s">
        <v>297</v>
      </c>
      <c r="G8" s="54">
        <v>7028</v>
      </c>
      <c r="H8" s="54">
        <v>7028</v>
      </c>
      <c r="I8" s="54">
        <v>7028</v>
      </c>
      <c r="J8" s="54" t="s">
        <v>299</v>
      </c>
      <c r="K8" s="76" t="s">
        <v>299</v>
      </c>
      <c r="L8" s="54">
        <v>7028</v>
      </c>
      <c r="M8" s="54" t="s">
        <v>300</v>
      </c>
      <c r="N8" s="54" t="s">
        <v>300</v>
      </c>
      <c r="O8" s="54" t="s">
        <v>115</v>
      </c>
      <c r="P8" s="335" t="s">
        <v>310</v>
      </c>
      <c r="Q8" s="57" t="s">
        <v>311</v>
      </c>
      <c r="R8" s="337" t="s">
        <v>115</v>
      </c>
      <c r="S8" s="57" t="s"/>
      <c r="T8" s="60" t="s"/>
      <c r="U8" s="59" t="s"/>
      <c r="V8" s="57" t="s"/>
      <c r="W8" s="59" t="s"/>
      <c r="X8" s="59" t="s"/>
      <c r="Y8" s="59" t="s"/>
      <c r="Z8" s="59" t="s"/>
      <c r="AA8" s="59" t="s"/>
      <c r="AB8" s="59" t="s"/>
      <c r="AC8" s="60" t="s"/>
      <c r="AD8" s="59" t="s"/>
      <c r="AE8" s="59" t="s"/>
      <c r="AF8" s="59" t="s"/>
      <c r="AG8" s="59" t="s"/>
      <c r="AH8" s="59" t="s"/>
    </row>
    <row r="9" spans="1:34" ht="13.5">
      <c r="A9" s="63" t="s">
        <v>312</v>
      </c>
      <c r="B9" s="54" t="s">
        <v>78</v>
      </c>
      <c r="C9" s="333" t="s">
        <v>296</v>
      </c>
      <c r="D9" s="54">
        <v>7027</v>
      </c>
      <c r="E9" s="54" t="s">
        <v>297</v>
      </c>
      <c r="F9" s="54" t="s">
        <v>313</v>
      </c>
      <c r="G9" s="54">
        <v>7028</v>
      </c>
      <c r="H9" s="54">
        <v>7028</v>
      </c>
      <c r="I9" s="54">
        <v>7028</v>
      </c>
      <c r="J9" s="54">
        <v>7028</v>
      </c>
      <c r="K9" s="54" t="s">
        <v>178</v>
      </c>
      <c r="L9" s="54" t="s">
        <v>300</v>
      </c>
      <c r="M9" s="54" t="s">
        <v>300</v>
      </c>
      <c r="N9" s="54" t="s">
        <v>160</v>
      </c>
      <c r="O9" s="76" t="s">
        <v>160</v>
      </c>
      <c r="P9" s="338" t="s">
        <v>314</v>
      </c>
      <c r="Q9" s="57" t="s">
        <v>315</v>
      </c>
      <c r="R9" s="57" t="s">
        <v>115</v>
      </c>
      <c r="S9" s="57" t="s"/>
      <c r="T9" s="60" t="s"/>
      <c r="U9" s="59" t="s"/>
      <c r="V9" s="57" t="s">
        <v>316</v>
      </c>
      <c r="W9" s="59" t="s"/>
      <c r="X9" s="59" t="s"/>
      <c r="Y9" s="59" t="s"/>
      <c r="Z9" s="59" t="s"/>
      <c r="AA9" s="59" t="s"/>
      <c r="AB9" s="59" t="s"/>
      <c r="AC9" s="60" t="s"/>
      <c r="AD9" s="59" t="s"/>
      <c r="AE9" s="59" t="s"/>
      <c r="AF9" s="59" t="s"/>
      <c r="AG9" s="59" t="s"/>
      <c r="AH9" s="59" t="s"/>
    </row>
    <row r="10" spans="1:34" ht="24">
      <c r="A10" s="63" t="s">
        <v>893</v>
      </c>
      <c r="B10" s="54" t="s">
        <v>78</v>
      </c>
      <c r="C10" s="333" t="s">
        <v>296</v>
      </c>
      <c r="D10" s="54">
        <v>7027</v>
      </c>
      <c r="E10" s="54" t="s">
        <v>297</v>
      </c>
      <c r="F10" s="54" t="s">
        <v>297</v>
      </c>
      <c r="G10" s="54" t="s">
        <v>306</v>
      </c>
      <c r="H10" s="54" t="s">
        <v>306</v>
      </c>
      <c r="I10" s="54" t="s">
        <v>306</v>
      </c>
      <c r="J10" s="54" t="s">
        <v>306</v>
      </c>
      <c r="K10" s="90" t="s">
        <v>306</v>
      </c>
      <c r="L10" s="54" t="s">
        <v>160</v>
      </c>
      <c r="M10" s="54" t="s">
        <v>306</v>
      </c>
      <c r="N10" s="54" t="s">
        <v>160</v>
      </c>
      <c r="O10" s="76">
        <v>7029</v>
      </c>
      <c r="P10" s="339" t="s">
        <v>317</v>
      </c>
      <c r="Q10" s="62" t="s">
        <v>318</v>
      </c>
      <c r="R10" s="57" t="s">
        <v>115</v>
      </c>
      <c r="S10" s="57" t="s"/>
      <c r="T10" s="60" t="s"/>
      <c r="U10" s="59" t="s"/>
      <c r="V10" s="57" t="s">
        <v>319</v>
      </c>
      <c r="W10" s="59" t="s"/>
      <c r="X10" s="59" t="s"/>
      <c r="Y10" s="59" t="s"/>
      <c r="Z10" s="59" t="s"/>
      <c r="AA10" s="59" t="s"/>
      <c r="AB10" s="59" t="s"/>
      <c r="AC10" s="60" t="s"/>
      <c r="AD10" s="59" t="s"/>
      <c r="AE10" s="59" t="s"/>
      <c r="AF10" s="59" t="s"/>
      <c r="AG10" s="59" t="s"/>
      <c r="AH10" s="59" t="s"/>
    </row>
    <row r="11" spans="1:34" ht="24">
      <c r="A11" s="54" t="s">
        <v>320</v>
      </c>
      <c r="B11" s="54" t="s">
        <v>78</v>
      </c>
      <c r="C11" s="333" t="s">
        <v>296</v>
      </c>
      <c r="D11" s="54">
        <v>7027</v>
      </c>
      <c r="E11" s="54" t="s">
        <v>297</v>
      </c>
      <c r="F11" s="54" t="s">
        <v>297</v>
      </c>
      <c r="G11" s="54" t="s">
        <v>298</v>
      </c>
      <c r="H11" s="54" t="s">
        <v>298</v>
      </c>
      <c r="I11" s="54" t="s">
        <v>298</v>
      </c>
      <c r="J11" s="54" t="s">
        <v>298</v>
      </c>
      <c r="K11" s="54" t="s">
        <v>299</v>
      </c>
      <c r="L11" s="54" t="s">
        <v>300</v>
      </c>
      <c r="M11" s="54" t="s">
        <v>300</v>
      </c>
      <c r="N11" s="54" t="s">
        <v>300</v>
      </c>
      <c r="O11" s="54" t="s">
        <v>300</v>
      </c>
      <c r="P11" s="38" t="s">
        <v>321</v>
      </c>
      <c r="Q11" s="62" t="s">
        <v>322</v>
      </c>
      <c r="R11" s="57" t="s">
        <v>115</v>
      </c>
      <c r="S11" s="57" t="s"/>
      <c r="T11" s="60" t="s"/>
      <c r="U11" s="59" t="s"/>
      <c r="V11" s="57" t="s"/>
      <c r="W11" s="59" t="s"/>
      <c r="X11" s="59" t="s"/>
      <c r="Y11" s="59" t="s"/>
      <c r="Z11" s="59" t="s"/>
      <c r="AA11" s="59" t="s"/>
      <c r="AB11" s="59" t="s"/>
      <c r="AC11" s="60" t="s"/>
      <c r="AD11" s="59" t="s"/>
      <c r="AE11" s="59" t="s"/>
      <c r="AF11" s="59" t="s"/>
      <c r="AG11" s="59" t="s"/>
      <c r="AH11" s="59" t="s"/>
    </row>
    <row r="12" spans="1:34" ht="24">
      <c r="A12" s="63" t="s">
        <v>894</v>
      </c>
      <c r="B12" s="54" t="s">
        <v>78</v>
      </c>
      <c r="C12" s="333" t="s">
        <v>296</v>
      </c>
      <c r="D12" s="54">
        <v>7027</v>
      </c>
      <c r="E12" s="54" t="s">
        <v>297</v>
      </c>
      <c r="F12" s="54" t="s">
        <v>297</v>
      </c>
      <c r="G12" s="54" t="s">
        <v>306</v>
      </c>
      <c r="H12" s="54" t="s">
        <v>306</v>
      </c>
      <c r="I12" s="54" t="s">
        <v>306</v>
      </c>
      <c r="J12" s="54" t="s">
        <v>306</v>
      </c>
      <c r="K12" s="90" t="s">
        <v>306</v>
      </c>
      <c r="L12" s="90" t="s">
        <v>307</v>
      </c>
      <c r="M12" s="90" t="s">
        <v>307</v>
      </c>
      <c r="N12" s="90" t="s">
        <v>307</v>
      </c>
      <c r="O12" s="90" t="s">
        <v>307</v>
      </c>
      <c r="P12" s="336" t="s">
        <v>323</v>
      </c>
      <c r="Q12" s="336" t="s">
        <v>307</v>
      </c>
      <c r="R12" s="57" t="s">
        <v>115</v>
      </c>
      <c r="S12" s="57" t="s"/>
      <c r="T12" s="60" t="s"/>
      <c r="U12" s="59" t="s"/>
      <c r="V12" s="57" t="s"/>
      <c r="W12" s="59" t="s"/>
      <c r="X12" s="59" t="s"/>
      <c r="Y12" s="59" t="s"/>
      <c r="Z12" s="59" t="s"/>
      <c r="AA12" s="59" t="s"/>
      <c r="AB12" s="59" t="s"/>
      <c r="AC12" s="60" t="s"/>
      <c r="AD12" s="59" t="s"/>
      <c r="AE12" s="59" t="s"/>
      <c r="AF12" s="59" t="s"/>
      <c r="AG12" s="59" t="s"/>
      <c r="AH12" s="59" t="s"/>
    </row>
    <row r="13" spans="1:34" ht="24" hidden="true">
      <c r="A13" s="54" t="s">
        <v>324</v>
      </c>
      <c r="B13" s="54" t="s">
        <v>101</v>
      </c>
      <c r="C13" s="340" t="s">
        <v>296</v>
      </c>
      <c r="D13" s="54">
        <v>7027</v>
      </c>
      <c r="E13" s="54">
        <v>7027</v>
      </c>
      <c r="F13" s="54" t="s">
        <v>325</v>
      </c>
      <c r="G13" s="54">
        <v>7028</v>
      </c>
      <c r="H13" s="54" t="s">
        <v>299</v>
      </c>
      <c r="I13" s="54" t="s">
        <v>306</v>
      </c>
      <c r="J13" s="54" t="s">
        <v>306</v>
      </c>
      <c r="K13" s="76" t="s">
        <v>299</v>
      </c>
      <c r="L13" s="54" t="s">
        <v>306</v>
      </c>
      <c r="M13" s="54" t="s">
        <v>300</v>
      </c>
      <c r="N13" s="54" t="s">
        <v>300</v>
      </c>
      <c r="O13" s="54" t="s">
        <v>300</v>
      </c>
      <c r="P13" s="57" t="s"/>
      <c r="Q13" s="57" t="s">
        <v>326</v>
      </c>
      <c r="R13" s="337" t="s">
        <v>115</v>
      </c>
      <c r="S13" s="57" t="s">
        <v>300</v>
      </c>
      <c r="T13" s="59" t="s"/>
      <c r="U13" s="59" t="s"/>
      <c r="V13" s="57">
        <v>1</v>
      </c>
      <c r="W13" s="59" t="s"/>
      <c r="X13" s="59" t="s"/>
      <c r="Y13" s="59" t="s"/>
      <c r="Z13" s="59" t="s"/>
      <c r="AA13" s="59" t="s"/>
      <c r="AB13" s="59" t="s"/>
      <c r="AC13" s="59" t="s"/>
      <c r="AD13" s="59" t="s"/>
      <c r="AE13" s="59" t="s"/>
      <c r="AF13" s="59" t="s"/>
      <c r="AG13" s="59" t="s"/>
      <c r="AH13" s="59" t="s"/>
    </row>
    <row r="14" spans="1:34" ht="24" hidden="true">
      <c r="A14" s="54" t="s">
        <v>327</v>
      </c>
      <c r="B14" s="54" t="s">
        <v>101</v>
      </c>
      <c r="C14" s="333" t="s">
        <v>296</v>
      </c>
      <c r="D14" s="54">
        <v>7027</v>
      </c>
      <c r="E14" s="54">
        <v>7027</v>
      </c>
      <c r="F14" s="54" t="s">
        <v>325</v>
      </c>
      <c r="G14" s="54">
        <v>7028</v>
      </c>
      <c r="H14" s="54" t="s">
        <v>298</v>
      </c>
      <c r="I14" s="54" t="s">
        <v>298</v>
      </c>
      <c r="J14" s="54" t="s">
        <v>298</v>
      </c>
      <c r="K14" s="76" t="s">
        <v>299</v>
      </c>
      <c r="L14" s="54" t="s">
        <v>300</v>
      </c>
      <c r="M14" s="54" t="s">
        <v>300</v>
      </c>
      <c r="N14" s="54" t="s">
        <v>300</v>
      </c>
      <c r="O14" s="54" t="s">
        <v>300</v>
      </c>
      <c r="P14" s="57" t="s"/>
      <c r="Q14" s="62">
        <v>7028</v>
      </c>
      <c r="R14" s="337">
        <v>45544</v>
      </c>
      <c r="S14" s="57" t="s">
        <v>300</v>
      </c>
      <c r="T14" s="59" t="s"/>
      <c r="U14" s="59" t="s"/>
      <c r="V14" s="57">
        <v>2</v>
      </c>
      <c r="W14" s="59" t="s"/>
      <c r="X14" s="59" t="s"/>
      <c r="Y14" s="59" t="s"/>
      <c r="Z14" s="59" t="s"/>
      <c r="AA14" s="59" t="s"/>
      <c r="AB14" s="59" t="s"/>
      <c r="AC14" s="59" t="s"/>
      <c r="AD14" s="59" t="s"/>
      <c r="AE14" s="59" t="s"/>
      <c r="AF14" s="59" t="s"/>
      <c r="AG14" s="59" t="s"/>
      <c r="AH14" s="59" t="s"/>
    </row>
    <row r="15" spans="1:34" ht="24" hidden="true">
      <c r="A15" s="341" t="s">
        <v>328</v>
      </c>
      <c r="B15" s="54" t="s">
        <v>101</v>
      </c>
      <c r="C15" s="333" t="s">
        <v>296</v>
      </c>
      <c r="D15" s="54" t="s"/>
      <c r="E15" s="54" t="s"/>
      <c r="F15" s="54" t="s"/>
      <c r="G15" s="54" t="s"/>
      <c r="H15" s="54" t="s">
        <v>298</v>
      </c>
      <c r="I15" s="54" t="s">
        <v>298</v>
      </c>
      <c r="J15" s="54" t="s">
        <v>298</v>
      </c>
      <c r="K15" s="76" t="s">
        <v>299</v>
      </c>
      <c r="L15" s="54" t="s">
        <v>300</v>
      </c>
      <c r="M15" s="54" t="s">
        <v>300</v>
      </c>
      <c r="N15" s="54" t="s">
        <v>300</v>
      </c>
      <c r="O15" s="54" t="s">
        <v>300</v>
      </c>
      <c r="P15" s="57" t="s"/>
      <c r="Q15" s="57" t="s">
        <v>300</v>
      </c>
      <c r="R15" s="337" t="s">
        <v>115</v>
      </c>
      <c r="S15" s="57" t="s">
        <v>115</v>
      </c>
      <c r="T15" s="59" t="s"/>
      <c r="U15" s="59" t="s"/>
      <c r="V15" s="57">
        <v>1.5</v>
      </c>
      <c r="W15" s="59" t="s"/>
      <c r="X15" s="59" t="s"/>
      <c r="Y15" s="59" t="s"/>
      <c r="Z15" s="59" t="s"/>
      <c r="AA15" s="59" t="s"/>
      <c r="AB15" s="59" t="s"/>
      <c r="AC15" s="59" t="s"/>
      <c r="AD15" s="59" t="s"/>
      <c r="AE15" s="59" t="s"/>
      <c r="AF15" s="59" t="s"/>
      <c r="AG15" s="59" t="s"/>
      <c r="AH15" s="59" t="s"/>
    </row>
    <row r="16" spans="1:34" ht="13.5">
      <c r="A16" s="53" t="s">
        <v>329</v>
      </c>
      <c r="B16" s="54" t="s">
        <v>78</v>
      </c>
      <c r="C16" s="342" t="s">
        <v>330</v>
      </c>
      <c r="D16" s="54">
        <v>7028</v>
      </c>
      <c r="E16" s="54">
        <v>7028</v>
      </c>
      <c r="F16" s="54">
        <v>7028</v>
      </c>
      <c r="G16" s="54">
        <v>7028</v>
      </c>
      <c r="H16" s="54">
        <v>7028</v>
      </c>
      <c r="I16" s="54">
        <v>7028</v>
      </c>
      <c r="J16" s="54">
        <v>7028</v>
      </c>
      <c r="K16" s="54">
        <v>7028</v>
      </c>
      <c r="L16" s="54">
        <v>7028</v>
      </c>
      <c r="M16" s="54" t="s">
        <v>300</v>
      </c>
      <c r="N16" s="54" t="s">
        <v>300</v>
      </c>
      <c r="O16" s="54" t="s">
        <v>300</v>
      </c>
      <c r="P16" s="339" t="s">
        <v>331</v>
      </c>
      <c r="Q16" s="57" t="s">
        <v>300</v>
      </c>
      <c r="R16" s="57" t="s">
        <v>115</v>
      </c>
      <c r="S16" s="57" t="s"/>
      <c r="T16" s="60" t="s"/>
      <c r="U16" s="59" t="s"/>
      <c r="V16" s="57" t="s"/>
      <c r="W16" s="59" t="s"/>
      <c r="X16" s="59" t="s"/>
      <c r="Y16" s="59" t="s"/>
      <c r="Z16" s="59" t="s"/>
      <c r="AA16" s="59" t="s"/>
      <c r="AB16" s="59" t="s"/>
      <c r="AC16" s="60" t="s"/>
      <c r="AD16" s="59" t="s"/>
      <c r="AE16" s="59" t="s"/>
      <c r="AF16" s="59" t="s"/>
      <c r="AG16" s="59" t="s"/>
      <c r="AH16" s="59" t="s"/>
    </row>
    <row r="17" spans="1:34" ht="13.5">
      <c r="A17" s="63" t="s">
        <v>895</v>
      </c>
      <c r="B17" s="54" t="s">
        <v>78</v>
      </c>
      <c r="C17" s="342" t="s">
        <v>330</v>
      </c>
      <c r="D17" s="54" t="s">
        <v>297</v>
      </c>
      <c r="E17" s="54" t="s">
        <v>297</v>
      </c>
      <c r="F17" s="54">
        <v>7028</v>
      </c>
      <c r="G17" s="54">
        <v>7028</v>
      </c>
      <c r="H17" s="54">
        <v>7028</v>
      </c>
      <c r="I17" s="54">
        <v>7028</v>
      </c>
      <c r="J17" s="54">
        <v>7028</v>
      </c>
      <c r="K17" s="76" t="s">
        <v>160</v>
      </c>
      <c r="L17" s="54" t="s">
        <v>300</v>
      </c>
      <c r="M17" s="54" t="s">
        <v>300</v>
      </c>
      <c r="N17" s="54" t="s">
        <v>300</v>
      </c>
      <c r="O17" s="54" t="s">
        <v>300</v>
      </c>
      <c r="P17" s="343" t="s">
        <v>332</v>
      </c>
      <c r="Q17" s="57" t="s">
        <v>333</v>
      </c>
      <c r="R17" s="337" t="s">
        <v>115</v>
      </c>
      <c r="S17" s="57" t="s"/>
      <c r="T17" s="60" t="s"/>
      <c r="U17" s="59" t="s"/>
      <c r="V17" s="57" t="s">
        <v>334</v>
      </c>
      <c r="W17" s="59" t="s"/>
      <c r="X17" s="59" t="s"/>
      <c r="Y17" s="59" t="s"/>
      <c r="Z17" s="59" t="s"/>
      <c r="AA17" s="59" t="s"/>
      <c r="AB17" s="59" t="s"/>
      <c r="AC17" s="60" t="s"/>
      <c r="AD17" s="59" t="s"/>
      <c r="AE17" s="59" t="s"/>
      <c r="AF17" s="59" t="s"/>
      <c r="AG17" s="59" t="s"/>
      <c r="AH17" s="59" t="s"/>
    </row>
    <row r="18" spans="1:34" ht="24">
      <c r="A18" s="63" t="s">
        <v>896</v>
      </c>
      <c r="B18" s="54" t="s">
        <v>78</v>
      </c>
      <c r="C18" s="342" t="s">
        <v>330</v>
      </c>
      <c r="D18" s="54">
        <v>7027</v>
      </c>
      <c r="E18" s="54" t="s">
        <v>297</v>
      </c>
      <c r="F18" s="54" t="s">
        <v>297</v>
      </c>
      <c r="G18" s="54">
        <v>7028</v>
      </c>
      <c r="H18" s="54">
        <v>7028</v>
      </c>
      <c r="I18" s="54">
        <v>7028</v>
      </c>
      <c r="J18" s="54">
        <v>7028</v>
      </c>
      <c r="K18" s="54" t="s">
        <v>335</v>
      </c>
      <c r="L18" s="54" t="s">
        <v>306</v>
      </c>
      <c r="M18" s="54" t="s">
        <v>300</v>
      </c>
      <c r="N18" s="54" t="s">
        <v>300</v>
      </c>
      <c r="O18" s="54" t="s">
        <v>300</v>
      </c>
      <c r="P18" s="339" t="s">
        <v>336</v>
      </c>
      <c r="Q18" s="38" t="s">
        <v>337</v>
      </c>
      <c r="R18" s="337" t="s">
        <v>115</v>
      </c>
      <c r="S18" s="57" t="s"/>
      <c r="T18" s="60" t="s"/>
      <c r="U18" s="59" t="s"/>
      <c r="V18" s="57" t="s"/>
      <c r="W18" s="59" t="s"/>
      <c r="X18" s="59" t="s"/>
      <c r="Y18" s="59" t="s"/>
      <c r="Z18" s="59" t="s"/>
      <c r="AA18" s="59" t="s"/>
      <c r="AB18" s="59" t="s"/>
      <c r="AC18" s="60" t="s"/>
      <c r="AD18" s="59" t="s"/>
      <c r="AE18" s="59" t="s"/>
      <c r="AF18" s="59" t="s"/>
      <c r="AG18" s="59" t="s"/>
      <c r="AH18" s="59" t="s"/>
    </row>
    <row r="19" spans="1:34" ht="13.5">
      <c r="A19" s="63" t="s">
        <v>338</v>
      </c>
      <c r="B19" s="54" t="s">
        <v>78</v>
      </c>
      <c r="C19" s="342" t="s">
        <v>330</v>
      </c>
      <c r="D19" s="54">
        <v>7027</v>
      </c>
      <c r="E19" s="54" t="s">
        <v>160</v>
      </c>
      <c r="F19" s="54" t="s">
        <v>160</v>
      </c>
      <c r="G19" s="54" t="s">
        <v>160</v>
      </c>
      <c r="H19" s="54" t="s">
        <v>160</v>
      </c>
      <c r="I19" s="54" t="s">
        <v>160</v>
      </c>
      <c r="J19" s="54" t="s">
        <v>160</v>
      </c>
      <c r="K19" s="76" t="s">
        <v>160</v>
      </c>
      <c r="L19" s="54" t="s">
        <v>160</v>
      </c>
      <c r="M19" s="54" t="s">
        <v>160</v>
      </c>
      <c r="N19" s="54" t="s">
        <v>160</v>
      </c>
      <c r="O19" s="54" t="s">
        <v>160</v>
      </c>
      <c r="P19" s="344" t="s">
        <v>339</v>
      </c>
      <c r="Q19" s="38" t="s">
        <v>340</v>
      </c>
      <c r="R19" s="57" t="s">
        <v>115</v>
      </c>
      <c r="S19" s="57" t="s"/>
      <c r="T19" s="60" t="s"/>
      <c r="U19" s="59" t="s"/>
      <c r="V19" s="57" t="s">
        <v>302</v>
      </c>
      <c r="W19" s="59" t="s"/>
      <c r="X19" s="59" t="s"/>
      <c r="Y19" s="59" t="s"/>
      <c r="Z19" s="59" t="s"/>
      <c r="AA19" s="59" t="s"/>
      <c r="AB19" s="59" t="s"/>
      <c r="AC19" s="60" t="s"/>
      <c r="AD19" s="59" t="s"/>
      <c r="AE19" s="59" t="s"/>
      <c r="AF19" s="59" t="s"/>
      <c r="AG19" s="59" t="s"/>
      <c r="AH19" s="59" t="s"/>
    </row>
    <row r="20" spans="1:34" ht="24">
      <c r="A20" s="54" t="s">
        <v>341</v>
      </c>
      <c r="B20" s="54" t="s">
        <v>78</v>
      </c>
      <c r="C20" s="342" t="s">
        <v>330</v>
      </c>
      <c r="D20" s="90" t="s">
        <v>297</v>
      </c>
      <c r="E20" s="54" t="s">
        <v>297</v>
      </c>
      <c r="F20" s="54" t="s">
        <v>297</v>
      </c>
      <c r="G20" s="54" t="s">
        <v>306</v>
      </c>
      <c r="H20" s="54" t="s">
        <v>306</v>
      </c>
      <c r="I20" s="54" t="s">
        <v>306</v>
      </c>
      <c r="J20" s="54" t="s">
        <v>306</v>
      </c>
      <c r="K20" s="54" t="s">
        <v>306</v>
      </c>
      <c r="L20" s="54" t="s">
        <v>306</v>
      </c>
      <c r="M20" s="54" t="s">
        <v>306</v>
      </c>
      <c r="N20" s="54" t="s">
        <v>306</v>
      </c>
      <c r="O20" s="54" t="s">
        <v>306</v>
      </c>
      <c r="P20" s="338" t="s">
        <v>342</v>
      </c>
      <c r="Q20" s="57" t="s">
        <v>343</v>
      </c>
      <c r="R20" s="57" t="s">
        <v>115</v>
      </c>
      <c r="S20" s="57" t="s"/>
      <c r="T20" s="60" t="s"/>
      <c r="U20" s="59" t="s"/>
      <c r="V20" s="57" t="s">
        <v>344</v>
      </c>
      <c r="W20" s="59" t="s"/>
      <c r="X20" s="59" t="s"/>
      <c r="Y20" s="59" t="s"/>
      <c r="Z20" s="59" t="s"/>
      <c r="AA20" s="59" t="s"/>
      <c r="AB20" s="59" t="s"/>
      <c r="AC20" s="60" t="s"/>
      <c r="AD20" s="59" t="s"/>
      <c r="AE20" s="59" t="s"/>
      <c r="AF20" s="59" t="s"/>
      <c r="AG20" s="59" t="s"/>
      <c r="AH20" s="59" t="s"/>
    </row>
    <row r="21" spans="1:34" ht="27" hidden="true">
      <c r="A21" s="61" t="s">
        <v>345</v>
      </c>
      <c r="B21" s="54" t="s">
        <v>78</v>
      </c>
      <c r="C21" s="342" t="s">
        <v>330</v>
      </c>
      <c r="D21" s="54" t="s">
        <v>297</v>
      </c>
      <c r="E21" s="54">
        <v>7027</v>
      </c>
      <c r="F21" s="54" t="s">
        <v>346</v>
      </c>
      <c r="G21" s="54" t="s">
        <v>335</v>
      </c>
      <c r="H21" s="54" t="s">
        <v>335</v>
      </c>
      <c r="I21" s="54" t="s">
        <v>335</v>
      </c>
      <c r="J21" s="54" t="s">
        <v>335</v>
      </c>
      <c r="K21" s="54" t="s">
        <v>335</v>
      </c>
      <c r="L21" s="54" t="s">
        <v>335</v>
      </c>
      <c r="M21" s="54" t="s">
        <v>115</v>
      </c>
      <c r="N21" s="54" t="s">
        <v>115</v>
      </c>
      <c r="O21" s="54" t="s">
        <v>115</v>
      </c>
      <c r="P21" s="62" t="s">
        <v>347</v>
      </c>
      <c r="Q21" s="62" t="s">
        <v>348</v>
      </c>
      <c r="R21" s="57" t="s">
        <v>115</v>
      </c>
      <c r="S21" s="58" t="s">
        <v>349</v>
      </c>
      <c r="T21" s="60" t="s"/>
      <c r="U21" s="59" t="s"/>
      <c r="V21" s="57" t="s"/>
      <c r="W21" s="59" t="s"/>
      <c r="X21" s="59" t="s"/>
      <c r="Y21" s="59" t="s"/>
      <c r="Z21" s="59" t="s"/>
      <c r="AA21" s="59" t="s"/>
      <c r="AB21" s="59" t="s"/>
      <c r="AC21" s="60" t="s"/>
      <c r="AD21" s="59" t="s"/>
      <c r="AE21" s="59" t="s"/>
      <c r="AF21" s="59" t="s"/>
      <c r="AG21" s="59" t="s"/>
      <c r="AH21" s="59" t="s"/>
    </row>
    <row r="22" spans="1:34" ht="24" hidden="true">
      <c r="A22" s="54" t="s">
        <v>350</v>
      </c>
      <c r="B22" s="54" t="s">
        <v>101</v>
      </c>
      <c r="C22" s="342" t="s">
        <v>330</v>
      </c>
      <c r="D22" s="54">
        <v>7027</v>
      </c>
      <c r="E22" s="54">
        <v>7027</v>
      </c>
      <c r="F22" s="54" t="s">
        <v>325</v>
      </c>
      <c r="G22" s="54" t="s">
        <v>335</v>
      </c>
      <c r="H22" s="54">
        <v>7028</v>
      </c>
      <c r="I22" s="54">
        <v>7028</v>
      </c>
      <c r="J22" s="54">
        <v>7028</v>
      </c>
      <c r="K22" s="345">
        <v>7028</v>
      </c>
      <c r="L22" s="54" t="s">
        <v>300</v>
      </c>
      <c r="M22" s="54" t="s">
        <v>300</v>
      </c>
      <c r="N22" s="54" t="s">
        <v>300</v>
      </c>
      <c r="O22" s="54" t="s">
        <v>300</v>
      </c>
      <c r="P22" s="57" t="s"/>
      <c r="Q22" s="57" t="s">
        <v>300</v>
      </c>
      <c r="R22" s="57" t="s">
        <v>115</v>
      </c>
      <c r="S22" s="57" t="s">
        <v>115</v>
      </c>
      <c r="T22" s="59" t="s"/>
      <c r="U22" s="59" t="s"/>
      <c r="V22" s="57">
        <v>1</v>
      </c>
      <c r="W22" s="59" t="s"/>
      <c r="X22" s="59" t="s"/>
      <c r="Y22" s="59" t="s"/>
      <c r="Z22" s="59" t="s"/>
      <c r="AA22" s="59" t="s"/>
      <c r="AB22" s="59" t="s"/>
      <c r="AC22" s="59" t="s"/>
      <c r="AD22" s="59" t="s"/>
      <c r="AE22" s="59" t="s"/>
      <c r="AF22" s="59" t="s"/>
      <c r="AG22" s="59" t="s"/>
      <c r="AH22" s="59" t="s"/>
    </row>
    <row r="23" spans="1:34" ht="24" hidden="true">
      <c r="A23" s="341" t="s">
        <v>351</v>
      </c>
      <c r="B23" s="54" t="s">
        <v>101</v>
      </c>
      <c r="C23" s="342" t="s">
        <v>330</v>
      </c>
      <c r="D23" s="54" t="s"/>
      <c r="E23" s="54" t="s"/>
      <c r="F23" s="54" t="s"/>
      <c r="G23" s="54" t="s"/>
      <c r="H23" s="54" t="s"/>
      <c r="I23" s="54" t="s"/>
      <c r="J23" s="54" t="s"/>
      <c r="K23" s="346" t="s"/>
      <c r="L23" s="54" t="s">
        <v>306</v>
      </c>
      <c r="M23" s="54" t="s">
        <v>306</v>
      </c>
      <c r="N23" s="54" t="s">
        <v>306</v>
      </c>
      <c r="O23" s="54" t="s">
        <v>306</v>
      </c>
      <c r="P23" s="57" t="s"/>
      <c r="Q23" s="57" t="s">
        <v>300</v>
      </c>
      <c r="R23" s="57" t="s"/>
      <c r="S23" s="57" t="s"/>
      <c r="T23" s="59" t="s"/>
      <c r="U23" s="59" t="s"/>
      <c r="V23" s="57" t="s"/>
      <c r="W23" s="59" t="s"/>
      <c r="X23" s="59" t="s"/>
      <c r="Y23" s="59" t="s"/>
      <c r="Z23" s="59" t="s"/>
      <c r="AA23" s="59" t="s"/>
      <c r="AB23" s="59" t="s"/>
      <c r="AC23" s="59" t="s"/>
      <c r="AD23" s="59" t="s"/>
      <c r="AE23" s="59" t="s"/>
      <c r="AF23" s="59" t="s"/>
      <c r="AG23" s="59" t="s"/>
      <c r="AH23" s="59" t="s"/>
    </row>
    <row r="24" spans="1:34" ht="24" hidden="true">
      <c r="A24" s="54" t="s">
        <v>352</v>
      </c>
      <c r="B24" s="54" t="s">
        <v>304</v>
      </c>
      <c r="C24" s="347" t="s">
        <v>330</v>
      </c>
      <c r="D24" s="54" t="s">
        <v>316</v>
      </c>
      <c r="E24" s="54" t="s">
        <v>316</v>
      </c>
      <c r="F24" s="54" t="s">
        <v>325</v>
      </c>
      <c r="G24" s="54" t="s">
        <v>335</v>
      </c>
      <c r="H24" s="54">
        <v>7028</v>
      </c>
      <c r="I24" s="54">
        <v>7028</v>
      </c>
      <c r="J24" s="54">
        <v>7028</v>
      </c>
      <c r="K24" s="91">
        <v>7028</v>
      </c>
      <c r="L24" s="54" t="s">
        <v>115</v>
      </c>
      <c r="M24" s="54" t="s">
        <v>115</v>
      </c>
      <c r="N24" s="54" t="s">
        <v>115</v>
      </c>
      <c r="O24" s="54" t="s">
        <v>115</v>
      </c>
      <c r="P24" s="57" t="s"/>
      <c r="Q24" s="57">
        <v>728</v>
      </c>
      <c r="R24" s="54" t="s">
        <v>304</v>
      </c>
      <c r="S24" s="54" t="s"/>
      <c r="T24" s="59" t="s"/>
      <c r="U24" s="59" t="s"/>
      <c r="V24" s="57" t="s"/>
      <c r="W24" s="59" t="s"/>
      <c r="X24" s="59" t="s"/>
      <c r="Y24" s="59" t="s"/>
      <c r="Z24" s="59" t="s"/>
      <c r="AA24" s="59" t="s"/>
      <c r="AB24" s="59" t="s"/>
      <c r="AC24" s="59" t="s"/>
      <c r="AD24" s="59" t="s"/>
      <c r="AE24" s="59" t="s"/>
      <c r="AF24" s="59" t="s"/>
      <c r="AG24" s="59" t="s"/>
      <c r="AH24" s="59" t="s"/>
    </row>
    <row r="25" spans="1:34" ht="24">
      <c r="A25" s="341" t="s">
        <v>353</v>
      </c>
      <c r="B25" s="54" t="s">
        <v>78</v>
      </c>
      <c r="C25" s="342" t="s">
        <v>330</v>
      </c>
      <c r="D25" s="54" t="s"/>
      <c r="E25" s="54" t="s"/>
      <c r="F25" s="54" t="s"/>
      <c r="G25" s="54" t="s"/>
      <c r="H25" s="54" t="s"/>
      <c r="I25" s="54" t="s">
        <v>115</v>
      </c>
      <c r="J25" s="76" t="s">
        <v>115</v>
      </c>
      <c r="K25" s="54" t="s">
        <v>306</v>
      </c>
      <c r="L25" s="54" t="s">
        <v>300</v>
      </c>
      <c r="M25" s="54" t="s">
        <v>300</v>
      </c>
      <c r="N25" s="54" t="s">
        <v>300</v>
      </c>
      <c r="O25" s="54" t="s">
        <v>300</v>
      </c>
      <c r="P25" s="338" t="s"/>
      <c r="Q25" s="57" t="s">
        <v>354</v>
      </c>
      <c r="R25" s="57" t="s">
        <v>115</v>
      </c>
      <c r="S25" s="57" t="s"/>
      <c r="T25" s="60" t="s"/>
      <c r="U25" s="59" t="s"/>
      <c r="V25" s="57" t="s"/>
      <c r="W25" s="59" t="s"/>
      <c r="X25" s="59" t="s"/>
      <c r="Y25" s="59" t="s"/>
      <c r="Z25" s="59" t="s"/>
      <c r="AA25" s="59" t="s"/>
      <c r="AB25" s="59" t="s"/>
      <c r="AC25" s="60" t="s"/>
      <c r="AD25" s="59" t="s"/>
      <c r="AE25" s="59" t="s"/>
      <c r="AF25" s="59" t="s"/>
      <c r="AG25" s="59" t="s"/>
      <c r="AH25" s="59" t="s"/>
    </row>
    <row r="26" spans="1:34" ht="24">
      <c r="A26" s="341" t="s">
        <v>355</v>
      </c>
      <c r="B26" s="54" t="s">
        <v>78</v>
      </c>
      <c r="C26" s="342" t="s">
        <v>330</v>
      </c>
      <c r="D26" s="54" t="s">
        <v>115</v>
      </c>
      <c r="E26" s="54" t="s">
        <v>115</v>
      </c>
      <c r="F26" s="54" t="s">
        <v>115</v>
      </c>
      <c r="G26" s="54" t="s">
        <v>115</v>
      </c>
      <c r="H26" s="54" t="s">
        <v>335</v>
      </c>
      <c r="I26" s="54" t="s">
        <v>335</v>
      </c>
      <c r="J26" s="76" t="s">
        <v>335</v>
      </c>
      <c r="K26" s="54" t="s">
        <v>306</v>
      </c>
      <c r="L26" s="54" t="s">
        <v>300</v>
      </c>
      <c r="M26" s="54" t="s">
        <v>300</v>
      </c>
      <c r="N26" s="54" t="s">
        <v>300</v>
      </c>
      <c r="O26" s="54" t="s">
        <v>300</v>
      </c>
      <c r="P26" s="338" t="s">
        <v>356</v>
      </c>
      <c r="Q26" s="57" t="s">
        <v>357</v>
      </c>
      <c r="R26" s="57" t="s">
        <v>115</v>
      </c>
      <c r="S26" s="57" t="s"/>
      <c r="T26" s="60" t="s"/>
      <c r="U26" s="59" t="s"/>
      <c r="V26" s="57" t="s"/>
      <c r="W26" s="59" t="s"/>
      <c r="X26" s="59" t="s"/>
      <c r="Y26" s="59" t="s"/>
      <c r="Z26" s="59" t="s"/>
      <c r="AA26" s="59" t="s"/>
      <c r="AB26" s="59" t="s"/>
      <c r="AC26" s="60" t="s"/>
      <c r="AD26" s="59" t="s"/>
      <c r="AE26" s="59" t="s"/>
      <c r="AF26" s="59" t="s"/>
      <c r="AG26" s="59" t="s"/>
      <c r="AH26" s="59" t="s"/>
    </row>
    <row r="27" spans="1:34" ht="13.5">
      <c r="A27" s="72" t="s">
        <v>358</v>
      </c>
      <c r="B27" s="54" t="s">
        <v>78</v>
      </c>
      <c r="C27" s="75" t="s">
        <v>359</v>
      </c>
      <c r="D27" s="54">
        <v>7027</v>
      </c>
      <c r="E27" s="54">
        <v>7028</v>
      </c>
      <c r="F27" s="54" t="s">
        <v>297</v>
      </c>
      <c r="G27" s="54">
        <v>7028</v>
      </c>
      <c r="H27" s="54">
        <v>7028</v>
      </c>
      <c r="I27" s="54">
        <v>7028</v>
      </c>
      <c r="J27" s="76">
        <v>7028</v>
      </c>
      <c r="K27" s="54">
        <v>7029</v>
      </c>
      <c r="L27" s="54" t="s">
        <v>300</v>
      </c>
      <c r="M27" s="54" t="s">
        <v>300</v>
      </c>
      <c r="N27" s="54" t="s">
        <v>300</v>
      </c>
      <c r="O27" s="54" t="s">
        <v>300</v>
      </c>
      <c r="P27" s="338" t="s">
        <v>360</v>
      </c>
      <c r="Q27" s="62" t="s">
        <v>300</v>
      </c>
      <c r="R27" s="57" t="s">
        <v>115</v>
      </c>
      <c r="S27" s="57" t="s"/>
      <c r="T27" s="60" t="s"/>
      <c r="U27" s="59" t="s"/>
      <c r="V27" s="57" t="s"/>
      <c r="W27" s="59" t="s"/>
      <c r="X27" s="59" t="s"/>
      <c r="Y27" s="59" t="s"/>
      <c r="Z27" s="59" t="s"/>
      <c r="AA27" s="59" t="s"/>
      <c r="AB27" s="59" t="s"/>
      <c r="AC27" s="60" t="s"/>
      <c r="AD27" s="59" t="s"/>
      <c r="AE27" s="59" t="s"/>
      <c r="AF27" s="59" t="s"/>
      <c r="AG27" s="59" t="s"/>
      <c r="AH27" s="59" t="s"/>
    </row>
    <row r="28" spans="1:34" ht="24">
      <c r="A28" s="54" t="s">
        <v>361</v>
      </c>
      <c r="B28" s="54" t="s">
        <v>78</v>
      </c>
      <c r="C28" s="75" t="s">
        <v>359</v>
      </c>
      <c r="D28" s="54">
        <v>7027</v>
      </c>
      <c r="E28" s="54">
        <v>7027</v>
      </c>
      <c r="F28" s="54" t="s">
        <v>362</v>
      </c>
      <c r="G28" s="54">
        <v>7028</v>
      </c>
      <c r="H28" s="54">
        <v>7028</v>
      </c>
      <c r="I28" s="54">
        <v>7028</v>
      </c>
      <c r="J28" s="54">
        <v>7028</v>
      </c>
      <c r="K28" s="54" t="s">
        <v>306</v>
      </c>
      <c r="L28" s="54">
        <v>7028</v>
      </c>
      <c r="M28" s="90" t="s">
        <v>307</v>
      </c>
      <c r="N28" s="90" t="s">
        <v>307</v>
      </c>
      <c r="O28" s="90" t="s">
        <v>307</v>
      </c>
      <c r="P28" s="338" t="s">
        <v>363</v>
      </c>
      <c r="Q28" s="62" t="s">
        <v>364</v>
      </c>
      <c r="R28" s="57" t="s">
        <v>115</v>
      </c>
      <c r="S28" s="57" t="s"/>
      <c r="T28" s="60" t="s"/>
      <c r="U28" s="59" t="s"/>
      <c r="V28" s="57" t="s"/>
      <c r="W28" s="59" t="s"/>
      <c r="X28" s="59" t="s"/>
      <c r="Y28" s="59" t="s"/>
      <c r="Z28" s="59" t="s"/>
      <c r="AA28" s="59" t="s"/>
      <c r="AB28" s="59" t="s"/>
      <c r="AC28" s="60" t="s"/>
      <c r="AD28" s="59" t="s"/>
      <c r="AE28" s="59" t="s"/>
      <c r="AF28" s="59" t="s"/>
      <c r="AG28" s="59" t="s"/>
      <c r="AH28" s="59" t="s"/>
    </row>
    <row r="29" spans="1:34" ht="24">
      <c r="A29" s="63" t="s">
        <v>365</v>
      </c>
      <c r="B29" s="54" t="s">
        <v>78</v>
      </c>
      <c r="C29" s="75" t="s">
        <v>359</v>
      </c>
      <c r="D29" s="54" t="s">
        <v>297</v>
      </c>
      <c r="E29" s="54" t="s">
        <v>366</v>
      </c>
      <c r="F29" s="54" t="s">
        <v>366</v>
      </c>
      <c r="G29" s="54" t="s">
        <v>335</v>
      </c>
      <c r="H29" s="54" t="s">
        <v>335</v>
      </c>
      <c r="I29" s="54" t="s">
        <v>335</v>
      </c>
      <c r="J29" s="76" t="s">
        <v>335</v>
      </c>
      <c r="K29" s="54" t="s">
        <v>335</v>
      </c>
      <c r="L29" s="54" t="s">
        <v>335</v>
      </c>
      <c r="M29" s="54" t="s">
        <v>335</v>
      </c>
      <c r="N29" s="54" t="s">
        <v>335</v>
      </c>
      <c r="O29" s="54" t="s">
        <v>335</v>
      </c>
      <c r="P29" s="338" t="s">
        <v>367</v>
      </c>
      <c r="Q29" s="62" t="s">
        <v>368</v>
      </c>
      <c r="R29" s="57" t="s">
        <v>115</v>
      </c>
      <c r="S29" s="57" t="s"/>
      <c r="T29" s="60" t="s"/>
      <c r="U29" s="59" t="s"/>
      <c r="V29" s="57" t="s"/>
      <c r="W29" s="59" t="s"/>
      <c r="X29" s="59" t="s"/>
      <c r="Y29" s="59" t="s"/>
      <c r="Z29" s="59" t="s"/>
      <c r="AA29" s="59" t="s"/>
      <c r="AB29" s="59" t="s"/>
      <c r="AC29" s="60" t="s"/>
      <c r="AD29" s="59" t="s"/>
      <c r="AE29" s="59" t="s"/>
      <c r="AF29" s="59" t="s"/>
      <c r="AG29" s="59" t="s"/>
      <c r="AH29" s="59" t="s"/>
    </row>
    <row r="30" spans="1:34" ht="13.5">
      <c r="A30" s="54" t="s">
        <v>369</v>
      </c>
      <c r="B30" s="54" t="s">
        <v>78</v>
      </c>
      <c r="C30" s="75" t="s">
        <v>359</v>
      </c>
      <c r="D30" s="54">
        <v>7027</v>
      </c>
      <c r="E30" s="54">
        <v>7028</v>
      </c>
      <c r="F30" s="54" t="s">
        <v>370</v>
      </c>
      <c r="G30" s="54">
        <v>7028</v>
      </c>
      <c r="H30" s="54">
        <v>7028</v>
      </c>
      <c r="I30" s="54">
        <v>7028</v>
      </c>
      <c r="J30" s="76">
        <v>7028</v>
      </c>
      <c r="K30" s="76">
        <v>7028</v>
      </c>
      <c r="L30" s="54" t="s">
        <v>300</v>
      </c>
      <c r="M30" s="54" t="s">
        <v>300</v>
      </c>
      <c r="N30" s="54" t="s">
        <v>300</v>
      </c>
      <c r="O30" s="54" t="s">
        <v>300</v>
      </c>
      <c r="P30" s="343" t="s">
        <v>314</v>
      </c>
      <c r="Q30" s="57" t="s">
        <v>371</v>
      </c>
      <c r="R30" s="57" t="s">
        <v>115</v>
      </c>
      <c r="S30" s="57" t="s"/>
      <c r="T30" s="60" t="s"/>
      <c r="U30" s="59" t="s"/>
      <c r="V30" s="57" t="s">
        <v>372</v>
      </c>
      <c r="W30" s="59" t="s"/>
      <c r="X30" s="59" t="s"/>
      <c r="Y30" s="59" t="s"/>
      <c r="Z30" s="59" t="s"/>
      <c r="AA30" s="59" t="s"/>
      <c r="AB30" s="59" t="s"/>
      <c r="AC30" s="60" t="s"/>
      <c r="AD30" s="59" t="s"/>
      <c r="AE30" s="59" t="s"/>
      <c r="AF30" s="59" t="s"/>
      <c r="AG30" s="59" t="s"/>
      <c r="AH30" s="59" t="s"/>
    </row>
    <row r="31" spans="1:34" ht="13.5">
      <c r="A31" s="63" t="s">
        <v>373</v>
      </c>
      <c r="B31" s="54" t="s">
        <v>78</v>
      </c>
      <c r="C31" s="75" t="s">
        <v>359</v>
      </c>
      <c r="D31" s="54">
        <v>7027</v>
      </c>
      <c r="E31" s="54">
        <v>7028</v>
      </c>
      <c r="F31" s="54" t="s">
        <v>297</v>
      </c>
      <c r="G31" s="54">
        <v>7028</v>
      </c>
      <c r="H31" s="54">
        <v>7028</v>
      </c>
      <c r="I31" s="54">
        <v>7028</v>
      </c>
      <c r="J31" s="54">
        <v>7028</v>
      </c>
      <c r="K31" s="54">
        <v>7028</v>
      </c>
      <c r="L31" s="54" t="s">
        <v>300</v>
      </c>
      <c r="M31" s="54" t="s">
        <v>300</v>
      </c>
      <c r="N31" s="54" t="s">
        <v>300</v>
      </c>
      <c r="O31" s="54" t="s">
        <v>300</v>
      </c>
      <c r="P31" s="338" t="s">
        <v>374</v>
      </c>
      <c r="Q31" s="57" t="s">
        <v>375</v>
      </c>
      <c r="R31" s="57" t="s">
        <v>115</v>
      </c>
      <c r="S31" s="57" t="s"/>
      <c r="T31" s="60" t="s"/>
      <c r="U31" s="59" t="s"/>
      <c r="V31" s="57" t="s"/>
      <c r="W31" s="59" t="s"/>
      <c r="X31" s="59" t="s"/>
      <c r="Y31" s="59" t="s"/>
      <c r="Z31" s="59" t="s"/>
      <c r="AA31" s="59" t="s"/>
      <c r="AB31" s="59" t="s"/>
      <c r="AC31" s="60" t="s"/>
      <c r="AD31" s="59" t="s"/>
      <c r="AE31" s="59" t="s"/>
      <c r="AF31" s="59" t="s"/>
      <c r="AG31" s="59" t="s"/>
      <c r="AH31" s="59" t="s"/>
    </row>
    <row r="32" spans="1:34" ht="13.5" hidden="true">
      <c r="A32" s="54" t="s">
        <v>376</v>
      </c>
      <c r="B32" s="54" t="s">
        <v>304</v>
      </c>
      <c r="C32" s="75" t="s">
        <v>359</v>
      </c>
      <c r="D32" s="54">
        <v>7027</v>
      </c>
      <c r="E32" s="54">
        <v>7028</v>
      </c>
      <c r="F32" s="54">
        <v>7028</v>
      </c>
      <c r="G32" s="54">
        <v>7028</v>
      </c>
      <c r="H32" s="54">
        <v>7028</v>
      </c>
      <c r="I32" s="54">
        <v>7028</v>
      </c>
      <c r="J32" s="54" t="s">
        <v>115</v>
      </c>
      <c r="K32" s="76" t="s">
        <v>115</v>
      </c>
      <c r="L32" s="76" t="s">
        <v>115</v>
      </c>
      <c r="M32" s="76" t="s">
        <v>115</v>
      </c>
      <c r="N32" s="76" t="s">
        <v>115</v>
      </c>
      <c r="O32" s="76" t="s">
        <v>115</v>
      </c>
      <c r="P32" s="338" t="s">
        <v>377</v>
      </c>
      <c r="Q32" s="62" t="s">
        <v>378</v>
      </c>
      <c r="R32" s="57" t="s">
        <v>115</v>
      </c>
      <c r="S32" s="57" t="s"/>
      <c r="T32" s="60" t="s"/>
      <c r="U32" s="59" t="s"/>
      <c r="V32" s="57" t="s"/>
      <c r="W32" s="59" t="s"/>
      <c r="X32" s="59" t="s"/>
      <c r="Y32" s="59" t="s"/>
      <c r="Z32" s="59" t="s"/>
      <c r="AA32" s="59" t="s"/>
      <c r="AB32" s="59" t="s"/>
      <c r="AC32" s="60" t="s"/>
      <c r="AD32" s="59" t="s"/>
      <c r="AE32" s="59" t="s"/>
      <c r="AF32" s="59" t="s"/>
      <c r="AG32" s="59" t="s"/>
      <c r="AH32" s="59" t="s"/>
    </row>
    <row r="33" spans="1:34" ht="24">
      <c r="A33" s="63" t="s">
        <v>897</v>
      </c>
      <c r="B33" s="54" t="s">
        <v>78</v>
      </c>
      <c r="C33" s="75" t="s">
        <v>359</v>
      </c>
      <c r="D33" s="54">
        <v>7027</v>
      </c>
      <c r="E33" s="54" t="s">
        <v>297</v>
      </c>
      <c r="F33" s="54" t="s">
        <v>297</v>
      </c>
      <c r="G33" s="54">
        <v>7028</v>
      </c>
      <c r="H33" s="54" t="s">
        <v>299</v>
      </c>
      <c r="I33" s="54" t="s">
        <v>306</v>
      </c>
      <c r="J33" s="54" t="s">
        <v>299</v>
      </c>
      <c r="K33" s="54" t="s">
        <v>299</v>
      </c>
      <c r="L33" s="90" t="s">
        <v>307</v>
      </c>
      <c r="M33" s="90" t="s">
        <v>307</v>
      </c>
      <c r="N33" s="90" t="s">
        <v>307</v>
      </c>
      <c r="O33" s="90" t="s">
        <v>307</v>
      </c>
      <c r="P33" s="62" t="s">
        <v>379</v>
      </c>
      <c r="Q33" s="336" t="s">
        <v>307</v>
      </c>
      <c r="R33" s="57" t="s">
        <v>115</v>
      </c>
      <c r="S33" s="57" t="s"/>
      <c r="T33" s="60" t="s"/>
      <c r="U33" s="59" t="s"/>
      <c r="V33" s="57" t="s"/>
      <c r="W33" s="59" t="s"/>
      <c r="X33" s="59" t="s"/>
      <c r="Y33" s="59" t="s"/>
      <c r="Z33" s="59" t="s"/>
      <c r="AA33" s="59" t="s"/>
      <c r="AB33" s="59" t="s"/>
      <c r="AC33" s="60" t="s"/>
      <c r="AD33" s="59" t="s"/>
      <c r="AE33" s="59" t="s"/>
      <c r="AF33" s="59" t="s"/>
      <c r="AG33" s="59" t="s"/>
      <c r="AH33" s="59" t="s"/>
    </row>
    <row r="34" spans="1:34" ht="24" hidden="true">
      <c r="A34" s="341" t="s">
        <v>380</v>
      </c>
      <c r="B34" s="54" t="s">
        <v>78</v>
      </c>
      <c r="C34" s="75" t="s">
        <v>359</v>
      </c>
      <c r="D34" s="54" t="s"/>
      <c r="E34" s="54" t="s"/>
      <c r="F34" s="54" t="s"/>
      <c r="G34" s="54" t="s"/>
      <c r="H34" s="54" t="s"/>
      <c r="I34" s="54" t="s"/>
      <c r="J34" s="54" t="s"/>
      <c r="K34" s="54" t="s"/>
      <c r="L34" s="54" t="s">
        <v>300</v>
      </c>
      <c r="M34" s="54" t="s">
        <v>300</v>
      </c>
      <c r="N34" s="54" t="s">
        <v>300</v>
      </c>
      <c r="O34" s="54" t="s">
        <v>381</v>
      </c>
      <c r="P34" s="76" t="s"/>
      <c r="Q34" s="38" t="s">
        <v>337</v>
      </c>
      <c r="R34" s="57" t="s">
        <v>115</v>
      </c>
      <c r="S34" s="57" t="s"/>
      <c r="T34" s="57" t="s"/>
      <c r="U34" s="57" t="s"/>
      <c r="V34" s="57" t="s"/>
      <c r="W34" s="59" t="s"/>
      <c r="X34" s="59" t="s"/>
      <c r="Y34" s="59" t="s"/>
      <c r="Z34" s="59" t="s"/>
      <c r="AA34" s="59" t="s"/>
      <c r="AB34" s="59" t="s"/>
      <c r="AC34" s="60" t="s"/>
      <c r="AD34" s="59" t="s"/>
      <c r="AE34" s="59" t="s"/>
      <c r="AF34" s="59" t="s"/>
      <c r="AG34" s="59" t="s"/>
      <c r="AH34" s="59" t="s"/>
    </row>
    <row r="35" spans="1:34" ht="13.5" hidden="true">
      <c r="A35" s="54" t="s">
        <v>382</v>
      </c>
      <c r="B35" s="54" t="s">
        <v>101</v>
      </c>
      <c r="C35" s="348" t="s">
        <v>359</v>
      </c>
      <c r="D35" s="54">
        <v>7027</v>
      </c>
      <c r="E35" s="54">
        <v>7028</v>
      </c>
      <c r="F35" s="54" t="s">
        <v>325</v>
      </c>
      <c r="G35" s="54">
        <v>7028</v>
      </c>
      <c r="H35" s="54">
        <v>7028</v>
      </c>
      <c r="I35" s="54">
        <v>7028</v>
      </c>
      <c r="J35" s="54">
        <v>7028</v>
      </c>
      <c r="K35" s="76">
        <v>7028</v>
      </c>
      <c r="L35" s="54" t="s">
        <v>300</v>
      </c>
      <c r="M35" s="54" t="s">
        <v>300</v>
      </c>
      <c r="N35" s="54" t="s">
        <v>300</v>
      </c>
      <c r="O35" s="54" t="s">
        <v>300</v>
      </c>
      <c r="P35" s="57" t="s"/>
      <c r="Q35" s="57" t="s">
        <v>300</v>
      </c>
      <c r="R35" s="57" t="s">
        <v>115</v>
      </c>
      <c r="S35" s="57" t="s"/>
      <c r="T35" s="59" t="s"/>
      <c r="U35" s="59" t="s"/>
      <c r="V35" s="57">
        <v>1</v>
      </c>
      <c r="W35" s="59" t="s"/>
      <c r="X35" s="59" t="s"/>
      <c r="Y35" s="59" t="s"/>
      <c r="Z35" s="59" t="s"/>
      <c r="AA35" s="59" t="s"/>
      <c r="AB35" s="59" t="s"/>
      <c r="AC35" s="59" t="s"/>
      <c r="AD35" s="59" t="s"/>
      <c r="AE35" s="59" t="s"/>
      <c r="AF35" s="59" t="s"/>
      <c r="AG35" s="59" t="s"/>
      <c r="AH35" s="59" t="s"/>
    </row>
    <row r="36" spans="1:34" ht="24" hidden="true">
      <c r="A36" s="54" t="s">
        <v>383</v>
      </c>
      <c r="B36" s="54" t="s">
        <v>101</v>
      </c>
      <c r="C36" s="348" t="s">
        <v>359</v>
      </c>
      <c r="D36" s="54" t="s">
        <v>297</v>
      </c>
      <c r="E36" s="54" t="s">
        <v>316</v>
      </c>
      <c r="F36" s="54" t="s">
        <v>325</v>
      </c>
      <c r="G36" s="54" t="s">
        <v>306</v>
      </c>
      <c r="H36" s="54" t="s">
        <v>306</v>
      </c>
      <c r="I36" s="54" t="s">
        <v>306</v>
      </c>
      <c r="J36" s="54" t="s">
        <v>306</v>
      </c>
      <c r="K36" s="76" t="s">
        <v>306</v>
      </c>
      <c r="L36" s="54" t="s">
        <v>306</v>
      </c>
      <c r="M36" s="54" t="s">
        <v>306</v>
      </c>
      <c r="N36" s="54" t="s">
        <v>306</v>
      </c>
      <c r="O36" s="54" t="s">
        <v>306</v>
      </c>
      <c r="P36" s="57" t="s"/>
      <c r="Q36" s="57" t="s">
        <v>384</v>
      </c>
      <c r="R36" s="57" t="s">
        <v>115</v>
      </c>
      <c r="S36" s="57" t="s"/>
      <c r="T36" s="59" t="s"/>
      <c r="U36" s="59" t="s"/>
      <c r="V36" s="57" t="s"/>
      <c r="W36" s="59" t="s"/>
      <c r="X36" s="59" t="s"/>
      <c r="Y36" s="59" t="s"/>
      <c r="Z36" s="59" t="s"/>
      <c r="AA36" s="59" t="s"/>
      <c r="AB36" s="59" t="s"/>
      <c r="AC36" s="59" t="s"/>
      <c r="AD36" s="59" t="s"/>
      <c r="AE36" s="59" t="s"/>
      <c r="AF36" s="59" t="s"/>
      <c r="AG36" s="59" t="s"/>
      <c r="AH36" s="59" t="s"/>
    </row>
    <row r="37" spans="1:34" ht="24">
      <c r="A37" s="341" t="s">
        <v>385</v>
      </c>
      <c r="B37" s="54" t="s">
        <v>78</v>
      </c>
      <c r="C37" s="348" t="s">
        <v>359</v>
      </c>
      <c r="D37" s="54">
        <v>7027</v>
      </c>
      <c r="E37" s="54" t="s">
        <v>297</v>
      </c>
      <c r="F37" s="54" t="s">
        <v>297</v>
      </c>
      <c r="G37" s="54" t="s">
        <v>298</v>
      </c>
      <c r="H37" s="54" t="s">
        <v>298</v>
      </c>
      <c r="I37" s="54" t="s"/>
      <c r="J37" s="54" t="s"/>
      <c r="K37" s="54" t="s">
        <v>306</v>
      </c>
      <c r="L37" s="54" t="s">
        <v>300</v>
      </c>
      <c r="M37" s="54" t="s">
        <v>300</v>
      </c>
      <c r="N37" s="54" t="s">
        <v>300</v>
      </c>
      <c r="O37" s="54" t="s">
        <v>300</v>
      </c>
      <c r="P37" s="335" t="s"/>
      <c r="Q37" s="62" t="s">
        <v>386</v>
      </c>
      <c r="R37" s="57" t="s">
        <v>115</v>
      </c>
      <c r="S37" s="57" t="s"/>
      <c r="T37" s="60" t="s"/>
      <c r="U37" s="59" t="s"/>
      <c r="V37" s="57" t="s">
        <v>372</v>
      </c>
      <c r="W37" s="59" t="s"/>
      <c r="X37" s="59" t="s"/>
      <c r="Y37" s="59" t="s"/>
      <c r="Z37" s="59" t="s"/>
      <c r="AA37" s="59" t="s"/>
      <c r="AB37" s="59" t="s"/>
      <c r="AC37" s="60" t="s"/>
      <c r="AD37" s="59" t="s"/>
      <c r="AE37" s="59" t="s"/>
      <c r="AF37" s="59" t="s"/>
      <c r="AG37" s="59" t="s"/>
      <c r="AH37" s="59" t="s"/>
    </row>
    <row r="38" spans="1:34" ht="24" hidden="true">
      <c r="A38" s="54" t="s">
        <v>387</v>
      </c>
      <c r="B38" s="54" t="s">
        <v>101</v>
      </c>
      <c r="C38" s="349" t="s">
        <v>388</v>
      </c>
      <c r="D38" s="54">
        <v>7027</v>
      </c>
      <c r="E38" s="54">
        <v>7027</v>
      </c>
      <c r="F38" s="54">
        <v>7027</v>
      </c>
      <c r="G38" s="54">
        <v>7028</v>
      </c>
      <c r="H38" s="54">
        <v>7028</v>
      </c>
      <c r="I38" s="54">
        <v>7028</v>
      </c>
      <c r="J38" s="54">
        <v>7028</v>
      </c>
      <c r="K38" s="76">
        <v>7028</v>
      </c>
      <c r="L38" s="54" t="s">
        <v>306</v>
      </c>
      <c r="M38" s="54" t="s">
        <v>306</v>
      </c>
      <c r="N38" s="54" t="s">
        <v>306</v>
      </c>
      <c r="O38" s="54" t="s">
        <v>306</v>
      </c>
      <c r="P38" s="57" t="s"/>
      <c r="Q38" s="57" t="s">
        <v>384</v>
      </c>
      <c r="R38" s="337" t="s">
        <v>115</v>
      </c>
      <c r="S38" s="57" t="s"/>
      <c r="T38" s="59" t="s"/>
      <c r="U38" s="59" t="s"/>
      <c r="V38" s="57" t="s"/>
      <c r="W38" s="59" t="s"/>
      <c r="X38" s="59" t="s"/>
      <c r="Y38" s="59" t="s"/>
      <c r="Z38" s="59" t="s"/>
      <c r="AA38" s="59" t="s"/>
      <c r="AB38" s="59" t="s"/>
      <c r="AC38" s="59" t="s"/>
      <c r="AD38" s="59" t="s"/>
      <c r="AE38" s="59" t="s"/>
      <c r="AF38" s="59" t="s"/>
      <c r="AG38" s="59" t="s"/>
      <c r="AH38" s="59" t="s"/>
    </row>
    <row r="39" spans="1:34" ht="13.5" hidden="true">
      <c r="A39" s="54" t="s">
        <v>389</v>
      </c>
      <c r="B39" s="54" t="s">
        <v>101</v>
      </c>
      <c r="C39" s="349" t="s">
        <v>388</v>
      </c>
      <c r="D39" s="54" t="s">
        <v>185</v>
      </c>
      <c r="E39" s="54" t="s">
        <v>185</v>
      </c>
      <c r="F39" s="54" t="s">
        <v>185</v>
      </c>
      <c r="G39" s="54" t="s">
        <v>185</v>
      </c>
      <c r="H39" s="54" t="s">
        <v>185</v>
      </c>
      <c r="I39" s="54" t="s">
        <v>185</v>
      </c>
      <c r="J39" s="54" t="s">
        <v>185</v>
      </c>
      <c r="K39" s="76" t="s">
        <v>185</v>
      </c>
      <c r="L39" s="54" t="s">
        <v>185</v>
      </c>
      <c r="M39" s="54" t="s">
        <v>185</v>
      </c>
      <c r="N39" s="54" t="s">
        <v>185</v>
      </c>
      <c r="O39" s="54" t="s">
        <v>185</v>
      </c>
      <c r="P39" s="38" t="s"/>
      <c r="Q39" s="57" t="s">
        <v>185</v>
      </c>
      <c r="R39" s="337" t="s">
        <v>115</v>
      </c>
      <c r="S39" s="57" t="s"/>
      <c r="T39" s="59" t="s"/>
      <c r="U39" s="59" t="s"/>
      <c r="V39" s="57" t="s"/>
      <c r="W39" s="59" t="s"/>
      <c r="X39" s="59" t="s"/>
      <c r="Y39" s="59" t="s"/>
      <c r="Z39" s="59" t="s"/>
      <c r="AA39" s="59" t="s"/>
      <c r="AB39" s="59" t="s"/>
      <c r="AC39" s="59" t="s"/>
      <c r="AD39" s="59" t="s"/>
      <c r="AE39" s="59" t="s"/>
      <c r="AF39" s="59" t="s"/>
      <c r="AG39" s="59" t="s"/>
      <c r="AH39" s="59" t="s"/>
    </row>
    <row r="40" spans="1:34" ht="13.5">
      <c r="A40" s="63" t="s">
        <v>390</v>
      </c>
      <c r="B40" s="54" t="s">
        <v>78</v>
      </c>
      <c r="C40" s="89" t="s">
        <v>391</v>
      </c>
      <c r="D40" s="54" t="s">
        <v>160</v>
      </c>
      <c r="E40" s="54" t="s">
        <v>160</v>
      </c>
      <c r="F40" s="54" t="s">
        <v>160</v>
      </c>
      <c r="G40" s="54" t="s">
        <v>160</v>
      </c>
      <c r="H40" s="54" t="s">
        <v>160</v>
      </c>
      <c r="I40" s="54" t="s">
        <v>160</v>
      </c>
      <c r="J40" s="54" t="s">
        <v>160</v>
      </c>
      <c r="K40" s="54" t="s">
        <v>160</v>
      </c>
      <c r="L40" s="160" t="s">
        <v>160</v>
      </c>
      <c r="M40" s="160" t="s">
        <v>160</v>
      </c>
      <c r="N40" s="160" t="s">
        <v>160</v>
      </c>
      <c r="O40" s="160" t="s">
        <v>160</v>
      </c>
      <c r="P40" s="335" t="s">
        <v>392</v>
      </c>
      <c r="Q40" s="62" t="s">
        <v>160</v>
      </c>
      <c r="R40" s="337" t="s">
        <v>115</v>
      </c>
      <c r="S40" s="57" t="s"/>
      <c r="T40" s="60" t="s"/>
      <c r="U40" s="59" t="s"/>
      <c r="V40" s="57" t="s"/>
      <c r="W40" s="59" t="s"/>
      <c r="X40" s="59" t="s"/>
      <c r="Y40" s="59" t="s"/>
      <c r="Z40" s="59" t="s"/>
      <c r="AA40" s="59" t="s"/>
      <c r="AB40" s="59" t="s"/>
      <c r="AC40" s="60" t="s"/>
      <c r="AD40" s="59" t="s"/>
      <c r="AE40" s="59" t="s"/>
      <c r="AF40" s="59" t="s"/>
      <c r="AG40" s="59" t="s"/>
      <c r="AH40" s="59" t="s"/>
    </row>
    <row r="41" spans="1:34" ht="24">
      <c r="A41" s="63" t="s">
        <v>393</v>
      </c>
      <c r="B41" s="54" t="s">
        <v>78</v>
      </c>
      <c r="C41" s="89" t="s">
        <v>391</v>
      </c>
      <c r="D41" s="54">
        <v>7028</v>
      </c>
      <c r="E41" s="54">
        <v>7028</v>
      </c>
      <c r="F41" s="54" t="s">
        <v>297</v>
      </c>
      <c r="G41" s="54">
        <v>7028</v>
      </c>
      <c r="H41" s="54" t="s">
        <v>299</v>
      </c>
      <c r="I41" s="54">
        <v>7028</v>
      </c>
      <c r="J41" s="54">
        <v>7028</v>
      </c>
      <c r="K41" s="54" t="s">
        <v>299</v>
      </c>
      <c r="L41" s="160" t="s">
        <v>160</v>
      </c>
      <c r="M41" s="54" t="s">
        <v>160</v>
      </c>
      <c r="N41" s="54" t="s">
        <v>160</v>
      </c>
      <c r="O41" s="54" t="s">
        <v>160</v>
      </c>
      <c r="P41" s="350" t="s">
        <v>394</v>
      </c>
      <c r="Q41" s="62" t="s">
        <v>160</v>
      </c>
      <c r="R41" s="57" t="s">
        <v>115</v>
      </c>
      <c r="S41" s="57" t="s"/>
      <c r="T41" s="60" t="s"/>
      <c r="U41" s="59" t="s"/>
      <c r="V41" s="57" t="s"/>
      <c r="W41" s="59" t="s"/>
      <c r="X41" s="59" t="s"/>
      <c r="Y41" s="59" t="s"/>
      <c r="Z41" s="59" t="s"/>
      <c r="AA41" s="59" t="s"/>
      <c r="AB41" s="59" t="s"/>
      <c r="AC41" s="60" t="s"/>
      <c r="AD41" s="59" t="s"/>
      <c r="AE41" s="59" t="s"/>
      <c r="AF41" s="59" t="s"/>
      <c r="AG41" s="59" t="s"/>
      <c r="AH41" s="59" t="s"/>
    </row>
    <row r="42" spans="1:34" ht="27">
      <c r="A42" s="63" t="s">
        <v>898</v>
      </c>
      <c r="B42" s="54" t="s">
        <v>78</v>
      </c>
      <c r="C42" s="89" t="s">
        <v>391</v>
      </c>
      <c r="D42" s="54">
        <v>7027</v>
      </c>
      <c r="E42" s="54" t="s">
        <v>160</v>
      </c>
      <c r="F42" s="54" t="s">
        <v>160</v>
      </c>
      <c r="G42" s="54" t="s">
        <v>160</v>
      </c>
      <c r="H42" s="54" t="s">
        <v>160</v>
      </c>
      <c r="I42" s="54" t="s">
        <v>160</v>
      </c>
      <c r="J42" s="54" t="s">
        <v>160</v>
      </c>
      <c r="K42" s="54" t="s">
        <v>160</v>
      </c>
      <c r="L42" s="54" t="s">
        <v>160</v>
      </c>
      <c r="M42" s="54" t="s">
        <v>160</v>
      </c>
      <c r="N42" s="54" t="s">
        <v>160</v>
      </c>
      <c r="O42" s="54" t="s">
        <v>160</v>
      </c>
      <c r="P42" s="344" t="s">
        <v>395</v>
      </c>
      <c r="Q42" s="57" t="s">
        <v>160</v>
      </c>
      <c r="R42" s="337" t="s">
        <v>115</v>
      </c>
      <c r="S42" s="57" t="s"/>
      <c r="T42" s="60" t="s"/>
      <c r="U42" s="59" t="s"/>
      <c r="V42" s="57" t="s"/>
      <c r="W42" s="59" t="s"/>
      <c r="X42" s="59" t="s"/>
      <c r="Y42" s="59" t="s"/>
      <c r="Z42" s="59" t="s"/>
      <c r="AA42" s="59" t="s"/>
      <c r="AB42" s="59" t="s"/>
      <c r="AC42" s="60" t="s"/>
      <c r="AD42" s="59" t="s"/>
      <c r="AE42" s="59" t="s"/>
      <c r="AF42" s="59" t="s"/>
      <c r="AG42" s="59" t="s"/>
      <c r="AH42" s="59" t="s"/>
    </row>
    <row r="43" spans="1:34" ht="13.5">
      <c r="A43" s="54" t="s">
        <v>396</v>
      </c>
      <c r="B43" s="54" t="s">
        <v>78</v>
      </c>
      <c r="C43" s="54" t="s">
        <v>397</v>
      </c>
      <c r="D43" s="54" t="s">
        <v>178</v>
      </c>
      <c r="E43" s="54" t="s">
        <v>178</v>
      </c>
      <c r="F43" s="54" t="s">
        <v>178</v>
      </c>
      <c r="G43" s="54" t="s">
        <v>178</v>
      </c>
      <c r="H43" s="54" t="s">
        <v>178</v>
      </c>
      <c r="I43" s="54" t="s">
        <v>178</v>
      </c>
      <c r="J43" s="54" t="s">
        <v>178</v>
      </c>
      <c r="K43" s="54" t="s">
        <v>178</v>
      </c>
      <c r="L43" s="54" t="s">
        <v>178</v>
      </c>
      <c r="M43" s="54" t="s">
        <v>178</v>
      </c>
      <c r="N43" s="54" t="s">
        <v>178</v>
      </c>
      <c r="O43" s="54" t="s">
        <v>178</v>
      </c>
      <c r="P43" s="38" t="s"/>
      <c r="Q43" s="38" t="s"/>
      <c r="R43" s="57" t="s"/>
      <c r="S43" s="57" t="s"/>
      <c r="T43" s="60" t="s"/>
      <c r="U43" s="59" t="s"/>
      <c r="V43" s="57" t="s"/>
      <c r="W43" s="59" t="s"/>
      <c r="X43" s="59" t="s"/>
      <c r="Y43" s="59" t="s"/>
      <c r="Z43" s="59" t="s"/>
      <c r="AA43" s="59" t="s"/>
      <c r="AB43" s="59" t="s"/>
      <c r="AC43" s="60" t="s"/>
      <c r="AD43" s="59" t="s"/>
      <c r="AE43" s="59" t="s"/>
      <c r="AF43" s="59" t="s"/>
      <c r="AG43" s="59" t="s"/>
      <c r="AH43" s="59" t="s"/>
    </row>
    <row r="44" spans="1:34" ht="13.5">
      <c r="A44" s="54" t="s">
        <v>398</v>
      </c>
      <c r="B44" s="54" t="s">
        <v>78</v>
      </c>
      <c r="C44" s="54" t="s">
        <v>397</v>
      </c>
      <c r="D44" s="54" t="s">
        <v>178</v>
      </c>
      <c r="E44" s="54" t="s">
        <v>178</v>
      </c>
      <c r="F44" s="54" t="s">
        <v>178</v>
      </c>
      <c r="G44" s="54" t="s">
        <v>178</v>
      </c>
      <c r="H44" s="54" t="s">
        <v>178</v>
      </c>
      <c r="I44" s="54" t="s">
        <v>178</v>
      </c>
      <c r="J44" s="54" t="s">
        <v>178</v>
      </c>
      <c r="K44" s="54" t="s">
        <v>178</v>
      </c>
      <c r="L44" s="54" t="s">
        <v>178</v>
      </c>
      <c r="M44" s="54" t="s">
        <v>178</v>
      </c>
      <c r="N44" s="54" t="s">
        <v>178</v>
      </c>
      <c r="O44" s="54" t="s">
        <v>178</v>
      </c>
      <c r="P44" s="38" t="s"/>
      <c r="Q44" s="38" t="s"/>
      <c r="R44" s="57" t="s"/>
      <c r="S44" s="57" t="s"/>
      <c r="T44" s="60" t="s"/>
      <c r="U44" s="59" t="s"/>
      <c r="V44" s="57" t="s"/>
      <c r="W44" s="59" t="s"/>
      <c r="X44" s="59" t="s"/>
      <c r="Y44" s="59" t="s"/>
      <c r="Z44" s="59" t="s"/>
      <c r="AA44" s="59" t="s"/>
      <c r="AB44" s="59" t="s"/>
      <c r="AC44" s="60" t="s"/>
      <c r="AD44" s="59" t="s"/>
      <c r="AE44" s="59" t="s"/>
      <c r="AF44" s="59" t="s"/>
      <c r="AG44" s="59" t="s"/>
      <c r="AH44" s="59" t="s"/>
    </row>
    <row r="45" spans="1:34" ht="13.5">
      <c r="A45" s="54" t="s">
        <v>399</v>
      </c>
      <c r="B45" s="54" t="s">
        <v>78</v>
      </c>
      <c r="C45" s="54" t="s">
        <v>397</v>
      </c>
      <c r="D45" s="54" t="s">
        <v>178</v>
      </c>
      <c r="E45" s="54" t="s">
        <v>178</v>
      </c>
      <c r="F45" s="54" t="s">
        <v>178</v>
      </c>
      <c r="G45" s="54" t="s">
        <v>178</v>
      </c>
      <c r="H45" s="54" t="s">
        <v>178</v>
      </c>
      <c r="I45" s="54" t="s">
        <v>178</v>
      </c>
      <c r="J45" s="54" t="s">
        <v>178</v>
      </c>
      <c r="K45" s="54" t="s">
        <v>178</v>
      </c>
      <c r="L45" s="54" t="s">
        <v>178</v>
      </c>
      <c r="M45" s="54" t="s">
        <v>178</v>
      </c>
      <c r="N45" s="54" t="s">
        <v>178</v>
      </c>
      <c r="O45" s="54" t="s">
        <v>178</v>
      </c>
      <c r="P45" s="38" t="s"/>
      <c r="Q45" s="38" t="s"/>
      <c r="R45" s="57" t="s"/>
      <c r="S45" s="57" t="s"/>
      <c r="T45" s="60" t="s"/>
      <c r="U45" s="59" t="s"/>
      <c r="V45" s="57" t="s"/>
      <c r="W45" s="59" t="s"/>
      <c r="X45" s="59" t="s"/>
      <c r="Y45" s="59" t="s"/>
      <c r="Z45" s="59" t="s"/>
      <c r="AA45" s="59" t="s"/>
      <c r="AB45" s="59" t="s"/>
      <c r="AC45" s="60" t="s"/>
      <c r="AD45" s="59" t="s"/>
      <c r="AE45" s="59" t="s"/>
      <c r="AF45" s="59" t="s"/>
      <c r="AG45" s="59" t="s"/>
      <c r="AH45" s="59" t="s"/>
    </row>
    <row r="46" spans="1:34" ht="13.5">
      <c r="A46" s="90" t="s">
        <v>400</v>
      </c>
      <c r="B46" s="54" t="s">
        <v>78</v>
      </c>
      <c r="C46" s="90" t="s">
        <v>401</v>
      </c>
      <c r="D46" s="90" t="s">
        <v>185</v>
      </c>
      <c r="E46" s="90" t="s">
        <v>185</v>
      </c>
      <c r="F46" s="90" t="s">
        <v>185</v>
      </c>
      <c r="G46" s="90" t="s">
        <v>185</v>
      </c>
      <c r="H46" s="90" t="s">
        <v>185</v>
      </c>
      <c r="I46" s="90" t="s">
        <v>185</v>
      </c>
      <c r="J46" s="90" t="s">
        <v>185</v>
      </c>
      <c r="K46" s="90" t="s">
        <v>185</v>
      </c>
      <c r="L46" s="90" t="s">
        <v>185</v>
      </c>
      <c r="M46" s="90" t="s">
        <v>185</v>
      </c>
      <c r="N46" s="90" t="s">
        <v>185</v>
      </c>
      <c r="O46" s="90" t="s">
        <v>185</v>
      </c>
      <c r="P46" s="38" t="s"/>
      <c r="Q46" s="38" t="s"/>
      <c r="R46" s="57" t="s"/>
      <c r="S46" s="57" t="s"/>
      <c r="T46" s="60" t="s"/>
      <c r="U46" s="59" t="s"/>
      <c r="V46" s="57" t="s"/>
      <c r="W46" s="59" t="s"/>
      <c r="X46" s="59" t="s"/>
      <c r="Y46" s="59" t="s"/>
      <c r="Z46" s="59" t="s"/>
      <c r="AA46" s="59" t="s"/>
      <c r="AB46" s="59" t="s"/>
      <c r="AC46" s="60" t="s"/>
      <c r="AD46" s="59" t="s"/>
      <c r="AE46" s="59" t="s"/>
      <c r="AF46" s="59" t="s"/>
      <c r="AG46" s="59" t="s"/>
      <c r="AH46" s="59" t="s"/>
    </row>
    <row r="47" spans="1:34" ht="13.5">
      <c r="A47" s="54" t="s">
        <v>402</v>
      </c>
      <c r="B47" s="54" t="s">
        <v>78</v>
      </c>
      <c r="C47" s="54" t="s">
        <v>401</v>
      </c>
      <c r="D47" s="54" t="s">
        <v>185</v>
      </c>
      <c r="E47" s="54" t="s">
        <v>185</v>
      </c>
      <c r="F47" s="54" t="s">
        <v>185</v>
      </c>
      <c r="G47" s="54" t="s">
        <v>185</v>
      </c>
      <c r="H47" s="54" t="s">
        <v>185</v>
      </c>
      <c r="I47" s="54" t="s">
        <v>185</v>
      </c>
      <c r="J47" s="54" t="s">
        <v>185</v>
      </c>
      <c r="K47" s="54" t="s">
        <v>185</v>
      </c>
      <c r="L47" s="54" t="s">
        <v>185</v>
      </c>
      <c r="M47" s="54" t="s">
        <v>185</v>
      </c>
      <c r="N47" s="54" t="s">
        <v>185</v>
      </c>
      <c r="O47" s="54" t="s">
        <v>185</v>
      </c>
      <c r="P47" s="38" t="s"/>
      <c r="Q47" s="38" t="s"/>
      <c r="R47" s="57" t="s"/>
      <c r="S47" s="57" t="s"/>
      <c r="T47" s="60" t="s"/>
      <c r="U47" s="59" t="s"/>
      <c r="V47" s="57" t="s"/>
      <c r="W47" s="59" t="s"/>
      <c r="X47" s="59" t="s"/>
      <c r="Y47" s="59" t="s"/>
      <c r="Z47" s="59" t="s"/>
      <c r="AA47" s="59" t="s"/>
      <c r="AB47" s="59" t="s"/>
      <c r="AC47" s="60" t="s"/>
      <c r="AD47" s="59" t="s"/>
      <c r="AE47" s="59" t="s"/>
      <c r="AF47" s="59" t="s"/>
      <c r="AG47" s="59" t="s"/>
      <c r="AH47" s="59" t="s"/>
    </row>
    <row r="48" spans="1:34" ht="13.5">
      <c r="A48" s="92" t="s"/>
      <c r="B48" s="92" t="s"/>
      <c r="C48" s="92" t="s"/>
      <c r="D48" s="92" t="s"/>
      <c r="E48" s="92" t="s"/>
      <c r="F48" s="92" t="s"/>
      <c r="G48" s="92" t="s"/>
      <c r="H48" s="92" t="s"/>
      <c r="I48" s="92" t="s"/>
      <c r="J48" s="92" t="s"/>
      <c r="K48" s="92" t="s"/>
      <c r="L48" s="92" t="s"/>
      <c r="M48" s="92" t="s"/>
      <c r="N48" s="92" t="s"/>
      <c r="O48" s="92" t="s"/>
      <c r="Q48" s="38" t="s"/>
      <c r="R48" s="57" t="s"/>
      <c r="S48" s="57" t="s"/>
      <c r="T48" s="60" t="s"/>
      <c r="U48" s="59" t="s"/>
      <c r="V48" s="57" t="s"/>
      <c r="W48" s="59" t="s"/>
      <c r="X48" s="59" t="s"/>
      <c r="Y48" s="59" t="s"/>
      <c r="Z48" s="59" t="s"/>
      <c r="AA48" s="59" t="s"/>
      <c r="AB48" s="59" t="s"/>
      <c r="AC48" s="60" t="s"/>
      <c r="AD48" s="59" t="s"/>
      <c r="AE48" s="59" t="s"/>
      <c r="AF48" s="59" t="s"/>
      <c r="AG48" s="59" t="s"/>
      <c r="AH48" s="59" t="s"/>
    </row>
    <row r="49" spans="1:34" ht="13.5">
      <c r="A49" s="92" t="s"/>
      <c r="B49" s="92" t="s"/>
      <c r="C49" s="92" t="s"/>
      <c r="D49" s="92" t="s"/>
      <c r="E49" s="92" t="s"/>
      <c r="F49" s="92" t="s"/>
      <c r="G49" s="351" t="s"/>
      <c r="H49" s="92" t="s"/>
      <c r="I49" s="92" t="s"/>
      <c r="J49" s="92" t="s"/>
      <c r="K49" s="92" t="s"/>
      <c r="L49" s="92" t="s"/>
      <c r="M49" s="92" t="s"/>
      <c r="N49" s="92" t="s"/>
      <c r="O49" s="92" t="s"/>
      <c r="P49" s="38" t="s"/>
      <c r="Q49" s="38" t="s"/>
      <c r="R49" s="57" t="s"/>
      <c r="S49" s="57" t="s"/>
      <c r="T49" s="60" t="s"/>
      <c r="U49" s="59" t="s"/>
      <c r="V49" s="57" t="s"/>
      <c r="W49" s="59" t="s"/>
      <c r="X49" s="59" t="s"/>
      <c r="Y49" s="59" t="s"/>
      <c r="Z49" s="59" t="s"/>
      <c r="AA49" s="59" t="s"/>
      <c r="AB49" s="59" t="s"/>
      <c r="AC49" s="60" t="s"/>
      <c r="AD49" s="59" t="s"/>
      <c r="AE49" s="59" t="s"/>
      <c r="AF49" s="59" t="s"/>
      <c r="AG49" s="59" t="s"/>
      <c r="AH49" s="59" t="s"/>
    </row>
    <row r="50" spans="1:34" ht="13.5">
      <c r="A50" s="92" t="s"/>
      <c r="B50" s="92" t="s"/>
      <c r="C50" s="92" t="s"/>
      <c r="D50" s="92" t="s"/>
      <c r="E50" s="92" t="s"/>
      <c r="F50" s="92" t="s"/>
      <c r="G50" s="92" t="s"/>
      <c r="H50" s="92" t="s"/>
      <c r="I50" s="92" t="s"/>
      <c r="J50" s="92" t="s"/>
      <c r="K50" s="92" t="s"/>
      <c r="L50" s="92" t="s"/>
      <c r="M50" s="92" t="s"/>
      <c r="N50" s="92" t="s"/>
      <c r="O50" s="92" t="s"/>
      <c r="P50" s="38" t="s"/>
      <c r="Q50" s="38" t="s"/>
      <c r="R50" s="57" t="s"/>
      <c r="S50" s="57" t="s"/>
      <c r="T50" s="60" t="s"/>
      <c r="U50" s="59" t="s"/>
      <c r="V50" s="57" t="s"/>
      <c r="W50" s="59" t="s"/>
      <c r="X50" s="59" t="s"/>
      <c r="Y50" s="59" t="s"/>
      <c r="Z50" s="59" t="s"/>
      <c r="AA50" s="59" t="s"/>
      <c r="AB50" s="59" t="s"/>
      <c r="AC50" s="60" t="s"/>
      <c r="AD50" s="59" t="s"/>
      <c r="AE50" s="59" t="s"/>
      <c r="AF50" s="59" t="s"/>
      <c r="AG50" s="59" t="s"/>
      <c r="AH50" s="59" t="s"/>
    </row>
    <row r="51" spans="1:34" ht="13.5">
      <c r="A51" s="92" t="s"/>
      <c r="B51" s="92" t="s"/>
      <c r="C51" s="92" t="s"/>
      <c r="D51" s="92" t="s"/>
      <c r="E51" s="92" t="s"/>
      <c r="F51" s="92" t="s"/>
      <c r="G51" s="92" t="s"/>
      <c r="H51" s="92" t="s"/>
      <c r="I51" s="92" t="s"/>
      <c r="J51" s="92" t="s"/>
      <c r="K51" s="92" t="s"/>
      <c r="L51" s="92" t="s"/>
      <c r="M51" s="92" t="s"/>
      <c r="N51" s="92" t="s"/>
      <c r="O51" s="92" t="s"/>
      <c r="P51" s="38" t="s"/>
      <c r="Q51" s="38" t="s"/>
      <c r="R51" s="57" t="s"/>
      <c r="S51" s="57" t="s"/>
      <c r="T51" s="60" t="s"/>
      <c r="U51" s="59" t="s"/>
      <c r="V51" s="57" t="s"/>
      <c r="W51" s="59" t="s"/>
      <c r="X51" s="59" t="s"/>
      <c r="Y51" s="59" t="s"/>
      <c r="Z51" s="59" t="s"/>
      <c r="AA51" s="59" t="s"/>
      <c r="AB51" s="59" t="s"/>
      <c r="AC51" s="60" t="s"/>
      <c r="AD51" s="59" t="s"/>
      <c r="AE51" s="59" t="s"/>
      <c r="AF51" s="59" t="s"/>
      <c r="AG51" s="59" t="s"/>
      <c r="AH51" s="59" t="s"/>
    </row>
    <row r="52" spans="1:34" ht="13.5">
      <c r="A52" s="92" t="s"/>
      <c r="B52" s="92" t="s"/>
      <c r="C52" s="92" t="s"/>
      <c r="D52" s="92" t="s"/>
      <c r="E52" s="92" t="s"/>
      <c r="F52" s="92" t="s"/>
      <c r="G52" s="92" t="s"/>
      <c r="H52" s="92" t="s"/>
      <c r="I52" s="92" t="s"/>
      <c r="J52" s="92" t="s"/>
      <c r="K52" s="92" t="s"/>
      <c r="L52" s="92" t="s"/>
      <c r="M52" s="92" t="s"/>
      <c r="N52" s="92" t="s"/>
      <c r="O52" s="92" t="s"/>
      <c r="P52" s="38" t="s"/>
      <c r="Q52" s="38" t="s"/>
      <c r="R52" s="57" t="s"/>
      <c r="S52" s="57" t="s"/>
      <c r="T52" s="60" t="s"/>
      <c r="U52" s="59" t="s"/>
      <c r="V52" s="57" t="s"/>
      <c r="W52" s="59" t="s"/>
      <c r="X52" s="59" t="s"/>
      <c r="Y52" s="59" t="s"/>
      <c r="Z52" s="59" t="s"/>
      <c r="AA52" s="59" t="s"/>
      <c r="AB52" s="59" t="s"/>
      <c r="AC52" s="60" t="s"/>
      <c r="AD52" s="59" t="s"/>
      <c r="AE52" s="59" t="s"/>
      <c r="AF52" s="59" t="s"/>
      <c r="AG52" s="59" t="s"/>
      <c r="AH52" s="59" t="s"/>
    </row>
    <row r="53" spans="1:34" ht="13.5">
      <c r="A53" s="92" t="s"/>
      <c r="B53" s="92" t="s"/>
      <c r="C53" s="92" t="s"/>
      <c r="D53" s="92" t="s"/>
      <c r="E53" s="92" t="s"/>
      <c r="F53" s="92" t="s"/>
      <c r="G53" s="92" t="s"/>
      <c r="H53" s="92" t="s"/>
      <c r="I53" s="92" t="s"/>
      <c r="J53" s="92" t="s"/>
      <c r="K53" s="92" t="s"/>
      <c r="L53" s="92" t="s"/>
      <c r="M53" s="92" t="s"/>
      <c r="N53" s="92" t="s"/>
      <c r="O53" s="92" t="s"/>
      <c r="P53" s="38" t="s"/>
      <c r="Q53" s="38" t="s"/>
      <c r="R53" s="57" t="s"/>
      <c r="S53" s="57" t="s"/>
      <c r="T53" s="60" t="s"/>
      <c r="U53" s="59" t="s"/>
      <c r="V53" s="57" t="s"/>
      <c r="W53" s="59" t="s"/>
      <c r="X53" s="59" t="s"/>
      <c r="Y53" s="59" t="s"/>
      <c r="Z53" s="59" t="s"/>
      <c r="AA53" s="59" t="s"/>
      <c r="AB53" s="59" t="s"/>
      <c r="AC53" s="60" t="s"/>
      <c r="AD53" s="59" t="s"/>
      <c r="AE53" s="59" t="s"/>
      <c r="AF53" s="59" t="s"/>
      <c r="AG53" s="59" t="s"/>
      <c r="AH53" s="59" t="s"/>
    </row>
    <row r="54" spans="1:34" ht="13.5">
      <c r="A54" s="93" t="s"/>
      <c r="B54" s="92" t="s"/>
      <c r="C54" s="92" t="s"/>
      <c r="D54" s="92" t="s"/>
      <c r="E54" s="92" t="s"/>
      <c r="F54" s="94" t="s"/>
      <c r="G54" s="57" t="s"/>
      <c r="H54" s="57" t="s"/>
      <c r="I54" s="57" t="s"/>
      <c r="J54" s="57" t="s"/>
      <c r="K54" s="57" t="s"/>
      <c r="L54" s="57" t="s"/>
      <c r="M54" s="57" t="s"/>
      <c r="N54" s="57" t="s"/>
      <c r="O54" s="57" t="s"/>
      <c r="P54" s="38" t="s"/>
      <c r="Q54" s="38" t="s"/>
      <c r="R54" s="57" t="s"/>
      <c r="S54" s="57" t="s"/>
      <c r="T54" s="60" t="s"/>
      <c r="U54" s="59" t="s"/>
      <c r="V54" s="57" t="s"/>
      <c r="W54" s="59" t="s"/>
      <c r="X54" s="59" t="s"/>
      <c r="Y54" s="59" t="s"/>
      <c r="Z54" s="59" t="s"/>
      <c r="AA54" s="59" t="s"/>
      <c r="AB54" s="59" t="s"/>
      <c r="AC54" s="60" t="s"/>
      <c r="AD54" s="59" t="s"/>
      <c r="AE54" s="59" t="s"/>
      <c r="AF54" s="59" t="s"/>
      <c r="AG54" s="59" t="s"/>
      <c r="AH54" s="59" t="s"/>
    </row>
    <row r="55" spans="1:34" ht="14.25">
      <c r="A55" s="95" t="s">
        <v>191</v>
      </c>
      <c r="B55" s="6" t="s"/>
      <c r="C55" s="6" t="s"/>
      <c r="D55" s="6" t="s"/>
      <c r="E55" s="6" t="s"/>
      <c r="F55" s="6" t="s"/>
      <c r="G55" s="6" t="s"/>
      <c r="H55" s="6" t="s"/>
      <c r="I55" s="6" t="s"/>
      <c r="J55" s="6" t="s"/>
      <c r="K55" s="6" t="s"/>
      <c r="L55" s="6" t="s"/>
      <c r="M55" s="6" t="s"/>
      <c r="N55" s="6" t="s"/>
      <c r="O55" s="6" t="s"/>
      <c r="P55" s="38" t="s"/>
      <c r="Q55" s="352" t="s">
        <v>403</v>
      </c>
      <c r="R55" s="154" t="s"/>
      <c r="S55" s="154" t="s"/>
      <c r="T55" s="154" t="s"/>
      <c r="U55" s="6" t="s"/>
      <c r="V55" s="154" t="s"/>
      <c r="W55" s="353" t="s"/>
      <c r="X55" s="79" t="s"/>
      <c r="Y55" s="79" t="s"/>
      <c r="Z55" s="79" t="s"/>
      <c r="AA55" s="79" t="s"/>
      <c r="AB55" s="79" t="s"/>
      <c r="AC55" s="52" t="s"/>
      <c r="AD55" s="79" t="s"/>
      <c r="AE55" s="79" t="s"/>
      <c r="AF55" s="79" t="s"/>
      <c r="AG55" s="79" t="s"/>
      <c r="AH55" s="79" t="s"/>
    </row>
    <row r="56" spans="1:34" ht="14.25">
      <c r="A56" s="6" t="s"/>
      <c r="B56" s="6" t="s"/>
      <c r="C56" s="6" t="s"/>
      <c r="D56" s="6" t="s"/>
      <c r="E56" s="6" t="s"/>
      <c r="F56" s="6" t="s"/>
      <c r="G56" s="6" t="s"/>
      <c r="H56" s="6" t="s"/>
      <c r="I56" s="6" t="s"/>
      <c r="J56" s="6" t="s"/>
      <c r="K56" s="6" t="s"/>
      <c r="L56" s="6" t="s"/>
      <c r="M56" s="6" t="s"/>
      <c r="N56" s="6" t="s"/>
      <c r="O56" s="6" t="s"/>
      <c r="P56" s="38" t="s"/>
      <c r="Q56" s="354" t="s"/>
      <c r="R56" s="355" t="s">
        <v>194</v>
      </c>
      <c r="S56" s="354" t="s">
        <v>195</v>
      </c>
      <c r="T56" s="356" t="s">
        <v>78</v>
      </c>
      <c r="U56" s="356" t="s">
        <v>101</v>
      </c>
      <c r="V56" s="354" t="s"/>
      <c r="W56" s="353" t="s"/>
      <c r="X56" s="79" t="s"/>
      <c r="Y56" s="79" t="s"/>
      <c r="Z56" s="79" t="s"/>
      <c r="AA56" s="79" t="s"/>
      <c r="AB56" s="79" t="s"/>
      <c r="AC56" s="52" t="s"/>
      <c r="AD56" s="79" t="s"/>
      <c r="AE56" s="79" t="s"/>
      <c r="AF56" s="79" t="s"/>
      <c r="AG56" s="79" t="s"/>
      <c r="AH56" s="79" t="s"/>
    </row>
    <row r="57" spans="1:34" ht="14.25">
      <c r="A57" s="95" t="s">
        <v>192</v>
      </c>
      <c r="B57" s="95" t="s"/>
      <c r="C57" s="95" t="s"/>
      <c r="D57" s="103" t="s">
        <v>290</v>
      </c>
      <c r="E57" s="6" t="s"/>
      <c r="F57" s="6" t="s"/>
      <c r="G57" s="6" t="s"/>
      <c r="H57" s="6" t="s"/>
      <c r="I57" s="6" t="s"/>
      <c r="J57" s="6" t="s"/>
      <c r="K57" s="6" t="s"/>
      <c r="L57" s="6" t="s"/>
      <c r="M57" s="6" t="s"/>
      <c r="N57" s="6" t="s"/>
      <c r="O57" s="6" t="s"/>
      <c r="P57" s="38" t="s"/>
      <c r="Q57" s="354" t="s">
        <v>404</v>
      </c>
      <c r="R57" s="355">
        <v>1</v>
      </c>
      <c r="S57" s="357">
        <f>=R57/R65</f>
        <v>0.0256410256410256</v>
      </c>
      <c r="T57" s="358">
        <v>1</v>
      </c>
      <c r="U57" s="356" t="s"/>
      <c r="V57" s="354" t="s"/>
      <c r="W57" s="353" t="s"/>
      <c r="X57" s="59" t="s"/>
      <c r="Y57" s="59" t="s"/>
      <c r="Z57" s="59" t="s"/>
      <c r="AA57" s="59" t="s"/>
      <c r="AB57" s="59" t="s"/>
      <c r="AC57" s="60" t="s"/>
      <c r="AD57" s="59" t="s"/>
      <c r="AE57" s="59" t="s"/>
      <c r="AF57" s="59" t="s"/>
      <c r="AG57" s="59" t="s"/>
      <c r="AH57" s="59" t="s"/>
    </row>
    <row r="58" spans="1:34" ht="14.25">
      <c r="A58" s="106" t="s">
        <v>197</v>
      </c>
      <c r="B58" s="106" t="s">
        <v>52</v>
      </c>
      <c r="C58" s="107" t="s">
        <v>198</v>
      </c>
      <c r="D58" s="108" t="s">
        <v>55</v>
      </c>
      <c r="E58" s="108" t="s">
        <v>56</v>
      </c>
      <c r="F58" s="109" t="s">
        <v>57</v>
      </c>
      <c r="G58" s="109" t="s">
        <v>58</v>
      </c>
      <c r="H58" s="109" t="s">
        <v>59</v>
      </c>
      <c r="I58" s="109" t="s">
        <v>60</v>
      </c>
      <c r="J58" s="109" t="s">
        <v>61</v>
      </c>
      <c r="K58" s="108" t="s">
        <v>62</v>
      </c>
      <c r="L58" s="110" t="s">
        <v>63</v>
      </c>
      <c r="M58" s="110" t="s">
        <v>64</v>
      </c>
      <c r="N58" s="110" t="s">
        <v>65</v>
      </c>
      <c r="O58" s="110" t="s">
        <v>66</v>
      </c>
      <c r="P58" s="38" t="s"/>
      <c r="Q58" s="354" t="s">
        <v>185</v>
      </c>
      <c r="R58" s="355">
        <f>=SUM(T58,U58)</f>
        <v>2</v>
      </c>
      <c r="S58" s="357">
        <f>=R58/R65</f>
        <v>0.0512820512820513</v>
      </c>
      <c r="T58" s="358">
        <v>2</v>
      </c>
      <c r="U58" s="356" t="s"/>
      <c r="V58" s="354" t="s"/>
      <c r="W58" s="353" t="s"/>
      <c r="X58" s="59" t="s"/>
      <c r="Y58" s="59" t="s"/>
      <c r="Z58" s="59" t="s"/>
      <c r="AA58" s="59" t="s"/>
      <c r="AB58" s="59" t="s"/>
      <c r="AC58" s="60" t="s"/>
      <c r="AD58" s="59" t="s"/>
      <c r="AE58" s="59" t="s"/>
      <c r="AF58" s="59" t="s"/>
      <c r="AG58" s="59" t="s"/>
      <c r="AH58" s="59" t="s"/>
    </row>
    <row r="59" spans="1:34" ht="14.25">
      <c r="A59" s="54" t="s">
        <v>405</v>
      </c>
      <c r="B59" s="76" t="s">
        <v>78</v>
      </c>
      <c r="C59" s="113">
        <f>=D59/D77</f>
        <v>0</v>
      </c>
      <c r="D59" s="51">
        <f>=COUNTIFS(B1:B54,"开发",D1:D54,"7026R3")</f>
        <v>0</v>
      </c>
      <c r="E59" s="51">
        <f>=COUNTIFS(B1:B54,"开发",E1:E54,"7026R3")</f>
        <v>0</v>
      </c>
      <c r="F59" s="51">
        <f>=COUNTIFS(B1:B54,"开发",F1:F54,"7026R3")</f>
        <v>0</v>
      </c>
      <c r="G59" s="51">
        <f>=COUNTIFS(B1:B54,"开发",G1:G54,"*7026R3*")</f>
        <v>0</v>
      </c>
      <c r="H59" s="153">
        <f>=COUNTIFS(B1:B54,"开发",H1:H54,"*7026R3*")</f>
        <v>2</v>
      </c>
      <c r="I59" s="153">
        <f>=COUNTIFS(B1:B54,"开发",I1:I54,"*7026R3*")</f>
        <v>0</v>
      </c>
      <c r="J59" s="153">
        <f>=COUNTIFS(B1:B54,"开发",J1:J54,"*7026R3*")</f>
        <v>2</v>
      </c>
      <c r="K59" s="359">
        <f>=COUNTIFS(B1:B54,"开发",K1:K54,"*7026R3*")</f>
        <v>5</v>
      </c>
      <c r="L59" s="359">
        <f>=COUNTIFS(B1:B54,"开发",L1:L54,"*7026R3*")</f>
        <v>11</v>
      </c>
      <c r="M59" s="359">
        <f>=COUNTIFS(B1:B54,"开发",M1:M54,"*7026R3*")</f>
        <v>14</v>
      </c>
      <c r="N59" s="54">
        <f>=COUNTIFS(B1:B54,"开发",N1:N54,"*7026R3*")</f>
        <v>13</v>
      </c>
      <c r="O59" s="54">
        <f>=COUNTIFS(B1:B54,"开发",O1:O54,"*7026R3*")</f>
        <v>11</v>
      </c>
      <c r="P59" s="38" t="s"/>
      <c r="Q59" s="354" t="s">
        <v>406</v>
      </c>
      <c r="R59" s="355">
        <f>=SUM(T59,U59)</f>
        <v>17</v>
      </c>
      <c r="S59" s="357">
        <f>=R59/R65</f>
        <v>0.435897435897436</v>
      </c>
      <c r="T59" s="360">
        <v>12</v>
      </c>
      <c r="U59" s="358">
        <v>5</v>
      </c>
      <c r="V59" s="354" t="s"/>
      <c r="W59" s="353" t="s">
        <v>407</v>
      </c>
      <c r="X59" s="59" t="s"/>
      <c r="Y59" s="59" t="s"/>
      <c r="Z59" s="59" t="s"/>
      <c r="AA59" s="59" t="s"/>
      <c r="AB59" s="59" t="s"/>
      <c r="AC59" s="60" t="s"/>
      <c r="AD59" s="59" t="s"/>
      <c r="AE59" s="59" t="s"/>
      <c r="AF59" s="59" t="s"/>
      <c r="AG59" s="59" t="s"/>
      <c r="AH59" s="59" t="s"/>
    </row>
    <row r="60" spans="1:34" ht="14.25">
      <c r="A60" s="54" t="s"/>
      <c r="B60" s="76" t="s">
        <v>101</v>
      </c>
      <c r="C60" s="113">
        <f>=D60/D78</f>
        <v>0</v>
      </c>
      <c r="D60" s="51">
        <f>=COUNTIFS(B2:B55,"测试",D2:D55,"*7026R3*")</f>
        <v>0</v>
      </c>
      <c r="E60" s="51">
        <f>=COUNTIFS(B2:B55,"测试",E2:E55,"*7026R3*")</f>
        <v>0</v>
      </c>
      <c r="F60" s="51">
        <f>=COUNTIFS(B2:B55,"测试",F2:F55,"*7026R3*")</f>
        <v>0</v>
      </c>
      <c r="G60" s="51">
        <f>=COUNTIFS(B2:B55,"测试",G2:G55,"*7026R3*")</f>
        <v>0</v>
      </c>
      <c r="H60" s="153">
        <f>=COUNTIFS(B2:B55,"测试",H2:H55,"*7026R3*")</f>
        <v>1</v>
      </c>
      <c r="I60" s="153">
        <f>=COUNTIFS(B2:B55,"测试",I2:I55,"*7026R3*")</f>
        <v>0</v>
      </c>
      <c r="J60" s="153">
        <f>=COUNTIFS(B2:B55,"测试",J2:J55,"*7026R3*")</f>
        <v>0</v>
      </c>
      <c r="K60" s="359">
        <f>=COUNTIFS(B2:B55,"测试",K2:K55,"*7026R3*")</f>
        <v>3</v>
      </c>
      <c r="L60" s="359">
        <f>=COUNTIFS(B2:B55,"测试",L2:L55,"*7026R3*")</f>
        <v>4</v>
      </c>
      <c r="M60" s="359">
        <f>=COUNTIFS(B2:B55,"测试",M2:M55,"*7026R3*")</f>
        <v>5</v>
      </c>
      <c r="N60" s="54">
        <f>=COUNTIFS(B1:B54,"测试",N2:N55,"*7026R3*")</f>
        <v>4</v>
      </c>
      <c r="O60" s="54">
        <f>=COUNTIFS(B1:B54,"测试",O2:O55,"*7026R3*")</f>
        <v>4</v>
      </c>
      <c r="P60" s="38" t="s"/>
      <c r="Q60" s="355" t="s">
        <v>160</v>
      </c>
      <c r="R60" s="355">
        <f>=SUM(T60,U60)</f>
        <v>4</v>
      </c>
      <c r="S60" s="357">
        <f>=R60/R65</f>
        <v>0.102564102564103</v>
      </c>
      <c r="T60" s="361">
        <v>4</v>
      </c>
      <c r="U60" s="356" t="s"/>
      <c r="V60" s="354" t="s"/>
      <c r="W60" s="353" t="s">
        <v>408</v>
      </c>
      <c r="X60" s="59" t="s"/>
      <c r="Y60" s="59" t="s"/>
      <c r="Z60" s="59" t="s"/>
      <c r="AA60" s="59" t="s"/>
      <c r="AB60" s="59" t="s"/>
      <c r="AC60" s="60" t="s"/>
      <c r="AD60" s="59" t="s"/>
      <c r="AE60" s="59" t="s"/>
      <c r="AF60" s="59" t="s"/>
      <c r="AG60" s="59" t="s"/>
      <c r="AH60" s="59" t="s"/>
    </row>
    <row r="61" spans="1:34" ht="14.25">
      <c r="A61" s="362" t="s">
        <v>409</v>
      </c>
      <c r="B61" s="76" t="s">
        <v>78</v>
      </c>
      <c r="C61" s="113">
        <f>=D61/D77</f>
        <v>0</v>
      </c>
      <c r="D61" s="51">
        <f>=COUNTIFS(B3:B56,"开发",D3:D56,"*7026R2*")</f>
        <v>0</v>
      </c>
      <c r="E61" s="51">
        <f>=COUNTIFS(B3:B56,"开发",E3:E56,"*7026R2*")</f>
        <v>0</v>
      </c>
      <c r="F61" s="51">
        <f>=COUNTIFS(B3:B56,"开发",F3:F56,"*7026R2*")</f>
        <v>0</v>
      </c>
      <c r="G61" s="363">
        <f>=COUNTIFS(B3:B56,"开发",G3:G56,"*7026R2*")</f>
        <v>3</v>
      </c>
      <c r="H61" s="363">
        <f>=COUNTIFS(B3:B56,"开发",H3:H56,"*7026R2*")</f>
        <v>3</v>
      </c>
      <c r="I61" s="363">
        <f>=COUNTIFS(B3:B56,"开发",I3:I56,"*7026R2*")</f>
        <v>2</v>
      </c>
      <c r="J61" s="54">
        <f>=COUNTIFS(B3:B56,"开发",J3:J56,"*7026R2*")</f>
        <v>2</v>
      </c>
      <c r="K61" s="76">
        <f>=COUNTIFS(B3:B56,"开发",K3:K56,"*7026R2*")</f>
        <v>0</v>
      </c>
      <c r="L61" s="54" t="s"/>
      <c r="M61" s="54" t="s"/>
      <c r="N61" s="54" t="s"/>
      <c r="O61" s="54" t="s"/>
      <c r="P61" s="38" t="s"/>
      <c r="Q61" s="355" t="s">
        <v>410</v>
      </c>
      <c r="R61" s="355">
        <f>=SUM(T61,U61)</f>
        <v>3</v>
      </c>
      <c r="S61" s="357">
        <f>=R61/R65</f>
        <v>0.0769230769230769</v>
      </c>
      <c r="T61" s="364">
        <v>2</v>
      </c>
      <c r="U61" s="358">
        <v>1</v>
      </c>
      <c r="V61" s="354" t="s"/>
      <c r="W61" s="353" t="s">
        <v>411</v>
      </c>
      <c r="X61" s="59" t="s"/>
      <c r="Y61" s="59" t="s"/>
      <c r="Z61" s="59" t="s"/>
      <c r="AA61" s="59" t="s"/>
      <c r="AB61" s="59" t="s"/>
      <c r="AC61" s="60" t="s"/>
      <c r="AD61" s="59" t="s"/>
      <c r="AE61" s="59" t="s"/>
      <c r="AF61" s="59" t="s"/>
      <c r="AG61" s="59" t="s"/>
      <c r="AH61" s="59" t="s"/>
    </row>
    <row r="62" spans="1:27" ht="14.25">
      <c r="A62" s="365" t="s"/>
      <c r="B62" s="76" t="s">
        <v>101</v>
      </c>
      <c r="C62" s="113">
        <f>=D62/D78</f>
        <v>0</v>
      </c>
      <c r="D62" s="51">
        <f>=COUNTIFS(B4:B57,"测试",D4:D57,"*7026R2*")</f>
        <v>0</v>
      </c>
      <c r="E62" s="51">
        <f>=COUNTIFS(B4:B57,"测试",E4:E57,"*7026R2*")</f>
        <v>0</v>
      </c>
      <c r="F62" s="51">
        <f>=COUNTIFS(B4:B57,"测试",F4:F57,"*7026R2*")</f>
        <v>0</v>
      </c>
      <c r="G62" s="363">
        <f>=COUNTIFS(B4:B57,"测试",G4:G57,"*7026R2*")</f>
        <v>0</v>
      </c>
      <c r="H62" s="363">
        <f>=COUNTIFS(B4:B57,"测试",H4:H57,"*7026R2*")</f>
        <v>2</v>
      </c>
      <c r="I62" s="363">
        <f>=COUNTIFS(B4:B57,"测试",I4:I57,"*7026R2*")</f>
        <v>2</v>
      </c>
      <c r="J62" s="54">
        <f>=COUNTIFS(B4:B57,"测试",J4:J57,"*7026R2*")</f>
        <v>2</v>
      </c>
      <c r="K62" s="76">
        <f>=COUNTIFS(B4:B57,"测试",K4:K57,"*7026R2*")</f>
        <v>0</v>
      </c>
      <c r="L62" s="54" t="s"/>
      <c r="M62" s="54" t="s"/>
      <c r="N62" s="54" t="s"/>
      <c r="O62" s="54" t="s"/>
      <c r="P62" s="38" t="s"/>
      <c r="Q62" s="355" t="s">
        <v>412</v>
      </c>
      <c r="R62" s="355">
        <f>=SUM(T62,U62)</f>
        <v>5</v>
      </c>
      <c r="S62" s="357">
        <f>=R62/R65</f>
        <v>0.128205128205128</v>
      </c>
      <c r="T62" s="364">
        <v>5</v>
      </c>
      <c r="U62" s="356" t="s"/>
      <c r="V62" s="354" t="s"/>
      <c r="W62" s="154" t="s"/>
      <c r="X62" s="59" t="s"/>
      <c r="Y62" s="59" t="s"/>
      <c r="Z62" s="59" t="s"/>
      <c r="AA62" s="59" t="s"/>
    </row>
    <row r="63" spans="1:34" ht="14.25">
      <c r="A63" s="63" t="s">
        <v>413</v>
      </c>
      <c r="B63" s="54" t="s">
        <v>78</v>
      </c>
      <c r="C63" s="113">
        <f>=D63/D77</f>
        <v>0.535714285714286</v>
      </c>
      <c r="D63" s="366">
        <f>=COUNTIFS(B1:B54,"开发",D1:D54,"7027")</f>
        <v>15</v>
      </c>
      <c r="E63" s="366">
        <f>=COUNTIFS(B1:B54,"开发",E1:E54,"7027")</f>
        <v>2</v>
      </c>
      <c r="F63" s="366">
        <f>=COUNTIFS(B1:B54,"开发",F1:F54,"7027")</f>
        <v>0</v>
      </c>
      <c r="G63" s="367">
        <f>=COUNTIFS(B1:B54,"开发",G1:G54,"7027")</f>
        <v>0</v>
      </c>
      <c r="H63" s="367">
        <f>=COUNTIFS(B1:B54,"开发",H1:H54,"7027")</f>
        <v>0</v>
      </c>
      <c r="I63" s="367">
        <f>=COUNTIFS(B1:B54,"开发",I1:I54,"7027")</f>
        <v>0</v>
      </c>
      <c r="J63" s="367">
        <f>=COUNTIFS(B1:B54,"开发",J1:J54,"7027")</f>
        <v>0</v>
      </c>
      <c r="K63" s="76">
        <f>=COUNTIFS(B1:B54,"开发",K1:K54,"7027")</f>
        <v>0</v>
      </c>
      <c r="L63" s="54" t="s"/>
      <c r="M63" s="54" t="s"/>
      <c r="N63" s="54" t="s"/>
      <c r="O63" s="54" t="s"/>
      <c r="P63" s="38" t="s"/>
      <c r="Q63" s="355" t="s">
        <v>414</v>
      </c>
      <c r="R63" s="355">
        <f>=SUM(T63,U63)</f>
        <v>3</v>
      </c>
      <c r="S63" s="357">
        <f>=R63/R65</f>
        <v>0.0769230769230769</v>
      </c>
      <c r="T63" s="364">
        <v>2</v>
      </c>
      <c r="U63" s="358">
        <v>1</v>
      </c>
      <c r="V63" s="354" t="s"/>
      <c r="W63" s="154" t="s"/>
      <c r="X63" s="59" t="s"/>
      <c r="Y63" s="59" t="s"/>
      <c r="Z63" s="59" t="s"/>
      <c r="AA63" s="59" t="s"/>
      <c r="AB63" s="59" t="s"/>
      <c r="AC63" s="60" t="s"/>
      <c r="AD63" s="59" t="s"/>
      <c r="AE63" s="59" t="s"/>
      <c r="AF63" s="59" t="s"/>
      <c r="AG63" s="59" t="s"/>
      <c r="AH63" s="59" t="s"/>
    </row>
    <row r="64" spans="1:34" ht="14.25">
      <c r="A64" s="54" t="s"/>
      <c r="B64" s="54" t="s">
        <v>101</v>
      </c>
      <c r="C64" s="113">
        <f>=D64/D78</f>
        <v>0.714285714285714</v>
      </c>
      <c r="D64" s="157">
        <f>=COUNTIFS(B1:B54,"测试",D1:D54,"7027")</f>
        <v>5</v>
      </c>
      <c r="E64" s="157">
        <f>=COUNTIFS(B1:B54,"测试",E1:E54,"7027")</f>
        <v>4</v>
      </c>
      <c r="F64" s="157">
        <f>=COUNTIFS(B1:B54,"测试",F1:F54,"7027")</f>
        <v>1</v>
      </c>
      <c r="G64" s="54">
        <f>=COUNTIFS(B1:B54,"测试",G1:G54,"7027")</f>
        <v>0</v>
      </c>
      <c r="H64" s="54">
        <f>=COUNTIFS(B1:B54,"测试",H1:H54,"7027")</f>
        <v>0</v>
      </c>
      <c r="I64" s="54">
        <f>=COUNTIFS(B1:B54,"测试",I1:I54,"7027")</f>
        <v>0</v>
      </c>
      <c r="J64" s="54">
        <f>=COUNTIFS(B1:B54,"测试",J1:J54,"7027")</f>
        <v>0</v>
      </c>
      <c r="K64" s="76">
        <f>=COUNTIFS(B1:B54,"测试",K1:K54,"7027")</f>
        <v>0</v>
      </c>
      <c r="L64" s="54" t="s"/>
      <c r="M64" s="54" t="s"/>
      <c r="N64" s="54" t="s"/>
      <c r="O64" s="54" t="s"/>
      <c r="P64" s="38" t="s"/>
      <c r="Q64" s="355" t="s">
        <v>178</v>
      </c>
      <c r="R64" s="355">
        <f>=SUM(T64,U64)</f>
        <v>4</v>
      </c>
      <c r="S64" s="357">
        <f>=R64/R65</f>
        <v>0.102564102564103</v>
      </c>
      <c r="T64" s="358">
        <v>3</v>
      </c>
      <c r="U64" s="358">
        <v>1</v>
      </c>
      <c r="V64" s="354" t="s"/>
      <c r="W64" s="6" t="s"/>
      <c r="X64" s="59" t="s"/>
      <c r="Y64" s="59" t="s"/>
      <c r="Z64" s="59" t="s"/>
      <c r="AA64" s="59" t="s"/>
      <c r="AB64" s="59" t="s"/>
      <c r="AC64" s="60" t="s"/>
      <c r="AD64" s="59" t="s"/>
      <c r="AE64" s="59" t="s"/>
      <c r="AF64" s="59" t="s"/>
      <c r="AG64" s="59" t="s"/>
      <c r="AH64" s="59" t="s"/>
    </row>
    <row r="65" spans="1:34" ht="14.25">
      <c r="A65" s="54" t="s">
        <v>415</v>
      </c>
      <c r="B65" s="54" t="s">
        <v>78</v>
      </c>
      <c r="C65" s="113">
        <f>=D65/D77</f>
        <v>0.0714285714285714</v>
      </c>
      <c r="D65" s="54">
        <f>=COUNTIFS(B1:B54,"开发",D1:D54,"7028")</f>
        <v>2</v>
      </c>
      <c r="E65" s="158">
        <f>=COUNTIFS(B1:B54,"开发",E1:E54,"7028")</f>
        <v>5</v>
      </c>
      <c r="F65" s="158">
        <f>=COUNTIFS(B1:B54,"开发",F1:F54,"7028")</f>
        <v>2</v>
      </c>
      <c r="G65" s="158">
        <f>=COUNTIFS(B1:B54,"开发",G1:G54,"7028")</f>
        <v>11</v>
      </c>
      <c r="H65" s="158">
        <f>=COUNTIFS(B1:B54,"开发",H1:H54,"7028")</f>
        <v>9</v>
      </c>
      <c r="I65" s="158">
        <f>=COUNTIFS(B1:B54,"开发",I1:I54,"7028")</f>
        <v>10</v>
      </c>
      <c r="J65" s="158">
        <f>=COUNTIFS(B1:B54,"开发",J1:J54,"7028")</f>
        <v>9</v>
      </c>
      <c r="K65" s="368">
        <f>=COUNTIFS(B1:B54,"开发",K1:K54,"7028")</f>
        <v>3</v>
      </c>
      <c r="L65" s="54" t="s"/>
      <c r="M65" s="54" t="s"/>
      <c r="N65" s="54" t="s"/>
      <c r="O65" s="54" t="s"/>
      <c r="P65" s="38" t="s"/>
      <c r="Q65" s="354" t="s">
        <v>210</v>
      </c>
      <c r="R65" s="355">
        <f>=SUM(R57:R64)</f>
        <v>39</v>
      </c>
      <c r="S65" s="354" t="s"/>
      <c r="T65" s="358">
        <f>=SUM(T57:T64)</f>
        <v>31</v>
      </c>
      <c r="U65" s="358">
        <f>=SUM(U58:U64)</f>
        <v>8</v>
      </c>
      <c r="V65" s="354" t="s"/>
      <c r="W65" s="353" t="s"/>
      <c r="X65" s="59" t="s"/>
      <c r="Y65" s="59" t="s"/>
      <c r="Z65" s="59" t="s"/>
      <c r="AA65" s="59" t="s"/>
      <c r="AB65" s="59" t="s"/>
      <c r="AC65" s="60" t="s"/>
      <c r="AD65" s="59" t="s"/>
      <c r="AE65" s="59" t="s"/>
      <c r="AF65" s="59" t="s"/>
      <c r="AG65" s="59" t="s"/>
      <c r="AH65" s="59" t="s"/>
    </row>
    <row r="66" spans="1:34" ht="13.5">
      <c r="A66" s="54" t="s"/>
      <c r="B66" s="54" t="s">
        <v>101</v>
      </c>
      <c r="C66" s="113">
        <f>=D66/D78</f>
        <v>0</v>
      </c>
      <c r="D66" s="54">
        <f>=COUNTIFS(B1:B54,"测试",D1:D54,"7028")</f>
        <v>0</v>
      </c>
      <c r="E66" s="158">
        <f>=COUNTIFS(B1:B54,"测试",E1:E54,"7028")</f>
        <v>1</v>
      </c>
      <c r="F66" s="158">
        <f>=COUNTIFS(B1:B54,"测试",F1:F54,"7028")</f>
        <v>0</v>
      </c>
      <c r="G66" s="158">
        <f>=COUNTIFS(B1:B54,"测试",G1:G54,"7028")</f>
        <v>4</v>
      </c>
      <c r="H66" s="158">
        <f>=COUNTIFS(B1:B54,"测试",H1:H54,"7028")</f>
        <v>3</v>
      </c>
      <c r="I66" s="158">
        <f>=COUNTIFS(B1:B54,"测试",I1:I54,"7028")</f>
        <v>3</v>
      </c>
      <c r="J66" s="158">
        <f>=COUNTIFS(B1:B54,"测试",J1:J54,"7028")</f>
        <v>3</v>
      </c>
      <c r="K66" s="368">
        <f>=COUNTIFS(B1:B54,"测试",K1:K54,"7028")</f>
        <v>3</v>
      </c>
      <c r="L66" s="54" t="s"/>
      <c r="M66" s="54" t="s"/>
      <c r="N66" s="54" t="s"/>
      <c r="O66" s="54" t="s"/>
      <c r="P66" s="38" t="s"/>
      <c r="X66" s="59" t="s"/>
      <c r="Y66" s="59" t="s"/>
      <c r="Z66" s="59" t="s"/>
      <c r="AA66" s="59" t="s"/>
      <c r="AB66" s="59" t="s"/>
      <c r="AC66" s="60" t="s"/>
      <c r="AD66" s="59" t="s"/>
      <c r="AE66" s="59" t="s"/>
      <c r="AF66" s="59" t="s"/>
      <c r="AG66" s="59" t="s"/>
      <c r="AH66" s="59" t="s"/>
    </row>
    <row r="67" spans="1:34" ht="13.5">
      <c r="A67" s="90" t="s">
        <v>224</v>
      </c>
      <c r="B67" s="54" t="s">
        <v>78</v>
      </c>
      <c r="C67" s="113">
        <f>=D67/D77</f>
        <v>0</v>
      </c>
      <c r="D67" s="54">
        <v>0</v>
      </c>
      <c r="E67" s="54">
        <v>0</v>
      </c>
      <c r="F67" s="54">
        <v>0</v>
      </c>
      <c r="G67" s="54">
        <v>0</v>
      </c>
      <c r="H67" s="54">
        <v>0</v>
      </c>
      <c r="I67" s="54">
        <f>=COUNTIFS(B3:B56,"开发",I3:I56,"7029")</f>
        <v>0</v>
      </c>
      <c r="J67" s="54">
        <f>=COUNTIFS(B3:B56,"开发",J3:J56,"7029")</f>
        <v>0</v>
      </c>
      <c r="K67" s="54">
        <f>=COUNTIFS(B3:B56,"开发",K3:K56,"7029")</f>
        <v>1</v>
      </c>
      <c r="L67" s="368">
        <f>=COUNTIFS(B3:B56,"开发",L3:L56,"7029")</f>
        <v>0</v>
      </c>
      <c r="M67" s="368">
        <f>=COUNTIFS(B3:B56,"开发",M3:M56,"7029")</f>
        <v>0</v>
      </c>
      <c r="N67" s="368">
        <f>=COUNTIFS(B3:B56,"开发",N3:N56,"7029")</f>
        <v>0</v>
      </c>
      <c r="O67" s="368">
        <f>=COUNTIFS(B3:B56,"开发",O3:O56,"7029")</f>
        <v>1</v>
      </c>
      <c r="P67" s="38" t="s"/>
      <c r="X67" s="59" t="s"/>
      <c r="Y67" s="59" t="s"/>
      <c r="Z67" s="59" t="s"/>
      <c r="AA67" s="59" t="s"/>
      <c r="AB67" s="59" t="s"/>
      <c r="AC67" s="60" t="s"/>
      <c r="AD67" s="59" t="s"/>
      <c r="AE67" s="59" t="s"/>
      <c r="AF67" s="59" t="s"/>
      <c r="AG67" s="59" t="s"/>
      <c r="AH67" s="59" t="s"/>
    </row>
    <row r="68" spans="1:34" ht="13.5">
      <c r="A68" s="365" t="s"/>
      <c r="B68" s="54" t="s">
        <v>101</v>
      </c>
      <c r="C68" s="113">
        <f>=D68/D78</f>
        <v>0</v>
      </c>
      <c r="D68" s="54">
        <v>0</v>
      </c>
      <c r="E68" s="54">
        <v>0</v>
      </c>
      <c r="F68" s="54">
        <v>0</v>
      </c>
      <c r="G68" s="54">
        <v>0</v>
      </c>
      <c r="H68" s="54">
        <v>0</v>
      </c>
      <c r="I68" s="54">
        <f>=COUNTIFS(B3:B56,"测试",I3:I56,"7029")</f>
        <v>0</v>
      </c>
      <c r="J68" s="54">
        <f>=COUNTIFS(B3:B56,"测试",J3:J56,"7029")</f>
        <v>0</v>
      </c>
      <c r="K68" s="54">
        <f>=COUNTIFS(B3:B56,"测试",K3:K56,"7029")</f>
        <v>0</v>
      </c>
      <c r="L68" s="368">
        <f>=COUNTIFS(B3:B56,"测试",L3:L56,"7029")</f>
        <v>0</v>
      </c>
      <c r="M68" s="368">
        <f>=COUNTIFS(B3:B56,"测试",M3:M56,"7029")</f>
        <v>0</v>
      </c>
      <c r="N68" s="368">
        <f>=COUNTIFS(B3:B56,"测试",N3:N56,"7029")</f>
        <v>0</v>
      </c>
      <c r="O68" s="368">
        <f>=COUNTIFS(B3:B56,"测试",O3:O56,"7029")</f>
        <v>0</v>
      </c>
      <c r="P68" s="38" t="s"/>
      <c r="X68" s="59" t="s"/>
      <c r="Y68" s="59" t="s"/>
      <c r="Z68" s="59" t="s"/>
      <c r="AA68" s="59" t="s"/>
      <c r="AB68" s="59" t="s"/>
      <c r="AC68" s="60" t="s"/>
      <c r="AD68" s="59" t="s"/>
      <c r="AE68" s="59" t="s"/>
      <c r="AF68" s="59" t="s"/>
      <c r="AG68" s="59" t="s"/>
      <c r="AH68" s="59" t="s"/>
    </row>
    <row r="69" spans="1:34" ht="22.5" customHeight="true">
      <c r="A69" s="54" t="s">
        <v>416</v>
      </c>
      <c r="B69" s="54" t="s">
        <v>78</v>
      </c>
      <c r="C69" s="113">
        <f>=D69/D77</f>
        <v>0</v>
      </c>
      <c r="D69" s="164">
        <f>=COUNTIFS(B1:B54,"开发",D1:D54,"*质量*")</f>
        <v>0</v>
      </c>
      <c r="E69" s="164">
        <f>=COUNTIFS(B1:B54,"开发",E1:E54,"*质量*")</f>
        <v>1</v>
      </c>
      <c r="F69" s="164">
        <f>=COUNTIFS(B1:B54,"开发",F1:F54,"*质量*")</f>
        <v>5</v>
      </c>
      <c r="G69" s="164">
        <f>=COUNTIFS(B1:B54,"开发",G1:G54,"*质量*")</f>
        <v>2</v>
      </c>
      <c r="H69" s="164">
        <f>=COUNTIFS(B1:B54,"开发",H1:H54,"*质量*")</f>
        <v>3</v>
      </c>
      <c r="I69" s="164">
        <f>=COUNTIFS(B1:B54,"开发",I1:I54,"*质量*")</f>
        <v>3</v>
      </c>
      <c r="J69" s="164">
        <f>=COUNTIFS(B1:B54,"开发",J1:J54,"*质量*")</f>
        <v>3</v>
      </c>
      <c r="K69" s="369">
        <f>=COUNTIFS(B1:B54,"开发",K1:K54,"*质量*")</f>
        <v>3</v>
      </c>
      <c r="L69" s="369">
        <f>=COUNTIFS(B1:B54,"开发",L1:L54,"*质量*")</f>
        <v>2</v>
      </c>
      <c r="M69" s="369">
        <f>=COUNTIFS(B1:B54,"开发",M1:M54,"*质量*")</f>
        <v>1</v>
      </c>
      <c r="N69" s="369">
        <f>=COUNTIFS(B1:B54,"开发",N1:N54,"*质量*")</f>
        <v>1</v>
      </c>
      <c r="O69" s="369">
        <f>=COUNTIFS(B1:B54,"开发",O1:O54,"*质量*")</f>
        <v>1</v>
      </c>
      <c r="P69" s="38" t="s"/>
      <c r="X69" s="59" t="s"/>
      <c r="Y69" s="59" t="s"/>
      <c r="Z69" s="59" t="s"/>
      <c r="AA69" s="59" t="s"/>
      <c r="AB69" s="59" t="s"/>
      <c r="AC69" s="60" t="s"/>
      <c r="AD69" s="59" t="s"/>
      <c r="AE69" s="59" t="s"/>
      <c r="AF69" s="59" t="s"/>
      <c r="AG69" s="59" t="s"/>
      <c r="AH69" s="59" t="s"/>
    </row>
    <row r="70" spans="1:34" ht="22.5" customHeight="true">
      <c r="A70" s="54" t="s"/>
      <c r="B70" s="54" t="s">
        <v>101</v>
      </c>
      <c r="C70" s="113">
        <f>=D70/D78</f>
        <v>0</v>
      </c>
      <c r="D70" s="164">
        <f>=COUNTIFS(B1:B54,"测试",D1:D54,"*质量*")</f>
        <v>0</v>
      </c>
      <c r="E70" s="164">
        <f>=COUNTIFS(B1:B54,"测试",E1:E54,"*质量*")</f>
        <v>1</v>
      </c>
      <c r="F70" s="164">
        <f>=COUNTIFS(B1:B54,"测试",F1:F54,"*质量*")</f>
        <v>0</v>
      </c>
      <c r="G70" s="164">
        <f>=COUNTIFS(B1:B54,"测试",G1:G54,"*质量*")</f>
        <v>1</v>
      </c>
      <c r="H70" s="164">
        <f>=COUNTIFS(B1:B54,"测试",H1:H54,"*质量*")</f>
        <v>0</v>
      </c>
      <c r="I70" s="164">
        <f>=COUNTIFS(B1:B54,"测试",I1:I54,"*质量*")</f>
        <v>0</v>
      </c>
      <c r="J70" s="164">
        <f>=COUNTIFS(B1:B54,"测试",J1:J54,"*质量*")</f>
        <v>0</v>
      </c>
      <c r="K70" s="369">
        <f>=COUNTIFS(B1:B54,"测试",K1:K54,"*质量*")</f>
        <v>0</v>
      </c>
      <c r="L70" s="369">
        <f>=COUNTIFS(B1:B54,"测试",L1:L54,"*质量*")</f>
        <v>0</v>
      </c>
      <c r="M70" s="369">
        <f>=COUNTIFS(B1:B54,"测试",M1:M54,"*质量*")</f>
        <v>0</v>
      </c>
      <c r="N70" s="369">
        <f>=COUNTIFS(B1:B54,"测试",N1:N54,"*质量*")</f>
        <v>0</v>
      </c>
      <c r="O70" s="369">
        <f>=COUNTIFS(B1:B54,"测试",O1:O54,"*质量*")</f>
        <v>0</v>
      </c>
      <c r="P70" s="38" t="s"/>
      <c r="Q70" s="38" t="s"/>
      <c r="R70" s="38" t="s"/>
      <c r="S70" s="38" t="s"/>
      <c r="T70" s="38" t="s"/>
      <c r="U70" s="38" t="s"/>
      <c r="V70" s="57" t="s"/>
      <c r="W70" s="59" t="s"/>
      <c r="X70" s="59" t="s"/>
      <c r="Y70" s="59" t="s"/>
      <c r="Z70" s="59" t="s"/>
      <c r="AA70" s="59" t="s"/>
      <c r="AB70" s="59" t="s"/>
      <c r="AC70" s="60" t="s"/>
      <c r="AD70" s="59" t="s"/>
      <c r="AE70" s="59" t="s"/>
      <c r="AF70" s="59" t="s"/>
      <c r="AG70" s="59" t="s"/>
      <c r="AH70" s="59" t="s"/>
    </row>
    <row r="71" spans="1:34" ht="13.5">
      <c r="A71" s="54" t="s">
        <v>417</v>
      </c>
      <c r="B71" s="54" t="s">
        <v>78</v>
      </c>
      <c r="C71" s="113">
        <f>=D71/D77</f>
        <v>0.178571428571429</v>
      </c>
      <c r="D71" s="87">
        <f>=COUNTIFS(B1:B54,"开发",D1:D54,"定制项目")</f>
        <v>5</v>
      </c>
      <c r="E71" s="87">
        <f>=COUNTIFS(B1:B54,"开发",E1:E54,"*定制*")</f>
        <v>11</v>
      </c>
      <c r="F71" s="87">
        <f>=COUNTIFS(B1:B54,"开发",F1:F54,"*定制*")</f>
        <v>12</v>
      </c>
      <c r="G71" s="87">
        <f>=COUNTIFS(B1:B54,"开发",G1:G54,"*定制*")</f>
        <v>4</v>
      </c>
      <c r="H71" s="87">
        <f>=COUNTIFS(B1:B54,"开发",H1:H54,"*定制*")</f>
        <v>4</v>
      </c>
      <c r="I71" s="87">
        <f>=COUNTIFS(B1:B54,"开发",I1:I54,"*定制*")</f>
        <v>5</v>
      </c>
      <c r="J71" s="87">
        <f>=COUNTIFS(B1:B54,"开发",J1:J54,"*定制*")</f>
        <v>3</v>
      </c>
      <c r="K71" s="370">
        <f>=COUNTIFS(B1:B54,"开发",K1:K54,"*定制*")</f>
        <v>7</v>
      </c>
      <c r="L71" s="370">
        <f>=COUNTIFS(B1:B54,"开发",L1:L54,"*定制*")</f>
        <v>2</v>
      </c>
      <c r="M71" s="370">
        <f>=COUNTIFS(B1:B54,"开发",M1:M54,"*定制*")</f>
        <v>2</v>
      </c>
      <c r="N71" s="370">
        <f>=COUNTIFS(B1:B54,"开发",N1:N54,"*定制*")</f>
        <v>1</v>
      </c>
      <c r="O71" s="370">
        <f>=COUNTIFS(B1:B54,"开发",O1:O54,"*定制*")</f>
        <v>1</v>
      </c>
      <c r="P71" s="38" t="s"/>
      <c r="Q71" s="38" t="s"/>
      <c r="R71" s="38" t="s"/>
      <c r="S71" s="38" t="s"/>
      <c r="T71" s="38" t="s"/>
      <c r="U71" s="38" t="s"/>
      <c r="V71" s="57" t="s"/>
      <c r="W71" s="59" t="s"/>
      <c r="X71" s="59" t="s"/>
      <c r="Y71" s="59" t="s"/>
      <c r="Z71" s="59" t="s"/>
      <c r="AA71" s="59" t="s"/>
      <c r="AB71" s="59" t="s"/>
      <c r="AC71" s="60" t="s"/>
      <c r="AD71" s="59" t="s"/>
      <c r="AE71" s="59" t="s"/>
      <c r="AF71" s="59" t="s"/>
      <c r="AG71" s="59" t="s"/>
      <c r="AH71" s="59" t="s"/>
    </row>
    <row r="72" spans="1:57" ht="14.25">
      <c r="A72" s="54" t="s"/>
      <c r="B72" s="54" t="s">
        <v>101</v>
      </c>
      <c r="C72" s="113">
        <f>=D72/D78</f>
        <v>0.142857142857143</v>
      </c>
      <c r="D72" s="87">
        <f>=COUNTIFS(B1:B54,"测试",D1:D54,"*定制*")</f>
        <v>1</v>
      </c>
      <c r="E72" s="87">
        <f>=COUNTIFS(B1:B54,"测试",E1:E54,"*定制*")</f>
        <v>0</v>
      </c>
      <c r="F72" s="87">
        <f>=COUNTIFS(B1:B54,"测试",F1:F54,"*定制*")</f>
        <v>5</v>
      </c>
      <c r="G72" s="87">
        <f>=COUNTIFS(B1:B54,"测试",G1:G54,"*定制*")</f>
        <v>1</v>
      </c>
      <c r="H72" s="87">
        <f>=COUNTIFS(B1:B54,"测试",H1:H54,"*定制*")</f>
        <v>1</v>
      </c>
      <c r="I72" s="87">
        <f>=COUNTIFS(B1:B54,"测试",I1:I54,"*定制*")</f>
        <v>2</v>
      </c>
      <c r="J72" s="87">
        <f>=COUNTIFS(B1:B54,"测试",J1:J54,"*定制*")</f>
        <v>2</v>
      </c>
      <c r="K72" s="370">
        <f>=COUNTIFS(B1:B54,"测试",K1:K54,"*定制*")</f>
        <v>1</v>
      </c>
      <c r="L72" s="370">
        <f>=COUNTIFS(B1:B54,"测试",L1:L54,"*定制*")</f>
        <v>4</v>
      </c>
      <c r="M72" s="370">
        <f>=COUNTIFS(B1:B54,"测试",M1:M54,"*定制*")</f>
        <v>3</v>
      </c>
      <c r="N72" s="370">
        <f>=COUNTIFS(B1:B54,"测试",N1:N54,"*定制*")</f>
        <v>3</v>
      </c>
      <c r="O72" s="370">
        <f>=COUNTIFS(B1:B54,"测试",O1:O54,"*定制*")</f>
        <v>3</v>
      </c>
      <c r="P72" s="38" t="s"/>
      <c r="Q72" s="352" t="s">
        <v>418</v>
      </c>
      <c r="R72" s="371" t="s"/>
      <c r="S72" s="371" t="s"/>
      <c r="T72" s="6" t="s"/>
      <c r="U72" s="6" t="s"/>
      <c r="V72" s="6" t="s"/>
      <c r="X72" s="352" t="s">
        <v>419</v>
      </c>
      <c r="Y72" s="154" t="s"/>
      <c r="Z72" s="6" t="s"/>
      <c r="AA72" s="6" t="s"/>
      <c r="AB72" s="6" t="s"/>
      <c r="AC72" s="6" t="s"/>
      <c r="AE72" s="352" t="s">
        <v>420</v>
      </c>
      <c r="AF72" s="154" t="s"/>
      <c r="AG72" s="154" t="s"/>
      <c r="AH72" s="154" t="s"/>
      <c r="AI72" s="6" t="s"/>
      <c r="AJ72" s="6" t="s"/>
      <c r="AL72" s="352" t="s">
        <v>421</v>
      </c>
      <c r="AM72" s="6" t="s"/>
      <c r="AN72" s="6" t="s"/>
      <c r="AO72" s="6" t="s"/>
      <c r="AP72" s="6" t="s"/>
      <c r="AQ72" s="6" t="s"/>
      <c r="AR72" s="59" t="s"/>
      <c r="AS72" s="352" t="s">
        <v>422</v>
      </c>
      <c r="AT72" s="6" t="s"/>
      <c r="AU72" s="6" t="s"/>
      <c r="AV72" s="6" t="s"/>
      <c r="AW72" s="6" t="s"/>
      <c r="AX72" s="6" t="s"/>
      <c r="AZ72" s="352" t="s">
        <v>423</v>
      </c>
      <c r="BA72" s="6" t="s"/>
      <c r="BB72" s="6" t="s"/>
      <c r="BC72" s="6" t="s"/>
      <c r="BD72" s="6" t="s"/>
      <c r="BE72" s="6" t="s"/>
    </row>
    <row r="73" spans="1:57" ht="14.25">
      <c r="A73" s="54" t="s">
        <v>160</v>
      </c>
      <c r="B73" s="54" t="s">
        <v>78</v>
      </c>
      <c r="C73" s="113">
        <f>=D73/D77</f>
        <v>0.0357142857142857</v>
      </c>
      <c r="D73" s="89">
        <f>=COUNTIFS(B1:B54,"开发",D1:D54,"预研")</f>
        <v>1</v>
      </c>
      <c r="E73" s="89">
        <f>=COUNTIFS(B1:B54,"开发",E1:E54,"预研")</f>
        <v>4</v>
      </c>
      <c r="F73" s="89">
        <f>=COUNTIFS(B1:B54,"开发",F1:F54,"预研")</f>
        <v>4</v>
      </c>
      <c r="G73" s="89">
        <f>=COUNTIFS(B1:B54,"开发",G1:G54,"预研")</f>
        <v>3</v>
      </c>
      <c r="H73" s="89">
        <f>=COUNTIFS(B1:B54,"开发",H1:H54,"预研")</f>
        <v>3</v>
      </c>
      <c r="I73" s="89">
        <f>=COUNTIFS(B1:B54,"开发",I1:I54,"预研")</f>
        <v>3</v>
      </c>
      <c r="J73" s="89">
        <f>=COUNTIFS(B1:B54,"开发",J1:J54,"预研")</f>
        <v>4</v>
      </c>
      <c r="K73" s="372">
        <f>=COUNTIFS(B1:B54,"开发",K1:K54,"预研")</f>
        <v>5</v>
      </c>
      <c r="L73" s="372">
        <f>=COUNTIFS(B1:B54,"开发",L1:L54,"预研")</f>
        <v>5</v>
      </c>
      <c r="M73" s="372">
        <f>=COUNTIFS(B1:B54,"开发",M1:M54,"预研")</f>
        <v>4</v>
      </c>
      <c r="N73" s="372">
        <f>=COUNTIFS(B1:B54,"开发",N1:N54,"预研")</f>
        <v>6</v>
      </c>
      <c r="O73" s="372">
        <f>=COUNTIFS(B1:B54,"开发",O1:O54,"预研")</f>
        <v>5</v>
      </c>
      <c r="P73" s="38" t="s"/>
      <c r="Q73" s="354" t="s"/>
      <c r="R73" s="355" t="s">
        <v>194</v>
      </c>
      <c r="S73" s="354" t="s">
        <v>195</v>
      </c>
      <c r="T73" s="356" t="s">
        <v>78</v>
      </c>
      <c r="U73" s="356" t="s">
        <v>101</v>
      </c>
      <c r="V73" s="354" t="s">
        <v>424</v>
      </c>
      <c r="X73" s="354" t="s"/>
      <c r="Y73" s="355" t="s">
        <v>194</v>
      </c>
      <c r="Z73" s="354" t="s">
        <v>195</v>
      </c>
      <c r="AA73" s="356" t="s">
        <v>78</v>
      </c>
      <c r="AB73" s="356" t="s">
        <v>101</v>
      </c>
      <c r="AC73" s="353" t="s">
        <v>424</v>
      </c>
      <c r="AE73" s="354" t="s"/>
      <c r="AF73" s="355" t="s">
        <v>194</v>
      </c>
      <c r="AG73" s="354" t="s">
        <v>195</v>
      </c>
      <c r="AH73" s="356" t="s">
        <v>78</v>
      </c>
      <c r="AI73" s="356" t="s">
        <v>101</v>
      </c>
      <c r="AJ73" s="353" t="s">
        <v>424</v>
      </c>
      <c r="AL73" s="354" t="s"/>
      <c r="AM73" s="355" t="s">
        <v>194</v>
      </c>
      <c r="AN73" s="354" t="s">
        <v>195</v>
      </c>
      <c r="AO73" s="356" t="s">
        <v>78</v>
      </c>
      <c r="AP73" s="356" t="s">
        <v>101</v>
      </c>
      <c r="AQ73" s="353" t="s">
        <v>424</v>
      </c>
      <c r="AR73" s="59" t="s"/>
      <c r="AS73" s="353" t="s"/>
      <c r="AT73" s="355" t="s">
        <v>194</v>
      </c>
      <c r="AU73" s="354" t="s">
        <v>195</v>
      </c>
      <c r="AV73" s="356" t="s">
        <v>78</v>
      </c>
      <c r="AW73" s="356" t="s">
        <v>101</v>
      </c>
      <c r="AX73" s="353" t="s"/>
      <c r="AZ73" s="354" t="s"/>
      <c r="BA73" s="355" t="s">
        <v>194</v>
      </c>
      <c r="BB73" s="354" t="s">
        <v>195</v>
      </c>
      <c r="BC73" s="356" t="s">
        <v>78</v>
      </c>
      <c r="BD73" s="356" t="s">
        <v>101</v>
      </c>
      <c r="BE73" s="353" t="s">
        <v>424</v>
      </c>
    </row>
    <row r="74" spans="1:57" ht="14.25">
      <c r="A74" s="90" t="s">
        <v>178</v>
      </c>
      <c r="B74" s="90" t="s">
        <v>78</v>
      </c>
      <c r="C74" s="145">
        <f>=D74/D77</f>
        <v>0.107142857142857</v>
      </c>
      <c r="D74" s="373">
        <f>=COUNTIFS(B2:B55,"开发",D2:D55,"技术支持")</f>
        <v>3</v>
      </c>
      <c r="E74" s="373">
        <f>=COUNTIFS(B1:B54,"开发",E1:E54,"技术支持")</f>
        <v>3</v>
      </c>
      <c r="F74" s="373">
        <f>=COUNTIFS(B1:B54,"开发",F1:F54,"技术支持")</f>
        <v>3</v>
      </c>
      <c r="G74" s="373">
        <f>=COUNTIFS(B1:B54,"开发",G1:G54,"技术支持")</f>
        <v>3</v>
      </c>
      <c r="H74" s="373">
        <f>=COUNTIFS(B1:B54,"开发",H1:H54,"技术支持")</f>
        <v>3</v>
      </c>
      <c r="I74" s="373">
        <f>=COUNTIFS(B1:B54,"开发",I1:I54,"技术支持")</f>
        <v>3</v>
      </c>
      <c r="J74" s="373">
        <f>=COUNTIFS(B1:B54,"开发",J1:J54,"技术支持")</f>
        <v>3</v>
      </c>
      <c r="K74" s="374">
        <f>=COUNTIFS(B1:B54,"开发",K1:K54,"技术支持")</f>
        <v>4</v>
      </c>
      <c r="L74" s="374">
        <f>=COUNTIFS(B1:B54,"开发",L1:L54,"技术支持")</f>
        <v>3</v>
      </c>
      <c r="M74" s="374">
        <f>=COUNTIFS(B1:B54,"开发",M1:M54,"技术支持")</f>
        <v>3</v>
      </c>
      <c r="N74" s="374">
        <f>=COUNTIFS(B1:B54,"开发",N1:N54,"技术支持")</f>
        <v>3</v>
      </c>
      <c r="O74" s="374">
        <f>=COUNTIFS(B1:B54,"开发",O1:O54,"技术支持")</f>
        <v>3</v>
      </c>
      <c r="P74" s="38" t="s"/>
      <c r="Q74" s="7" t="s">
        <v>425</v>
      </c>
      <c r="R74" s="355">
        <v>20</v>
      </c>
      <c r="S74" s="357">
        <f>=20/40</f>
        <v>0.5</v>
      </c>
      <c r="T74" s="360">
        <v>14</v>
      </c>
      <c r="U74" s="375">
        <v>6</v>
      </c>
      <c r="V74" s="354" t="s">
        <v>426</v>
      </c>
      <c r="X74" s="7" t="s">
        <v>425</v>
      </c>
      <c r="Y74" s="355">
        <v>20</v>
      </c>
      <c r="Z74" s="357">
        <f>=20/40</f>
        <v>0.5</v>
      </c>
      <c r="AA74" s="360">
        <v>14</v>
      </c>
      <c r="AB74" s="375">
        <v>6</v>
      </c>
      <c r="AC74" s="353" t="s">
        <v>426</v>
      </c>
      <c r="AE74" s="376" t="s">
        <v>425</v>
      </c>
      <c r="AF74" s="355">
        <f>=SUM(AH74,AI74)</f>
        <v>17</v>
      </c>
      <c r="AG74" s="357">
        <f>=AF74/R65</f>
        <v>0.435897435897436</v>
      </c>
      <c r="AH74" s="360">
        <f>=SUMIF(B59:B66,"开发",I59:I68)</f>
        <v>12</v>
      </c>
      <c r="AI74" s="375">
        <f>=SUMIF(B59:B66,"测试",I59:I68)</f>
        <v>5</v>
      </c>
      <c r="AJ74" s="353" t="s">
        <v>427</v>
      </c>
      <c r="AL74" s="7" t="s">
        <v>425</v>
      </c>
      <c r="AM74" s="355">
        <f>=SUM(AO74,AP74)</f>
        <v>20</v>
      </c>
      <c r="AN74" s="357">
        <f>=AM74/R65</f>
        <v>0.512820512820513</v>
      </c>
      <c r="AO74" s="360">
        <f>=SUMIF(B59:B66,"开发",H59:H68)</f>
        <v>14</v>
      </c>
      <c r="AP74" s="375">
        <f>=SUMIF(B59:B66,"测试",H59:H68)</f>
        <v>6</v>
      </c>
      <c r="AQ74" s="353" t="s">
        <v>427</v>
      </c>
      <c r="AR74" s="59" t="s"/>
      <c r="AS74" s="371" t="s">
        <v>425</v>
      </c>
      <c r="AT74" s="355">
        <f>=SUM(AV74,AW74)</f>
        <v>5</v>
      </c>
      <c r="AU74" s="377">
        <v>0.128</v>
      </c>
      <c r="AV74" s="360">
        <v>4</v>
      </c>
      <c r="AW74" s="375">
        <v>1</v>
      </c>
      <c r="AX74" s="353" t="s">
        <v>428</v>
      </c>
      <c r="AZ74" s="7" t="s">
        <v>425</v>
      </c>
      <c r="BA74" s="355">
        <v>19</v>
      </c>
      <c r="BB74" s="357">
        <v>0.4872</v>
      </c>
      <c r="BC74" s="360">
        <v>15</v>
      </c>
      <c r="BD74" s="375">
        <v>4</v>
      </c>
      <c r="BE74" s="353" t="s"/>
    </row>
    <row r="75" spans="1:57" ht="25.5">
      <c r="A75" s="90" t="s">
        <v>185</v>
      </c>
      <c r="B75" s="90" t="s">
        <v>219</v>
      </c>
      <c r="C75" s="145">
        <f>=D75/D77</f>
        <v>0.0714285714285714</v>
      </c>
      <c r="D75" s="90">
        <v>2</v>
      </c>
      <c r="E75" s="90">
        <v>2</v>
      </c>
      <c r="F75" s="90">
        <v>2</v>
      </c>
      <c r="G75" s="90">
        <v>2</v>
      </c>
      <c r="H75" s="90">
        <v>2</v>
      </c>
      <c r="I75" s="90">
        <v>2</v>
      </c>
      <c r="J75" s="90">
        <v>2</v>
      </c>
      <c r="K75" s="90">
        <v>2</v>
      </c>
      <c r="L75" s="90">
        <v>2</v>
      </c>
      <c r="M75" s="90">
        <v>2</v>
      </c>
      <c r="N75" s="90">
        <v>2</v>
      </c>
      <c r="O75" s="90">
        <v>2</v>
      </c>
      <c r="P75" s="38" t="s"/>
      <c r="Q75" s="4" t="s">
        <v>429</v>
      </c>
      <c r="R75" s="355">
        <v>8</v>
      </c>
      <c r="S75" s="357">
        <f>=6/40</f>
        <v>0.15</v>
      </c>
      <c r="T75" s="364">
        <v>6</v>
      </c>
      <c r="U75" s="375">
        <v>2</v>
      </c>
      <c r="V75" s="354" t="s">
        <v>430</v>
      </c>
      <c r="X75" s="4" t="s">
        <v>429</v>
      </c>
      <c r="Y75" s="355">
        <v>8</v>
      </c>
      <c r="Z75" s="357">
        <f>=6/40</f>
        <v>0.15</v>
      </c>
      <c r="AA75" s="364">
        <v>6</v>
      </c>
      <c r="AB75" s="375">
        <v>2</v>
      </c>
      <c r="AC75" s="353" t="s">
        <v>430</v>
      </c>
      <c r="AE75" s="378" t="s">
        <v>429</v>
      </c>
      <c r="AF75" s="355">
        <f>=SUM(AH75,AI75)</f>
        <v>10</v>
      </c>
      <c r="AG75" s="357">
        <f>=AF75/R65</f>
        <v>0.256410256410256</v>
      </c>
      <c r="AH75" s="364">
        <f>=SUMIF(B69:B72,"开发",I69:I72)</f>
        <v>8</v>
      </c>
      <c r="AI75" s="375">
        <f>=SUMIF(B69:B72,"测试",I69:I72)</f>
        <v>2</v>
      </c>
      <c r="AJ75" s="353" t="s">
        <v>431</v>
      </c>
      <c r="AL75" s="4" t="s">
        <v>429</v>
      </c>
      <c r="AM75" s="355">
        <f>=SUM(AO75,AP75)</f>
        <v>8</v>
      </c>
      <c r="AN75" s="357">
        <f>=AM75/R65</f>
        <v>0.205128205128205</v>
      </c>
      <c r="AO75" s="364">
        <f>=SUMIF(B69:B72,"开发",H69:H72)</f>
        <v>7</v>
      </c>
      <c r="AP75" s="375">
        <f>=SUMIF(B69:B72,"测试",H69:H72)</f>
        <v>1</v>
      </c>
      <c r="AQ75" s="353" t="s">
        <v>431</v>
      </c>
      <c r="AR75" s="59" t="s"/>
      <c r="AS75" s="379" t="s">
        <v>429</v>
      </c>
      <c r="AT75" s="355">
        <f>=SUM(AV75,AW75)</f>
        <v>22</v>
      </c>
      <c r="AU75" s="377">
        <v>0.56</v>
      </c>
      <c r="AV75" s="364">
        <v>16</v>
      </c>
      <c r="AW75" s="375">
        <v>6</v>
      </c>
      <c r="AX75" s="353" t="s">
        <v>432</v>
      </c>
      <c r="AZ75" s="4" t="s">
        <v>429</v>
      </c>
      <c r="BA75" s="355">
        <v>10</v>
      </c>
      <c r="BB75" s="357">
        <v>0.2564</v>
      </c>
      <c r="BC75" s="364">
        <v>6</v>
      </c>
      <c r="BD75" s="375">
        <v>4</v>
      </c>
      <c r="BE75" s="353" t="s"/>
    </row>
    <row r="76" spans="1:57" ht="14.25">
      <c r="A76" s="90" t="s">
        <v>185</v>
      </c>
      <c r="B76" s="90" t="s">
        <v>101</v>
      </c>
      <c r="C76" s="145">
        <f>=D76/D78</f>
        <v>0.142857142857143</v>
      </c>
      <c r="D76" s="90">
        <v>1</v>
      </c>
      <c r="E76" s="90">
        <v>1</v>
      </c>
      <c r="F76" s="90">
        <v>1</v>
      </c>
      <c r="G76" s="90">
        <v>1</v>
      </c>
      <c r="H76" s="90">
        <v>1</v>
      </c>
      <c r="I76" s="90">
        <v>1</v>
      </c>
      <c r="J76" s="90">
        <v>1</v>
      </c>
      <c r="K76" s="91">
        <v>1</v>
      </c>
      <c r="L76" s="90">
        <v>1</v>
      </c>
      <c r="M76" s="91">
        <v>1</v>
      </c>
      <c r="N76" s="54">
        <v>1</v>
      </c>
      <c r="O76" s="54">
        <v>1</v>
      </c>
      <c r="P76" s="38" t="s"/>
      <c r="Q76" s="7" t="s">
        <v>160</v>
      </c>
      <c r="R76" s="355">
        <v>4</v>
      </c>
      <c r="S76" s="357">
        <f>=4/40</f>
        <v>0.1</v>
      </c>
      <c r="T76" s="361">
        <v>4</v>
      </c>
      <c r="U76" s="375">
        <v>0</v>
      </c>
      <c r="V76" s="354" t="s">
        <v>433</v>
      </c>
      <c r="X76" s="7" t="s">
        <v>160</v>
      </c>
      <c r="Y76" s="355">
        <v>4</v>
      </c>
      <c r="Z76" s="357">
        <f>=4/40</f>
        <v>0.1</v>
      </c>
      <c r="AA76" s="361">
        <v>4</v>
      </c>
      <c r="AB76" s="375">
        <v>0</v>
      </c>
      <c r="AC76" s="353" t="s">
        <v>433</v>
      </c>
      <c r="AE76" s="376" t="s">
        <v>160</v>
      </c>
      <c r="AF76" s="355">
        <f>=SUM(AH76,AI76)</f>
        <v>3</v>
      </c>
      <c r="AG76" s="357">
        <f>=AF76/R65</f>
        <v>0.0769230769230769</v>
      </c>
      <c r="AH76" s="361">
        <f>=SUMIF(B73,"开发",I73)</f>
        <v>3</v>
      </c>
      <c r="AI76" s="375">
        <v>0</v>
      </c>
      <c r="AJ76" s="353" t="s">
        <v>433</v>
      </c>
      <c r="AL76" s="7" t="s">
        <v>160</v>
      </c>
      <c r="AM76" s="355">
        <f>=SUM(AO76,AP76)</f>
        <v>3</v>
      </c>
      <c r="AN76" s="357">
        <f>=AM76/R65</f>
        <v>0.0769230769230769</v>
      </c>
      <c r="AO76" s="361">
        <f>=SUMIF(B73,"开发",H73)</f>
        <v>3</v>
      </c>
      <c r="AP76" s="375">
        <v>0</v>
      </c>
      <c r="AQ76" s="353" t="s">
        <v>433</v>
      </c>
      <c r="AR76" s="59" t="s"/>
      <c r="AS76" s="371" t="s">
        <v>160</v>
      </c>
      <c r="AT76" s="355">
        <f>=SUM(AV76,AW76)</f>
        <v>4</v>
      </c>
      <c r="AU76" s="377">
        <v>0.1</v>
      </c>
      <c r="AV76" s="361">
        <v>4</v>
      </c>
      <c r="AW76" s="375">
        <v>0</v>
      </c>
      <c r="AX76" s="353" t="s">
        <v>433</v>
      </c>
      <c r="AZ76" s="7" t="s">
        <v>160</v>
      </c>
      <c r="BA76" s="355">
        <v>4</v>
      </c>
      <c r="BB76" s="357">
        <v>0.1026</v>
      </c>
      <c r="BC76" s="361">
        <v>5</v>
      </c>
      <c r="BD76" s="375">
        <v>0</v>
      </c>
      <c r="BE76" s="353" t="s">
        <v>433</v>
      </c>
    </row>
    <row r="77" spans="1:57" ht="13.5">
      <c r="A77" s="54" t="s">
        <v>220</v>
      </c>
      <c r="B77" s="63" t="s">
        <v>78</v>
      </c>
      <c r="C77" s="54">
        <f>=31</f>
        <v>31</v>
      </c>
      <c r="D77" s="54">
        <f>=SUBTOTAL(9,D59,D63,D65,D69,D71,D73,D74,D75,D61,D67)</f>
        <v>28</v>
      </c>
      <c r="E77" s="54">
        <f>=SUBTOTAL(9,E59,E63,E65,E69,E71,E73,E74,E75,E61,E67)</f>
        <v>28</v>
      </c>
      <c r="F77" s="54">
        <f>=SUBTOTAL(9,F59,F63,F65,F69,F71,F73,F74,F75,F61,F67)</f>
        <v>28</v>
      </c>
      <c r="G77" s="54">
        <f>=SUBTOTAL(9,G59,G63,G65,G69,G71,G73,G74,G75,G61,G67)</f>
        <v>28</v>
      </c>
      <c r="H77" s="54">
        <f>=SUBTOTAL(9,H59,H63,H65,H69,H71,H73,H74,H75,H61,H67)</f>
        <v>29</v>
      </c>
      <c r="I77" s="54">
        <f>=SUBTOTAL(9,I59,I63,I65,I69,I71,I73,I74,I75,I61,I67)</f>
        <v>28</v>
      </c>
      <c r="J77" s="54">
        <f>=SUBTOTAL(9,J59,J63,J65,J69,J71,J73,J74,J75,J61,J67)</f>
        <v>28</v>
      </c>
      <c r="K77" s="54">
        <f>=SUBTOTAL(9,K59,K63,K65,K69,K71,K73,K74,K75,K61,K67)</f>
        <v>30</v>
      </c>
      <c r="L77" s="54">
        <f>=SUBTOTAL(9,L59,L63,L65,L69,L71,L73,L74,L75,L61,L67)</f>
        <v>25</v>
      </c>
      <c r="M77" s="54">
        <f>=SUBTOTAL(9,M59,M63,M65,M69,M71,M73,M74,M75,M61,M67)</f>
        <v>26</v>
      </c>
      <c r="N77" s="54">
        <f>=SUBTOTAL(9,N59,N63,N65,N69,N71,N73,N74,N75,N61,N67)</f>
        <v>26</v>
      </c>
      <c r="O77" s="54">
        <f>=SUBTOTAL(9,O59,O63,O65,O69,O71,O73,O74,O75,O61,O67)</f>
        <v>24</v>
      </c>
      <c r="P77" s="38" t="s"/>
      <c r="Q77" s="51" t="s"/>
      <c r="R77" s="354" t="s"/>
      <c r="S77" s="357" t="s"/>
      <c r="T77" s="380" t="s"/>
      <c r="U77" s="353" t="s"/>
      <c r="V77" s="354" t="s"/>
      <c r="X77" s="51" t="s"/>
      <c r="Y77" s="354" t="s"/>
      <c r="Z77" s="357" t="s"/>
      <c r="AA77" s="380" t="s"/>
      <c r="AB77" s="353" t="s"/>
      <c r="AC77" s="353" t="s"/>
      <c r="AE77" s="51" t="s"/>
      <c r="AF77" s="354" t="s"/>
      <c r="AG77" s="357" t="s"/>
      <c r="AH77" s="380" t="s"/>
      <c r="AI77" s="353" t="s"/>
      <c r="AJ77" s="353" t="s"/>
      <c r="AL77" s="51" t="s"/>
      <c r="AM77" s="354" t="s"/>
      <c r="AN77" s="357" t="s"/>
      <c r="AO77" s="380" t="s"/>
      <c r="AP77" s="353" t="s"/>
      <c r="AQ77" s="353" t="s"/>
      <c r="AR77" s="59" t="s"/>
      <c r="AS77" s="51" t="s"/>
      <c r="AT77" s="354" t="s"/>
      <c r="AU77" s="357" t="s"/>
      <c r="AV77" s="380" t="s"/>
      <c r="AW77" s="353" t="s"/>
      <c r="AX77" s="353" t="s"/>
      <c r="AZ77" s="51" t="s"/>
      <c r="BA77" s="354" t="s"/>
      <c r="BB77" s="357" t="s"/>
      <c r="BC77" s="380" t="s"/>
      <c r="BD77" s="353" t="s"/>
      <c r="BE77" s="353" t="s"/>
    </row>
    <row r="78" spans="1:34" ht="13.5">
      <c r="A78" s="54" t="s"/>
      <c r="B78" s="54" t="s">
        <v>101</v>
      </c>
      <c r="C78" s="54">
        <f>=8</f>
        <v>8</v>
      </c>
      <c r="D78" s="54">
        <f>=SUBTOTAL(9,D60,D64,D66,D70,D72,D62,D76,D68)</f>
        <v>7</v>
      </c>
      <c r="E78" s="54">
        <f>=SUBTOTAL(9,E60,E64,E66,E70,E72,E62,E76,E68)</f>
        <v>7</v>
      </c>
      <c r="F78" s="54">
        <f>=SUBTOTAL(9,F60,F64,F66,F70,F72,F62,F76,F68)</f>
        <v>7</v>
      </c>
      <c r="G78" s="54">
        <f>=SUBTOTAL(9,G60,G64,G66,G70,G72,G62,G76,G68)</f>
        <v>7</v>
      </c>
      <c r="H78" s="54">
        <f>=SUBTOTAL(9,H60,H64,H66,H70,H72,H62,H76,H68)</f>
        <v>8</v>
      </c>
      <c r="I78" s="54">
        <f>=SUBTOTAL(9,I60,I64,I66,I70,I72,I62,I76,I68)</f>
        <v>8</v>
      </c>
      <c r="J78" s="54">
        <f>=SUBTOTAL(9,J60,J64,J66,J70,J72,J62,J76,J68)</f>
        <v>8</v>
      </c>
      <c r="K78" s="54">
        <f>=SUBTOTAL(9,K60,K64,K66,K70,K72,K62,K76,K68)</f>
        <v>8</v>
      </c>
      <c r="L78" s="54">
        <f>=SUBTOTAL(9,L60,L64,L66,L70,L72,L62,L76,L68)</f>
        <v>9</v>
      </c>
      <c r="M78" s="54">
        <f>=SUBTOTAL(9,M60,M64,M66,M70,M72,M62,M76,M68)</f>
        <v>9</v>
      </c>
      <c r="N78" s="54">
        <f>=SUBTOTAL(9,N60,N64,N66,N70,N72,N62,N76,N68)</f>
        <v>8</v>
      </c>
      <c r="O78" s="54">
        <f>=SUBTOTAL(9,O60,O64,O66,O70,O72,O62,O76,O68)</f>
        <v>8</v>
      </c>
      <c r="P78" s="38" t="s"/>
      <c r="Q78" s="38" t="s"/>
      <c r="R78" s="38" t="s"/>
      <c r="S78" s="57" t="s"/>
      <c r="T78" s="60" t="s"/>
      <c r="U78" s="59" t="s"/>
      <c r="V78" s="57" t="s"/>
      <c r="W78" s="59" t="s"/>
      <c r="X78" s="59" t="s"/>
      <c r="Y78" s="59" t="s"/>
      <c r="Z78" s="59" t="s"/>
      <c r="AA78" s="59" t="s"/>
      <c r="AB78" s="59" t="s"/>
      <c r="AC78" s="60" t="s"/>
      <c r="AD78" s="59" t="s"/>
      <c r="AE78" s="59" t="s"/>
      <c r="AF78" s="59" t="s"/>
      <c r="AG78" s="59" t="s"/>
      <c r="AH78" s="59" t="s"/>
    </row>
    <row r="79" spans="16:34" ht="13.5">
      <c r="P79" s="38" t="s"/>
      <c r="W79" s="59" t="s"/>
      <c r="X79" s="59" t="s"/>
      <c r="Y79" s="59" t="s"/>
      <c r="Z79" s="59" t="s"/>
      <c r="AA79" s="59" t="s"/>
      <c r="AB79" s="59" t="s"/>
      <c r="AC79" s="60" t="s"/>
      <c r="AD79" s="59" t="s"/>
      <c r="AE79" s="59" t="s"/>
      <c r="AF79" s="59" t="s"/>
      <c r="AG79" s="59" t="s"/>
      <c r="AH79" s="59" t="s"/>
    </row>
    <row r="80" spans="16:34" ht="13.5">
      <c r="P80" s="38" t="s"/>
      <c r="W80" s="59" t="s"/>
      <c r="X80" s="59" t="s"/>
      <c r="Y80" s="59" t="s"/>
      <c r="Z80" s="59" t="s"/>
      <c r="AA80" s="59" t="s"/>
      <c r="AB80" s="59" t="s"/>
      <c r="AC80" s="60" t="s"/>
      <c r="AD80" s="59" t="s"/>
      <c r="AE80" s="59" t="s"/>
      <c r="AF80" s="59" t="s"/>
      <c r="AG80" s="59" t="s"/>
      <c r="AH80" s="59" t="s"/>
    </row>
    <row r="81" spans="3:34" ht="13.5">
      <c r="C81" s="57" t="s"/>
      <c r="D81" s="38" t="s"/>
      <c r="E81" s="57" t="s"/>
      <c r="F81" s="57" t="s"/>
      <c r="G81" s="57" t="s"/>
      <c r="H81" s="57" t="s"/>
      <c r="I81" s="57" t="s"/>
      <c r="J81" s="57" t="s"/>
      <c r="K81" s="57" t="s"/>
      <c r="L81" s="57" t="s"/>
      <c r="M81" s="57" t="s"/>
      <c r="N81" s="57" t="s"/>
      <c r="O81" s="57" t="s"/>
      <c r="P81" s="38" t="s"/>
      <c r="W81" s="59" t="s"/>
      <c r="X81" s="59" t="s"/>
      <c r="Y81" s="59" t="s"/>
      <c r="Z81" s="59" t="s"/>
      <c r="AA81" s="59" t="s"/>
      <c r="AB81" s="59" t="s"/>
      <c r="AC81" s="60" t="s"/>
      <c r="AD81" s="59" t="s"/>
      <c r="AE81" s="59" t="s"/>
      <c r="AF81" s="59" t="s"/>
      <c r="AG81" s="59" t="s"/>
      <c r="AH81" s="59" t="s"/>
    </row>
    <row r="82" spans="3:34" ht="13.5">
      <c r="C82" s="57" t="s"/>
      <c r="D82" s="38" t="s"/>
      <c r="E82" s="57" t="s"/>
      <c r="F82" s="57" t="s"/>
      <c r="G82" s="57" t="s"/>
      <c r="H82" s="57" t="s"/>
      <c r="I82" s="57" t="s"/>
      <c r="J82" s="57" t="s"/>
      <c r="K82" s="57" t="s"/>
      <c r="L82" s="57" t="s"/>
      <c r="M82" s="57" t="s"/>
      <c r="N82" s="57" t="s"/>
      <c r="O82" s="57" t="s"/>
      <c r="P82" s="38" t="s"/>
      <c r="W82" s="59" t="s"/>
      <c r="X82" s="59" t="s"/>
      <c r="Y82" s="59" t="s"/>
      <c r="Z82" s="59" t="s"/>
      <c r="AA82" s="59" t="s"/>
      <c r="AB82" s="59" t="s"/>
      <c r="AC82" s="60" t="s"/>
      <c r="AD82" s="59" t="s"/>
      <c r="AE82" s="59" t="s"/>
      <c r="AF82" s="59" t="s"/>
      <c r="AG82" s="59" t="s"/>
      <c r="AH82" s="59" t="s"/>
    </row>
    <row r="83" spans="1:34" ht="13.5">
      <c r="A83" s="57" t="s"/>
      <c r="B83" s="57" t="s"/>
      <c r="C83" s="57" t="s"/>
      <c r="D83" s="38" t="s"/>
      <c r="E83" s="57" t="s"/>
      <c r="F83" s="57" t="s"/>
      <c r="G83" s="57" t="s"/>
      <c r="H83" s="57" t="s"/>
      <c r="I83" s="57" t="s"/>
      <c r="J83" s="57" t="s"/>
      <c r="K83" s="57" t="s"/>
      <c r="L83" s="57" t="s"/>
      <c r="M83" s="57" t="s"/>
      <c r="N83" s="57" t="s"/>
      <c r="O83" s="57" t="s"/>
      <c r="P83" s="38" t="s"/>
      <c r="W83" s="59" t="s"/>
      <c r="X83" s="59" t="s"/>
      <c r="Y83" s="59" t="s"/>
      <c r="Z83" s="59" t="s"/>
      <c r="AA83" s="59" t="s"/>
      <c r="AB83" s="59" t="s"/>
      <c r="AC83" s="60" t="s"/>
      <c r="AD83" s="59" t="s"/>
      <c r="AE83" s="59" t="s"/>
      <c r="AF83" s="59" t="s"/>
      <c r="AG83" s="59" t="s"/>
      <c r="AH83" s="59" t="s"/>
    </row>
    <row r="84" spans="1:34" ht="13.5">
      <c r="A84" s="57" t="s"/>
      <c r="B84" s="57" t="s"/>
      <c r="C84" s="57" t="s"/>
      <c r="D84" s="38" t="s"/>
      <c r="E84" s="57" t="s"/>
      <c r="F84" s="57" t="s"/>
      <c r="G84" s="57" t="s"/>
      <c r="H84" s="57" t="s"/>
      <c r="I84" s="57" t="s"/>
      <c r="J84" s="57" t="s"/>
      <c r="K84" s="57" t="s"/>
      <c r="L84" s="57" t="s"/>
      <c r="M84" s="57" t="s"/>
      <c r="N84" s="57" t="s"/>
      <c r="P84" s="38" t="s"/>
      <c r="Q84" s="57" t="s"/>
      <c r="W84" s="59" t="s"/>
      <c r="X84" s="59" t="s"/>
      <c r="Y84" s="59" t="s"/>
      <c r="Z84" s="59" t="s"/>
      <c r="AA84" s="59" t="s"/>
      <c r="AB84" s="59" t="s"/>
      <c r="AC84" s="60" t="s"/>
      <c r="AD84" s="59" t="s"/>
      <c r="AE84" s="59" t="s"/>
      <c r="AF84" s="59" t="s"/>
      <c r="AG84" s="59" t="s"/>
      <c r="AH84" s="59" t="s"/>
    </row>
    <row r="85" spans="1:34" ht="13.5">
      <c r="A85" s="57" t="s"/>
      <c r="B85" s="57" t="s"/>
      <c r="C85" s="57" t="s"/>
      <c r="D85" s="38" t="s"/>
      <c r="E85" s="57" t="s"/>
      <c r="F85" s="57" t="s"/>
      <c r="G85" s="57" t="s"/>
      <c r="H85" s="57" t="s"/>
      <c r="I85" s="57" t="s"/>
      <c r="J85" s="57" t="s"/>
      <c r="K85" s="57" t="s"/>
      <c r="L85" s="57" t="s"/>
      <c r="M85" s="57" t="s"/>
      <c r="N85" s="57" t="s"/>
      <c r="P85" s="38" t="s"/>
      <c r="Q85" s="57" t="s"/>
      <c r="W85" s="59" t="s"/>
      <c r="X85" s="59" t="s"/>
      <c r="Y85" s="59" t="s"/>
      <c r="Z85" s="59" t="s"/>
      <c r="AA85" s="59" t="s"/>
      <c r="AB85" s="59" t="s"/>
      <c r="AC85" s="60" t="s"/>
      <c r="AD85" s="59" t="s"/>
      <c r="AE85" s="59" t="s"/>
      <c r="AF85" s="59" t="s"/>
      <c r="AG85" s="59" t="s"/>
      <c r="AH85" s="59" t="s"/>
    </row>
    <row r="86" spans="1:34" ht="13.5">
      <c r="A86" s="95" t="s">
        <v>221</v>
      </c>
      <c r="B86" s="6" t="s"/>
      <c r="C86" s="6" t="s"/>
      <c r="D86" s="6" t="s"/>
      <c r="E86" s="6" t="s"/>
      <c r="F86" s="6" t="s"/>
      <c r="G86" s="6" t="s"/>
      <c r="H86" s="6" t="s"/>
      <c r="I86" s="6" t="s"/>
      <c r="J86" s="6" t="s"/>
      <c r="K86" s="6" t="s"/>
      <c r="L86" s="6" t="s"/>
      <c r="M86" s="6" t="s"/>
      <c r="N86" s="6" t="s"/>
      <c r="O86" s="6" t="s"/>
      <c r="P86" s="38" t="s"/>
      <c r="Q86" s="57" t="s"/>
      <c r="R86" s="57" t="s"/>
      <c r="S86" s="57" t="s"/>
      <c r="T86" s="60" t="s"/>
      <c r="U86" s="59" t="s"/>
      <c r="V86" s="57" t="s"/>
      <c r="W86" s="59" t="s"/>
      <c r="X86" s="59" t="s"/>
      <c r="Y86" s="59" t="s"/>
      <c r="Z86" s="59" t="s"/>
      <c r="AA86" s="59" t="s"/>
      <c r="AB86" s="59" t="s"/>
      <c r="AC86" s="60" t="s"/>
      <c r="AD86" s="59" t="s"/>
      <c r="AE86" s="59" t="s"/>
      <c r="AF86" s="59" t="s"/>
      <c r="AG86" s="59" t="s"/>
      <c r="AH86" s="59" t="s"/>
    </row>
    <row r="87" spans="1:34" ht="13.5">
      <c r="A87" s="6" t="s"/>
      <c r="B87" s="6" t="s"/>
      <c r="C87" s="6" t="s"/>
      <c r="D87" s="6" t="s"/>
      <c r="E87" s="6" t="s"/>
      <c r="F87" s="6" t="s"/>
      <c r="G87" s="6" t="s"/>
      <c r="H87" s="6" t="s"/>
      <c r="I87" s="6" t="s"/>
      <c r="J87" s="6" t="s"/>
      <c r="K87" s="6" t="s"/>
      <c r="L87" s="6" t="s"/>
      <c r="M87" s="6" t="s"/>
      <c r="N87" s="6" t="s"/>
      <c r="O87" s="6" t="s"/>
      <c r="P87" s="38" t="s"/>
      <c r="Q87" s="38" t="s"/>
      <c r="R87" s="57" t="s"/>
      <c r="S87" s="57" t="s"/>
      <c r="T87" s="60" t="s"/>
      <c r="U87" s="59" t="s"/>
      <c r="V87" s="57" t="s"/>
      <c r="W87" s="59" t="s"/>
      <c r="X87" s="59" t="s"/>
      <c r="Y87" s="59" t="s"/>
      <c r="Z87" s="59" t="s"/>
      <c r="AA87" s="59" t="s"/>
      <c r="AB87" s="59" t="s"/>
      <c r="AC87" s="60" t="s"/>
      <c r="AD87" s="59" t="s"/>
      <c r="AE87" s="59" t="s"/>
      <c r="AF87" s="59" t="s"/>
      <c r="AG87" s="59" t="s"/>
      <c r="AH87" s="59" t="s"/>
    </row>
    <row r="88" spans="1:34" ht="13.5">
      <c r="A88" s="95" t="s">
        <v>192</v>
      </c>
      <c r="B88" s="95" t="s"/>
      <c r="C88" s="95" t="s"/>
      <c r="D88" s="103" t="s">
        <v>290</v>
      </c>
      <c r="E88" s="6" t="s"/>
      <c r="F88" s="6" t="s"/>
      <c r="G88" s="6" t="s"/>
      <c r="H88" s="6" t="s"/>
      <c r="I88" s="6" t="s"/>
      <c r="J88" s="6" t="s"/>
      <c r="K88" s="6" t="s"/>
      <c r="L88" s="6" t="s"/>
      <c r="M88" s="6" t="s"/>
      <c r="N88" s="6" t="s"/>
      <c r="O88" s="6" t="s"/>
      <c r="P88" s="38" t="s"/>
      <c r="Q88" s="38" t="s"/>
      <c r="R88" s="57" t="s"/>
      <c r="S88" s="57" t="s"/>
      <c r="T88" s="60" t="s"/>
      <c r="U88" s="59" t="s"/>
      <c r="V88" s="57" t="s"/>
      <c r="W88" s="59" t="s"/>
      <c r="X88" s="59" t="s"/>
      <c r="Y88" s="59" t="s"/>
      <c r="Z88" s="59" t="s"/>
      <c r="AA88" s="59" t="s"/>
      <c r="AB88" s="59" t="s"/>
      <c r="AC88" s="60" t="s"/>
      <c r="AD88" s="59" t="s"/>
      <c r="AE88" s="59" t="s"/>
      <c r="AF88" s="59" t="s"/>
      <c r="AG88" s="59" t="s"/>
      <c r="AH88" s="59" t="s"/>
    </row>
    <row r="89" spans="1:34" ht="13.5">
      <c r="A89" s="106" t="s">
        <v>197</v>
      </c>
      <c r="B89" s="106" t="s">
        <v>52</v>
      </c>
      <c r="C89" s="107" t="s">
        <v>198</v>
      </c>
      <c r="D89" s="108" t="s">
        <v>55</v>
      </c>
      <c r="E89" s="108" t="s">
        <v>56</v>
      </c>
      <c r="F89" s="109" t="s">
        <v>57</v>
      </c>
      <c r="G89" s="109" t="s">
        <v>58</v>
      </c>
      <c r="H89" s="109" t="s">
        <v>59</v>
      </c>
      <c r="I89" s="109" t="s">
        <v>60</v>
      </c>
      <c r="J89" s="109" t="s">
        <v>61</v>
      </c>
      <c r="K89" s="108" t="s">
        <v>62</v>
      </c>
      <c r="L89" s="110" t="s">
        <v>63</v>
      </c>
      <c r="M89" s="110" t="s">
        <v>64</v>
      </c>
      <c r="N89" s="110" t="s">
        <v>65</v>
      </c>
      <c r="O89" s="110" t="s">
        <v>66</v>
      </c>
      <c r="P89" s="38" t="s"/>
      <c r="Q89" s="38" t="s"/>
      <c r="R89" s="57" t="s"/>
      <c r="S89" s="57" t="s"/>
      <c r="T89" s="60" t="s"/>
      <c r="U89" s="59" t="s"/>
      <c r="V89" s="57" t="s"/>
      <c r="W89" s="59" t="s"/>
      <c r="X89" s="59" t="s"/>
      <c r="Y89" s="59" t="s"/>
      <c r="Z89" s="59" t="s"/>
      <c r="AA89" s="59" t="s"/>
      <c r="AB89" s="59" t="s"/>
      <c r="AC89" s="60" t="s"/>
      <c r="AD89" s="59" t="s"/>
      <c r="AE89" s="59" t="s"/>
      <c r="AF89" s="59" t="s"/>
      <c r="AG89" s="59" t="s"/>
      <c r="AH89" s="59" t="s"/>
    </row>
    <row r="90" spans="1:34" ht="13.5">
      <c r="A90" s="54" t="s">
        <v>434</v>
      </c>
      <c r="B90" s="76" t="s">
        <v>78</v>
      </c>
      <c r="C90" s="113" t="s"/>
      <c r="D90" s="51" t="s"/>
      <c r="E90" s="51" t="s"/>
      <c r="F90" s="153">
        <v>2</v>
      </c>
      <c r="G90" s="153">
        <v>2</v>
      </c>
      <c r="H90" s="381">
        <v>2</v>
      </c>
      <c r="I90" s="382">
        <v>2</v>
      </c>
      <c r="J90" s="383">
        <v>2</v>
      </c>
      <c r="K90" s="76" t="s"/>
      <c r="L90" s="54" t="s"/>
      <c r="M90" s="54" t="s"/>
      <c r="N90" s="54" t="s"/>
      <c r="O90" s="54" t="s"/>
      <c r="P90" s="38" t="s"/>
      <c r="Q90" s="38" t="s"/>
      <c r="R90" s="57" t="s"/>
      <c r="S90" s="57" t="s"/>
      <c r="T90" s="60" t="s"/>
      <c r="U90" s="59" t="s"/>
      <c r="V90" s="57" t="s"/>
      <c r="W90" s="59" t="s"/>
      <c r="X90" s="59" t="s"/>
      <c r="Y90" s="59" t="s"/>
      <c r="Z90" s="59" t="s"/>
      <c r="AA90" s="59" t="s"/>
      <c r="AB90" s="59" t="s"/>
      <c r="AC90" s="60" t="s"/>
      <c r="AD90" s="59" t="s"/>
      <c r="AE90" s="59" t="s"/>
      <c r="AF90" s="59" t="s"/>
      <c r="AG90" s="59" t="s"/>
      <c r="AH90" s="59" t="s"/>
    </row>
    <row r="91" spans="1:34" ht="13.5">
      <c r="A91" s="54" t="s"/>
      <c r="B91" s="76" t="s">
        <v>101</v>
      </c>
      <c r="C91" s="113" t="s"/>
      <c r="D91" s="51" t="s"/>
      <c r="E91" s="384" t="s"/>
      <c r="F91" s="381">
        <v>1</v>
      </c>
      <c r="G91" s="385">
        <v>2</v>
      </c>
      <c r="H91" s="153">
        <v>2</v>
      </c>
      <c r="I91" s="153">
        <v>2</v>
      </c>
      <c r="J91" s="383">
        <v>2</v>
      </c>
      <c r="K91" s="76" t="s"/>
      <c r="L91" s="54" t="s"/>
      <c r="M91" s="54" t="s"/>
      <c r="N91" s="54" t="s"/>
      <c r="O91" s="54" t="s"/>
      <c r="P91" s="38" t="s"/>
      <c r="Q91" s="38" t="s"/>
      <c r="R91" s="57" t="s"/>
      <c r="S91" s="57" t="s"/>
      <c r="T91" s="60" t="s"/>
      <c r="U91" s="59" t="s"/>
      <c r="V91" s="57" t="s"/>
      <c r="W91" s="59" t="s"/>
      <c r="X91" s="59" t="s"/>
      <c r="Y91" s="59" t="s"/>
      <c r="Z91" s="59" t="s"/>
      <c r="AA91" s="59" t="s"/>
      <c r="AB91" s="59" t="s"/>
      <c r="AC91" s="60" t="s"/>
      <c r="AD91" s="59" t="s"/>
      <c r="AE91" s="59" t="s"/>
      <c r="AF91" s="59" t="s"/>
      <c r="AG91" s="59" t="s"/>
      <c r="AH91" s="59" t="s"/>
    </row>
    <row r="92" spans="1:34" ht="13.5">
      <c r="A92" s="54" t="s">
        <v>405</v>
      </c>
      <c r="B92" s="76" t="s">
        <v>78</v>
      </c>
      <c r="C92" s="113" t="s"/>
      <c r="D92" s="64" t="s"/>
      <c r="E92" s="51" t="s"/>
      <c r="F92" s="6" t="s"/>
      <c r="G92" s="386" t="s"/>
      <c r="H92" s="54" t="s"/>
      <c r="I92" s="6" t="s"/>
      <c r="J92" s="387">
        <v>4</v>
      </c>
      <c r="K92" s="387">
        <v>4</v>
      </c>
      <c r="L92" s="387">
        <v>4</v>
      </c>
      <c r="M92" s="54" t="s"/>
      <c r="N92" s="54" t="s"/>
      <c r="O92" s="54" t="s"/>
      <c r="P92" s="38" t="s"/>
      <c r="Q92" s="38" t="s"/>
      <c r="R92" s="57" t="s"/>
      <c r="S92" s="57" t="s"/>
      <c r="T92" s="60" t="s"/>
      <c r="U92" s="59" t="s"/>
      <c r="V92" s="57" t="s"/>
      <c r="W92" s="59" t="s"/>
      <c r="X92" s="59" t="s"/>
      <c r="Y92" s="59" t="s"/>
      <c r="Z92" s="59" t="s"/>
      <c r="AA92" s="59" t="s"/>
      <c r="AB92" s="59" t="s"/>
      <c r="AC92" s="60" t="s"/>
      <c r="AD92" s="59" t="s"/>
      <c r="AE92" s="59" t="s"/>
      <c r="AF92" s="59" t="s"/>
      <c r="AG92" s="59" t="s"/>
      <c r="AH92" s="59" t="s"/>
    </row>
    <row r="93" spans="1:34" ht="13.5">
      <c r="A93" s="54" t="s"/>
      <c r="B93" s="76" t="s">
        <v>101</v>
      </c>
      <c r="C93" s="113" t="s"/>
      <c r="D93" s="64" t="s"/>
      <c r="E93" s="51" t="s"/>
      <c r="F93" s="6" t="s"/>
      <c r="G93" s="386" t="s"/>
      <c r="H93" s="54" t="s"/>
      <c r="I93" s="154" t="s"/>
      <c r="J93" s="387">
        <v>4</v>
      </c>
      <c r="K93" s="387">
        <v>4</v>
      </c>
      <c r="L93" s="387">
        <v>4</v>
      </c>
      <c r="M93" s="54" t="s"/>
      <c r="N93" s="54" t="s"/>
      <c r="O93" s="54" t="s"/>
      <c r="P93" s="38" t="s"/>
      <c r="Q93" s="38" t="s"/>
      <c r="R93" s="57" t="s"/>
      <c r="S93" s="57" t="s"/>
      <c r="T93" s="60" t="s"/>
      <c r="U93" s="59" t="s"/>
      <c r="V93" s="57" t="s"/>
      <c r="W93" s="59" t="s"/>
      <c r="X93" s="59" t="s"/>
      <c r="Y93" s="59" t="s"/>
      <c r="Z93" s="59" t="s"/>
      <c r="AA93" s="59" t="s"/>
      <c r="AB93" s="59" t="s"/>
      <c r="AC93" s="60" t="s"/>
      <c r="AD93" s="59" t="s"/>
      <c r="AE93" s="59" t="s"/>
      <c r="AF93" s="59" t="s"/>
      <c r="AG93" s="59" t="s"/>
      <c r="AH93" s="59" t="s"/>
    </row>
    <row r="94" spans="1:34" customHeight="true">
      <c r="A94" s="63" t="s">
        <v>413</v>
      </c>
      <c r="B94" s="54" t="s">
        <v>78</v>
      </c>
      <c r="C94" s="113" t="s"/>
      <c r="D94" s="366" t="s"/>
      <c r="E94" s="388">
        <v>4</v>
      </c>
      <c r="F94" s="388">
        <v>1</v>
      </c>
      <c r="G94" s="345" t="s"/>
      <c r="H94" s="54" t="s"/>
      <c r="I94" s="155" t="s"/>
      <c r="J94" s="389" t="s"/>
      <c r="K94" s="76" t="s"/>
      <c r="L94" s="54" t="s"/>
      <c r="M94" s="54" t="s"/>
      <c r="N94" s="54" t="s"/>
      <c r="O94" s="54" t="s"/>
      <c r="P94" s="38" t="s"/>
      <c r="Q94" s="38" t="s"/>
      <c r="R94" s="57" t="s"/>
      <c r="S94" s="57" t="s"/>
      <c r="T94" s="60" t="s"/>
      <c r="U94" s="59" t="s"/>
      <c r="V94" s="57" t="s"/>
      <c r="W94" s="59" t="s"/>
      <c r="X94" s="59" t="s"/>
      <c r="Y94" s="59" t="s"/>
      <c r="Z94" s="59" t="s"/>
      <c r="AA94" s="59" t="s"/>
      <c r="AB94" s="59" t="s"/>
      <c r="AC94" s="60" t="s"/>
      <c r="AD94" s="59" t="s"/>
      <c r="AE94" s="59" t="s"/>
      <c r="AF94" s="59" t="s"/>
      <c r="AG94" s="59" t="s"/>
      <c r="AH94" s="59" t="s"/>
    </row>
    <row r="95" spans="1:34" ht="13.5">
      <c r="A95" s="54" t="s"/>
      <c r="B95" s="54" t="s">
        <v>101</v>
      </c>
      <c r="C95" s="113" t="s"/>
      <c r="D95" s="157" t="s"/>
      <c r="E95" s="157">
        <v>7</v>
      </c>
      <c r="F95" s="157">
        <v>2</v>
      </c>
      <c r="G95" s="54" t="s"/>
      <c r="H95" s="160" t="s"/>
      <c r="I95" s="160" t="s"/>
      <c r="J95" s="54" t="s"/>
      <c r="K95" s="76" t="s"/>
      <c r="L95" s="54" t="s"/>
      <c r="M95" s="54" t="s"/>
      <c r="N95" s="54" t="s"/>
      <c r="O95" s="54" t="s"/>
      <c r="P95" s="38" t="s"/>
      <c r="Q95" s="38" t="s"/>
      <c r="R95" s="57" t="s"/>
      <c r="S95" s="57" t="s"/>
      <c r="T95" s="60" t="s"/>
      <c r="U95" s="59" t="s"/>
      <c r="V95" s="57" t="s"/>
      <c r="W95" s="59" t="s"/>
      <c r="X95" s="59" t="s"/>
      <c r="Y95" s="59" t="s"/>
      <c r="Z95" s="59" t="s"/>
      <c r="AA95" s="59" t="s"/>
      <c r="AB95" s="59" t="s"/>
      <c r="AC95" s="60" t="s"/>
      <c r="AD95" s="59" t="s"/>
      <c r="AE95" s="59" t="s"/>
      <c r="AF95" s="59" t="s"/>
      <c r="AG95" s="59" t="s"/>
      <c r="AH95" s="59" t="s"/>
    </row>
    <row r="96" spans="1:34" ht="13.5">
      <c r="A96" s="54" t="s">
        <v>435</v>
      </c>
      <c r="B96" s="54" t="s">
        <v>78</v>
      </c>
      <c r="C96" s="113" t="s"/>
      <c r="D96" s="54" t="s"/>
      <c r="E96" s="158">
        <v>12</v>
      </c>
      <c r="F96" s="158">
        <v>13</v>
      </c>
      <c r="G96" s="158">
        <v>13</v>
      </c>
      <c r="H96" s="158">
        <v>11</v>
      </c>
      <c r="I96" s="158">
        <v>10</v>
      </c>
      <c r="J96" s="158">
        <v>9</v>
      </c>
      <c r="K96" s="368">
        <v>9</v>
      </c>
      <c r="L96" s="158">
        <v>9</v>
      </c>
      <c r="M96" s="368">
        <v>9</v>
      </c>
      <c r="N96" s="158">
        <v>9</v>
      </c>
      <c r="O96" s="368">
        <v>9</v>
      </c>
      <c r="P96" s="38" t="s"/>
      <c r="Q96" s="38" t="s"/>
      <c r="R96" s="57" t="s"/>
      <c r="S96" s="57" t="s"/>
      <c r="T96" s="60" t="s"/>
      <c r="U96" s="59" t="s"/>
      <c r="V96" s="57" t="s"/>
      <c r="W96" s="59" t="s"/>
      <c r="X96" s="59" t="s"/>
      <c r="Y96" s="59" t="s"/>
      <c r="Z96" s="59" t="s"/>
      <c r="AA96" s="59" t="s"/>
      <c r="AB96" s="59" t="s"/>
      <c r="AC96" s="60" t="s"/>
      <c r="AD96" s="59" t="s"/>
      <c r="AE96" s="59" t="s"/>
      <c r="AF96" s="59" t="s"/>
      <c r="AG96" s="59" t="s"/>
      <c r="AH96" s="59" t="s"/>
    </row>
    <row r="97" spans="1:34" ht="13.5">
      <c r="A97" s="54" t="s"/>
      <c r="B97" s="54" t="s">
        <v>101</v>
      </c>
      <c r="C97" s="113" t="s"/>
      <c r="D97" s="54" t="s"/>
      <c r="E97" s="158" t="s"/>
      <c r="F97" s="158">
        <v>2</v>
      </c>
      <c r="G97" s="158">
        <v>2</v>
      </c>
      <c r="H97" s="158">
        <v>4</v>
      </c>
      <c r="I97" s="158">
        <v>4</v>
      </c>
      <c r="J97" s="158">
        <v>4</v>
      </c>
      <c r="K97" s="368">
        <v>4</v>
      </c>
      <c r="L97" s="158">
        <v>3</v>
      </c>
      <c r="M97" s="158">
        <v>3</v>
      </c>
      <c r="N97" s="158">
        <v>3</v>
      </c>
      <c r="O97" s="158">
        <v>3</v>
      </c>
      <c r="P97" s="38" t="s"/>
      <c r="Q97" s="38" t="s"/>
      <c r="R97" s="57" t="s"/>
      <c r="S97" s="57" t="s"/>
      <c r="T97" s="60" t="s"/>
      <c r="U97" s="59" t="s"/>
      <c r="V97" s="57" t="s"/>
      <c r="W97" s="59" t="s"/>
      <c r="X97" s="59" t="s"/>
      <c r="Y97" s="59" t="s"/>
      <c r="Z97" s="59" t="s"/>
      <c r="AA97" s="59" t="s"/>
      <c r="AB97" s="59" t="s"/>
      <c r="AC97" s="60" t="s"/>
      <c r="AD97" s="59" t="s"/>
      <c r="AE97" s="59" t="s"/>
      <c r="AF97" s="59" t="s"/>
      <c r="AG97" s="59" t="s"/>
      <c r="AH97" s="59" t="s"/>
    </row>
    <row r="98" spans="1:34" ht="13.5">
      <c r="A98" s="54" t="s">
        <v>436</v>
      </c>
      <c r="B98" s="54" t="s">
        <v>78</v>
      </c>
      <c r="C98" s="113" t="s"/>
      <c r="D98" s="164" t="s"/>
      <c r="E98" s="164">
        <v>3</v>
      </c>
      <c r="F98" s="164">
        <v>3</v>
      </c>
      <c r="G98" s="164">
        <v>3</v>
      </c>
      <c r="H98" s="164">
        <v>4</v>
      </c>
      <c r="I98" s="164">
        <v>4</v>
      </c>
      <c r="J98" s="164">
        <v>4</v>
      </c>
      <c r="K98" s="164">
        <v>4</v>
      </c>
      <c r="L98" s="164">
        <v>4</v>
      </c>
      <c r="M98" s="164">
        <v>4</v>
      </c>
      <c r="N98" s="164">
        <v>4</v>
      </c>
      <c r="O98" s="164">
        <v>4</v>
      </c>
      <c r="P98" s="38" t="s"/>
      <c r="Q98" s="38" t="s"/>
      <c r="R98" s="57" t="s"/>
      <c r="S98" s="57" t="s"/>
      <c r="T98" s="60" t="s"/>
      <c r="U98" s="59" t="s"/>
      <c r="V98" s="57" t="s"/>
      <c r="W98" s="59" t="s"/>
      <c r="X98" s="59" t="s"/>
      <c r="Y98" s="59" t="s"/>
      <c r="Z98" s="59" t="s"/>
      <c r="AA98" s="59" t="s"/>
      <c r="AB98" s="59" t="s"/>
      <c r="AC98" s="60" t="s"/>
      <c r="AD98" s="59" t="s"/>
      <c r="AE98" s="59" t="s"/>
      <c r="AF98" s="59" t="s"/>
      <c r="AG98" s="59" t="s"/>
      <c r="AH98" s="59" t="s"/>
    </row>
    <row r="99" spans="1:34" ht="24" customHeight="true">
      <c r="A99" s="90" t="s"/>
      <c r="B99" s="90" t="s">
        <v>101</v>
      </c>
      <c r="C99" s="145" t="s"/>
      <c r="D99" s="165" t="s"/>
      <c r="E99" s="165">
        <v>1</v>
      </c>
      <c r="F99" s="165">
        <v>2</v>
      </c>
      <c r="G99" s="165">
        <v>2</v>
      </c>
      <c r="H99" s="165">
        <v>1</v>
      </c>
      <c r="I99" s="165">
        <v>1</v>
      </c>
      <c r="J99" s="165">
        <v>1</v>
      </c>
      <c r="K99" s="165">
        <v>2</v>
      </c>
      <c r="L99" s="165">
        <v>2</v>
      </c>
      <c r="M99" s="165">
        <v>1</v>
      </c>
      <c r="N99" s="165">
        <v>1</v>
      </c>
      <c r="O99" s="165">
        <v>1</v>
      </c>
      <c r="P99" s="38" t="s"/>
      <c r="Q99" s="38" t="s"/>
      <c r="R99" s="57" t="s"/>
      <c r="S99" s="57" t="s"/>
      <c r="T99" s="60" t="s"/>
      <c r="U99" s="59" t="s"/>
      <c r="V99" s="57" t="s"/>
      <c r="W99" s="59" t="s"/>
      <c r="X99" s="59" t="s"/>
      <c r="Y99" s="59" t="s"/>
      <c r="Z99" s="59" t="s"/>
      <c r="AA99" s="59" t="s"/>
      <c r="AB99" s="59" t="s"/>
      <c r="AC99" s="60" t="s"/>
      <c r="AD99" s="59" t="s"/>
      <c r="AE99" s="59" t="s"/>
      <c r="AF99" s="59" t="s"/>
      <c r="AG99" s="59" t="s"/>
      <c r="AH99" s="59" t="s"/>
    </row>
    <row r="100" spans="1:34" ht="13.5">
      <c r="A100" s="54" t="s">
        <v>437</v>
      </c>
      <c r="B100" s="54" t="s">
        <v>78</v>
      </c>
      <c r="C100" s="113" t="s"/>
      <c r="D100" s="87" t="s"/>
      <c r="E100" s="87">
        <v>2</v>
      </c>
      <c r="F100" s="87">
        <v>5</v>
      </c>
      <c r="G100" s="87">
        <v>5</v>
      </c>
      <c r="H100" s="87">
        <v>6</v>
      </c>
      <c r="I100" s="87">
        <v>6</v>
      </c>
      <c r="J100" s="87">
        <v>6</v>
      </c>
      <c r="K100" s="87">
        <v>6</v>
      </c>
      <c r="L100" s="87">
        <v>6</v>
      </c>
      <c r="M100" s="87">
        <v>6</v>
      </c>
      <c r="N100" s="87">
        <v>6</v>
      </c>
      <c r="O100" s="87">
        <v>6</v>
      </c>
      <c r="P100" s="38" t="s"/>
      <c r="Q100" s="38" t="s"/>
      <c r="R100" s="38" t="s"/>
      <c r="S100" s="38" t="s"/>
      <c r="T100" s="60" t="s"/>
      <c r="U100" s="59" t="s"/>
      <c r="V100" s="57" t="s"/>
      <c r="W100" s="59" t="s"/>
      <c r="X100" s="59" t="s"/>
      <c r="Y100" s="59" t="s"/>
      <c r="Z100" s="59" t="s"/>
      <c r="AA100" s="59" t="s"/>
      <c r="AB100" s="59" t="s"/>
      <c r="AC100" s="60" t="s"/>
      <c r="AD100" s="59" t="s"/>
      <c r="AE100" s="59" t="s"/>
      <c r="AF100" s="59" t="s"/>
      <c r="AG100" s="59" t="s"/>
      <c r="AH100" s="59" t="s"/>
    </row>
    <row r="101" spans="1:34" ht="60" customHeight="true">
      <c r="A101" s="54" t="s"/>
      <c r="B101" s="54" t="s">
        <v>101</v>
      </c>
      <c r="C101" s="113" t="s"/>
      <c r="D101" s="87" t="s"/>
      <c r="E101" s="87">
        <v>1</v>
      </c>
      <c r="F101" s="87">
        <v>1</v>
      </c>
      <c r="G101" s="87">
        <v>1</v>
      </c>
      <c r="H101" s="87">
        <v>2</v>
      </c>
      <c r="I101" s="87">
        <v>2</v>
      </c>
      <c r="J101" s="87">
        <v>2</v>
      </c>
      <c r="K101" s="87">
        <v>2</v>
      </c>
      <c r="L101" s="87">
        <v>2</v>
      </c>
      <c r="M101" s="87">
        <v>3</v>
      </c>
      <c r="N101" s="87">
        <v>3</v>
      </c>
      <c r="O101" s="87">
        <v>3</v>
      </c>
      <c r="P101" s="38" t="s"/>
      <c r="Q101" s="38" t="s"/>
      <c r="R101" s="38" t="s"/>
      <c r="S101" s="38" t="s"/>
      <c r="T101" s="60" t="s"/>
      <c r="U101" s="59" t="s"/>
      <c r="V101" s="57" t="s"/>
      <c r="W101" s="59" t="s"/>
      <c r="X101" s="59" t="s"/>
      <c r="Y101" s="59" t="s"/>
      <c r="Z101" s="59" t="s"/>
      <c r="AA101" s="59" t="s"/>
      <c r="AB101" s="59" t="s"/>
      <c r="AC101" s="60" t="s"/>
      <c r="AD101" s="59" t="s"/>
      <c r="AE101" s="59" t="s"/>
      <c r="AF101" s="59" t="s"/>
      <c r="AG101" s="59" t="s"/>
      <c r="AH101" s="59" t="s"/>
    </row>
    <row r="102" spans="1:34" ht="13.5">
      <c r="A102" s="160" t="s">
        <v>323</v>
      </c>
      <c r="B102" s="160" t="s">
        <v>78</v>
      </c>
      <c r="C102" s="159" t="s"/>
      <c r="D102" s="390" t="s"/>
      <c r="E102" s="390">
        <v>2</v>
      </c>
      <c r="F102" s="390">
        <v>3</v>
      </c>
      <c r="G102" s="390">
        <v>3</v>
      </c>
      <c r="H102" s="391" t="s"/>
      <c r="I102" s="391">
        <v>1</v>
      </c>
      <c r="J102" s="391">
        <v>2</v>
      </c>
      <c r="K102" s="392">
        <v>3</v>
      </c>
      <c r="L102" s="391">
        <v>3</v>
      </c>
      <c r="M102" s="391">
        <v>3</v>
      </c>
      <c r="N102" s="391">
        <v>3</v>
      </c>
      <c r="O102" s="391">
        <v>3</v>
      </c>
      <c r="P102" s="38" t="s"/>
      <c r="Q102" s="38" t="s"/>
      <c r="R102" s="38" t="s"/>
      <c r="S102" s="38" t="s"/>
      <c r="T102" s="60" t="s"/>
      <c r="U102" s="59" t="s"/>
      <c r="V102" s="57" t="s"/>
      <c r="W102" s="59" t="s"/>
      <c r="X102" s="59" t="s"/>
      <c r="Y102" s="59" t="s"/>
      <c r="Z102" s="59" t="s"/>
      <c r="AA102" s="59" t="s"/>
      <c r="AB102" s="59" t="s"/>
      <c r="AC102" s="60" t="s"/>
      <c r="AD102" s="59" t="s"/>
      <c r="AE102" s="59" t="s"/>
      <c r="AF102" s="59" t="s"/>
      <c r="AG102" s="59" t="s"/>
      <c r="AH102" s="59" t="s"/>
    </row>
    <row r="103" spans="1:34" ht="13.5">
      <c r="A103" s="54" t="s"/>
      <c r="B103" s="54" t="s">
        <v>101</v>
      </c>
      <c r="C103" s="113" t="s"/>
      <c r="D103" s="87" t="s"/>
      <c r="E103" s="87" t="s"/>
      <c r="F103" s="87">
        <v>1</v>
      </c>
      <c r="G103" s="87">
        <v>1</v>
      </c>
      <c r="H103" s="393" t="s"/>
      <c r="I103" s="393" t="s"/>
      <c r="J103" s="393">
        <v>1</v>
      </c>
      <c r="K103" s="394">
        <v>1</v>
      </c>
      <c r="L103" s="393">
        <v>1</v>
      </c>
      <c r="M103" s="393">
        <v>1</v>
      </c>
      <c r="N103" s="393">
        <v>1</v>
      </c>
      <c r="O103" s="393">
        <v>1</v>
      </c>
      <c r="P103" s="38" t="s"/>
      <c r="Q103" s="38" t="s"/>
      <c r="R103" s="38" t="s"/>
      <c r="S103" s="38" t="s"/>
      <c r="T103" s="60" t="s"/>
      <c r="U103" s="59" t="s"/>
      <c r="V103" s="57" t="s"/>
      <c r="W103" s="59" t="s"/>
      <c r="X103" s="59" t="s"/>
      <c r="Y103" s="59" t="s"/>
      <c r="Z103" s="59" t="s"/>
      <c r="AA103" s="59" t="s"/>
      <c r="AB103" s="59" t="s"/>
      <c r="AC103" s="60" t="s"/>
      <c r="AD103" s="59" t="s"/>
      <c r="AE103" s="59" t="s"/>
      <c r="AF103" s="59" t="s"/>
      <c r="AG103" s="59" t="s"/>
      <c r="AH103" s="59" t="s"/>
    </row>
    <row r="104" spans="1:34" customHeight="true">
      <c r="A104" s="54" t="s">
        <v>160</v>
      </c>
      <c r="B104" s="54" t="s">
        <v>78</v>
      </c>
      <c r="C104" s="113" t="s"/>
      <c r="D104" s="89" t="s"/>
      <c r="E104" s="89">
        <v>4</v>
      </c>
      <c r="F104" s="89">
        <v>4</v>
      </c>
      <c r="G104" s="89">
        <v>4</v>
      </c>
      <c r="H104" s="89">
        <v>3</v>
      </c>
      <c r="I104" s="89">
        <v>3</v>
      </c>
      <c r="J104" s="89">
        <v>5</v>
      </c>
      <c r="K104" s="372">
        <v>5</v>
      </c>
      <c r="L104" s="89">
        <v>5</v>
      </c>
      <c r="M104" s="372">
        <v>6</v>
      </c>
      <c r="N104" s="372">
        <v>6</v>
      </c>
      <c r="O104" s="372">
        <v>6</v>
      </c>
      <c r="P104" s="38" t="s"/>
      <c r="Q104" s="38" t="s"/>
      <c r="R104" s="38" t="s"/>
      <c r="S104" s="38" t="s"/>
      <c r="T104" s="60" t="s"/>
      <c r="U104" s="59" t="s"/>
      <c r="V104" s="57" t="s"/>
      <c r="W104" s="59" t="s"/>
      <c r="X104" s="59" t="s"/>
      <c r="Y104" s="59" t="s"/>
      <c r="Z104" s="59" t="s"/>
      <c r="AA104" s="59" t="s"/>
      <c r="AB104" s="59" t="s"/>
      <c r="AC104" s="60" t="s"/>
      <c r="AD104" s="59" t="s"/>
      <c r="AE104" s="59" t="s"/>
      <c r="AF104" s="59" t="s"/>
      <c r="AG104" s="59" t="s"/>
      <c r="AH104" s="59" t="s"/>
    </row>
    <row r="105" spans="1:34" ht="13.5">
      <c r="A105" s="90" t="s">
        <v>178</v>
      </c>
      <c r="B105" s="90" t="s">
        <v>78</v>
      </c>
      <c r="C105" s="113" t="s"/>
      <c r="D105" s="373" t="s"/>
      <c r="E105" s="373">
        <v>3</v>
      </c>
      <c r="F105" s="373">
        <v>3</v>
      </c>
      <c r="G105" s="373">
        <v>3</v>
      </c>
      <c r="H105" s="373">
        <v>3</v>
      </c>
      <c r="I105" s="373">
        <v>3</v>
      </c>
      <c r="J105" s="373">
        <v>3</v>
      </c>
      <c r="K105" s="374">
        <v>3</v>
      </c>
      <c r="L105" s="373">
        <v>3</v>
      </c>
      <c r="M105" s="373">
        <v>3</v>
      </c>
      <c r="N105" s="373">
        <v>3</v>
      </c>
      <c r="O105" s="374">
        <v>3</v>
      </c>
      <c r="P105" s="38" t="s"/>
      <c r="Q105" s="38" t="s"/>
      <c r="R105" s="57" t="s"/>
      <c r="S105" s="57" t="s"/>
      <c r="T105" s="60" t="s"/>
      <c r="U105" s="59" t="s"/>
      <c r="V105" s="57" t="s"/>
      <c r="W105" s="59" t="s"/>
      <c r="X105" s="59" t="s"/>
      <c r="Y105" s="59" t="s"/>
      <c r="Z105" s="59" t="s"/>
      <c r="AA105" s="59" t="s"/>
      <c r="AB105" s="59" t="s"/>
      <c r="AC105" s="60" t="s"/>
      <c r="AD105" s="59" t="s"/>
      <c r="AE105" s="59" t="s"/>
      <c r="AF105" s="59" t="s"/>
      <c r="AG105" s="59" t="s"/>
      <c r="AH105" s="59" t="s"/>
    </row>
    <row r="106" spans="1:34" ht="24">
      <c r="A106" s="90" t="s">
        <v>185</v>
      </c>
      <c r="B106" s="90" t="s">
        <v>219</v>
      </c>
      <c r="C106" s="145" t="s"/>
      <c r="D106" s="90">
        <v>2</v>
      </c>
      <c r="E106" s="90">
        <v>2</v>
      </c>
      <c r="F106" s="90">
        <v>2</v>
      </c>
      <c r="G106" s="90">
        <v>2</v>
      </c>
      <c r="H106" s="90">
        <v>2</v>
      </c>
      <c r="I106" s="90">
        <v>2</v>
      </c>
      <c r="J106" s="90">
        <v>2</v>
      </c>
      <c r="K106" s="90">
        <v>2</v>
      </c>
      <c r="L106" s="90">
        <v>2</v>
      </c>
      <c r="M106" s="90">
        <v>2</v>
      </c>
      <c r="N106" s="90">
        <v>2</v>
      </c>
      <c r="O106" s="90">
        <v>2</v>
      </c>
      <c r="P106" s="38" t="s"/>
      <c r="Q106" s="38" t="s"/>
      <c r="R106" s="57" t="s"/>
      <c r="S106" s="57" t="s"/>
      <c r="T106" s="60" t="s"/>
      <c r="U106" s="59" t="s"/>
      <c r="V106" s="57" t="s"/>
      <c r="W106" s="59" t="s"/>
      <c r="X106" s="59" t="s"/>
      <c r="Y106" s="59" t="s"/>
      <c r="Z106" s="59" t="s"/>
      <c r="AA106" s="59" t="s"/>
      <c r="AB106" s="59" t="s"/>
      <c r="AC106" s="60" t="s"/>
      <c r="AD106" s="59" t="s"/>
      <c r="AE106" s="59" t="s"/>
      <c r="AF106" s="59" t="s"/>
      <c r="AG106" s="59" t="s"/>
      <c r="AH106" s="59" t="s"/>
    </row>
    <row r="107" spans="1:34" ht="13.5">
      <c r="A107" s="90" t="s">
        <v>185</v>
      </c>
      <c r="B107" s="90" t="s">
        <v>101</v>
      </c>
      <c r="C107" s="145" t="s"/>
      <c r="D107" s="90">
        <v>1</v>
      </c>
      <c r="E107" s="90">
        <v>1</v>
      </c>
      <c r="F107" s="90">
        <v>1</v>
      </c>
      <c r="G107" s="90">
        <v>1</v>
      </c>
      <c r="H107" s="90">
        <v>1</v>
      </c>
      <c r="I107" s="90">
        <v>1</v>
      </c>
      <c r="J107" s="90">
        <v>1</v>
      </c>
      <c r="K107" s="91">
        <v>1</v>
      </c>
      <c r="L107" s="90">
        <v>1</v>
      </c>
      <c r="M107" s="91">
        <v>1</v>
      </c>
      <c r="N107" s="54">
        <v>1</v>
      </c>
      <c r="O107" s="54">
        <v>1</v>
      </c>
      <c r="P107" s="38" t="s"/>
      <c r="Q107" s="38" t="s"/>
      <c r="R107" s="57" t="s"/>
      <c r="S107" s="57" t="s"/>
      <c r="T107" s="60" t="s"/>
      <c r="U107" s="59" t="s"/>
      <c r="V107" s="57" t="s"/>
      <c r="W107" s="59" t="s"/>
      <c r="X107" s="59" t="s"/>
      <c r="Y107" s="59" t="s"/>
      <c r="Z107" s="59" t="s"/>
      <c r="AA107" s="59" t="s"/>
      <c r="AB107" s="59" t="s"/>
      <c r="AC107" s="60" t="s"/>
      <c r="AD107" s="59" t="s"/>
      <c r="AE107" s="59" t="s"/>
      <c r="AF107" s="59" t="s"/>
      <c r="AG107" s="59" t="s"/>
      <c r="AH107" s="59" t="s"/>
    </row>
    <row r="108" spans="1:34" ht="13.5">
      <c r="A108" s="54" t="s">
        <v>220</v>
      </c>
      <c r="B108" s="63" t="s">
        <v>78</v>
      </c>
      <c r="C108" s="54">
        <v>30</v>
      </c>
      <c r="D108" s="54">
        <f>=SUBTOTAL(9,D90,D94,D96,D100,D102,D104,D105,D106,D92,D98)</f>
        <v>2</v>
      </c>
      <c r="E108" s="54">
        <f>=SUBTOTAL(9,E90,E94,E96,E100,E102,E104,E105,E106,E92,E98)</f>
        <v>32</v>
      </c>
      <c r="F108" s="54">
        <f>=SUBTOTAL(9,F90,F94,F96,F100,F102,F104,F105,F106,F92,F98)</f>
        <v>36</v>
      </c>
      <c r="G108" s="54">
        <f>=SUBTOTAL(9,G90,G94,G96,G100,G102,G104,G105,G106,G92,G98)</f>
        <v>35</v>
      </c>
      <c r="H108" s="54">
        <f>=SUBTOTAL(9,H90,H94,H96,H100,H102,H104,H105,H106,H92,H98)</f>
        <v>31</v>
      </c>
      <c r="I108" s="54">
        <f>=SUBTOTAL(9,I90,I94,I96,I100,I102,I104,I105,I106,I92,I98)</f>
        <v>31</v>
      </c>
      <c r="J108" s="54">
        <f>=SUBTOTAL(9,J90,J94,J96,J100,J102,J104,J105,J106,J92,J98)</f>
        <v>37</v>
      </c>
      <c r="K108" s="54">
        <f>=SUBTOTAL(9,K90,K94,K96,K100,K102,K104,K105,K106,K92,K98)</f>
        <v>36</v>
      </c>
      <c r="L108" s="54">
        <f>=SUBTOTAL(9,L90,L94,L96,L100,L102,L104,L105,L106,L92,L98)</f>
        <v>36</v>
      </c>
      <c r="M108" s="54">
        <f>=SUBTOTAL(9,M90,M94,M96,M100,M102,M104,M105,M106,M92,M98)</f>
        <v>33</v>
      </c>
      <c r="N108" s="54">
        <f>=SUBTOTAL(9,N90,N94,N96,N100,N102,N104,N105,N106,N92,N98)</f>
        <v>33</v>
      </c>
      <c r="O108" s="54">
        <f>=SUBTOTAL(9,O90,O94,O96,O100,O102,O104,O105,O106,O92,O98)</f>
        <v>33</v>
      </c>
      <c r="P108" s="38" t="s"/>
      <c r="Q108" s="38" t="s"/>
      <c r="R108" s="57" t="s"/>
      <c r="S108" s="57" t="s"/>
      <c r="T108" s="60" t="s"/>
      <c r="U108" s="59" t="s"/>
      <c r="V108" s="57" t="s"/>
      <c r="W108" s="59" t="s"/>
      <c r="X108" s="59" t="s"/>
      <c r="Y108" s="59" t="s"/>
      <c r="Z108" s="59" t="s"/>
      <c r="AA108" s="59" t="s"/>
      <c r="AB108" s="59" t="s"/>
      <c r="AC108" s="60" t="s"/>
      <c r="AD108" s="59" t="s"/>
      <c r="AE108" s="59" t="s"/>
      <c r="AF108" s="59" t="s"/>
      <c r="AG108" s="59" t="s"/>
      <c r="AH108" s="59" t="s"/>
    </row>
    <row r="109" spans="1:34" ht="13.5">
      <c r="A109" s="90" t="s"/>
      <c r="B109" s="90" t="s">
        <v>101</v>
      </c>
      <c r="C109" s="90">
        <v>9</v>
      </c>
      <c r="D109" s="90">
        <f>=SUBTOTAL(9,D91,D95,D97,D101,D103,D93,D107,D99)</f>
        <v>1</v>
      </c>
      <c r="E109" s="90">
        <f>=SUBTOTAL(9,E91,E95,E97,E101,E103,E93,E107,E99)</f>
        <v>10</v>
      </c>
      <c r="F109" s="90">
        <f>=SUBTOTAL(9,F91,F95,F97,F101,F103,F93,F107,F99)</f>
        <v>10</v>
      </c>
      <c r="G109" s="90">
        <f>=SUBTOTAL(9,G91,G95,G97,G101,G103,G93,G107,G99)</f>
        <v>9</v>
      </c>
      <c r="H109" s="90">
        <f>=SUBTOTAL(9,H91,H95,H97,H101,H103,H93,H107,H99)</f>
        <v>10</v>
      </c>
      <c r="I109" s="90">
        <f>=SUBTOTAL(9,I91,I95,I97,I101,I103,I93,I107,I99)</f>
        <v>10</v>
      </c>
      <c r="J109" s="90">
        <f>=SUBTOTAL(9,J91,J95,J97,J101,J103,J93,J107,J99)</f>
        <v>15</v>
      </c>
      <c r="K109" s="90">
        <f>=SUBTOTAL(9,K91,K95,K97,K101,K103,K93,K107,K99)</f>
        <v>14</v>
      </c>
      <c r="L109" s="90">
        <f>=SUBTOTAL(9,L91,L95,L97,L101,L103,L93,L107,L99)</f>
        <v>13</v>
      </c>
      <c r="M109" s="90">
        <f>=SUBTOTAL(9,M91,M95,M97,M101,M103,M93,M107,M99)</f>
        <v>9</v>
      </c>
      <c r="N109" s="90">
        <f>=SUBTOTAL(9,N91,N95,N97,N101,N103,N93,N107,N99)</f>
        <v>9</v>
      </c>
      <c r="O109" s="90">
        <f>=SUBTOTAL(9,O91,O95,O97,O101,O103,O93,O107,O99)</f>
        <v>9</v>
      </c>
      <c r="P109" s="38" t="s"/>
      <c r="Q109" s="38" t="s"/>
      <c r="R109" s="57" t="s"/>
      <c r="S109" s="57" t="s"/>
      <c r="T109" s="60" t="s"/>
      <c r="U109" s="59" t="s"/>
      <c r="V109" s="57" t="s"/>
      <c r="W109" s="59" t="s"/>
      <c r="X109" s="59" t="s"/>
      <c r="Y109" s="59" t="s"/>
      <c r="Z109" s="59" t="s"/>
      <c r="AA109" s="59" t="s"/>
      <c r="AB109" s="59" t="s"/>
      <c r="AC109" s="60" t="s"/>
      <c r="AD109" s="59" t="s"/>
      <c r="AE109" s="59" t="s"/>
      <c r="AF109" s="59" t="s"/>
      <c r="AG109" s="59" t="s"/>
      <c r="AH109" s="59" t="s"/>
    </row>
    <row r="110" spans="1:34" ht="13.5">
      <c r="A110" s="172" t="s"/>
      <c r="B110" s="173" t="s">
        <v>228</v>
      </c>
      <c r="C110" s="172" t="s"/>
      <c r="D110" s="175">
        <f>=C108-D108</f>
        <v>28</v>
      </c>
      <c r="E110" s="175">
        <f>=C108-E108</f>
        <v>-2</v>
      </c>
      <c r="F110" s="175">
        <f>=C108-F108</f>
        <v>-6</v>
      </c>
      <c r="G110" s="175">
        <f>=C108-G108</f>
        <v>-5</v>
      </c>
      <c r="H110" s="175">
        <f>=C108-H108</f>
        <v>-1</v>
      </c>
      <c r="I110" s="175">
        <f>=C108-I108</f>
        <v>-1</v>
      </c>
      <c r="J110" s="175">
        <f>=C108-J108</f>
        <v>-7</v>
      </c>
      <c r="K110" s="175">
        <f>=C108-K108</f>
        <v>-6</v>
      </c>
      <c r="L110" s="175">
        <f>=C108-L108</f>
        <v>-6</v>
      </c>
      <c r="M110" s="175">
        <f>=C108-M108</f>
        <v>-3</v>
      </c>
      <c r="N110" s="175">
        <f>=C108-N108</f>
        <v>-3</v>
      </c>
      <c r="O110" s="175">
        <f>=C108-O108</f>
        <v>-3</v>
      </c>
      <c r="P110" s="38" t="s"/>
      <c r="Q110" s="38" t="s"/>
      <c r="R110" s="57" t="s"/>
      <c r="S110" s="57" t="s"/>
      <c r="T110" s="60" t="s"/>
      <c r="U110" s="59" t="s"/>
      <c r="V110" s="57" t="s"/>
      <c r="W110" s="59" t="s"/>
      <c r="X110" s="59" t="s"/>
      <c r="Y110" s="59" t="s"/>
      <c r="Z110" s="59" t="s"/>
      <c r="AA110" s="59" t="s"/>
      <c r="AB110" s="59" t="s"/>
      <c r="AC110" s="60" t="s"/>
      <c r="AD110" s="59" t="s"/>
      <c r="AE110" s="59" t="s"/>
      <c r="AF110" s="59" t="s"/>
      <c r="AG110" s="59" t="s"/>
      <c r="AH110" s="59" t="s"/>
    </row>
    <row r="111" spans="1:34" ht="13.5">
      <c r="A111" s="172" t="s"/>
      <c r="B111" s="176" t="s">
        <v>229</v>
      </c>
      <c r="C111" s="172" t="s"/>
      <c r="D111" s="175">
        <f>=C109-D109</f>
        <v>8</v>
      </c>
      <c r="E111" s="175">
        <f>=C109-D109</f>
        <v>8</v>
      </c>
      <c r="F111" s="175">
        <f>=C109-F109</f>
        <v>-1</v>
      </c>
      <c r="G111" s="175">
        <f>=C109-G109</f>
        <v>0</v>
      </c>
      <c r="H111" s="175">
        <f>=C109-H109</f>
        <v>-1</v>
      </c>
      <c r="I111" s="175">
        <f>=C109-I109</f>
        <v>-1</v>
      </c>
      <c r="J111" s="175">
        <f>=C109-J109</f>
        <v>-6</v>
      </c>
      <c r="K111" s="175">
        <f>=C109-K109</f>
        <v>-5</v>
      </c>
      <c r="L111" s="175">
        <f>=C109-L109</f>
        <v>-4</v>
      </c>
      <c r="M111" s="175">
        <f>=C109-M109</f>
        <v>0</v>
      </c>
      <c r="N111" s="175">
        <f>=C109-N109</f>
        <v>0</v>
      </c>
      <c r="O111" s="175">
        <f>=C109-O109</f>
        <v>0</v>
      </c>
      <c r="P111" s="38" t="s"/>
      <c r="Q111" s="38" t="s"/>
      <c r="R111" s="57" t="s"/>
      <c r="S111" s="57" t="s"/>
      <c r="T111" s="60" t="s"/>
      <c r="U111" s="59" t="s"/>
      <c r="V111" s="57" t="s"/>
      <c r="W111" s="59" t="s"/>
      <c r="X111" s="59" t="s"/>
      <c r="Y111" s="59" t="s"/>
      <c r="Z111" s="59" t="s"/>
      <c r="AA111" s="59" t="s"/>
      <c r="AB111" s="59" t="s"/>
      <c r="AC111" s="60" t="s"/>
      <c r="AD111" s="59" t="s"/>
      <c r="AE111" s="59" t="s"/>
      <c r="AF111" s="59" t="s"/>
      <c r="AG111" s="59" t="s"/>
      <c r="AH111" s="59" t="s"/>
    </row>
    <row r="112" spans="1:34" ht="13.5">
      <c r="A112" s="57" t="s"/>
      <c r="B112" s="57" t="s"/>
      <c r="C112" s="57" t="s"/>
      <c r="D112" s="38" t="s"/>
      <c r="E112" s="57" t="s"/>
      <c r="F112" s="57" t="s"/>
      <c r="G112" s="57" t="s"/>
      <c r="H112" s="57" t="s"/>
      <c r="I112" s="57" t="s"/>
      <c r="J112" s="57" t="s"/>
      <c r="K112" s="57" t="s"/>
      <c r="L112" s="57" t="s"/>
      <c r="M112" s="57" t="s"/>
      <c r="N112" s="57" t="s"/>
      <c r="O112" s="57" t="s"/>
      <c r="P112" s="38" t="s"/>
      <c r="Q112" s="38" t="s"/>
      <c r="R112" s="57" t="s"/>
      <c r="S112" s="57" t="s"/>
      <c r="T112" s="60" t="s"/>
      <c r="U112" s="59" t="s"/>
      <c r="V112" s="57" t="s"/>
      <c r="W112" s="59" t="s"/>
      <c r="X112" s="59" t="s"/>
      <c r="Y112" s="59" t="s"/>
      <c r="Z112" s="59" t="s"/>
      <c r="AA112" s="59" t="s"/>
      <c r="AB112" s="59" t="s"/>
      <c r="AC112" s="60" t="s"/>
      <c r="AD112" s="59" t="s"/>
      <c r="AE112" s="59" t="s"/>
      <c r="AF112" s="59" t="s"/>
      <c r="AG112" s="59" t="s"/>
      <c r="AH112" s="59" t="s"/>
    </row>
    <row r="113" spans="1:34" ht="13.5">
      <c r="A113" s="57" t="s"/>
      <c r="B113" s="57" t="s"/>
      <c r="C113" s="57" t="s"/>
      <c r="D113" s="38" t="s"/>
      <c r="E113" s="57" t="s"/>
      <c r="F113" s="57" t="s"/>
      <c r="G113" s="57" t="s"/>
      <c r="H113" s="57" t="s"/>
      <c r="I113" s="57" t="s"/>
      <c r="J113" s="57" t="s"/>
      <c r="K113" s="57" t="s"/>
      <c r="L113" s="57" t="s"/>
      <c r="M113" s="57" t="s"/>
      <c r="N113" s="57" t="s"/>
      <c r="O113" s="57" t="s"/>
      <c r="P113" s="38" t="s"/>
      <c r="Q113" s="38" t="s"/>
      <c r="R113" s="57" t="s"/>
      <c r="S113" s="57" t="s"/>
      <c r="T113" s="60" t="s"/>
      <c r="U113" s="59" t="s"/>
      <c r="V113" s="57" t="s"/>
      <c r="W113" s="59" t="s"/>
      <c r="X113" s="59" t="s"/>
      <c r="Y113" s="59" t="s"/>
      <c r="Z113" s="59" t="s"/>
      <c r="AA113" s="59" t="s"/>
      <c r="AB113" s="59" t="s"/>
      <c r="AC113" s="60" t="s"/>
      <c r="AD113" s="59" t="s"/>
      <c r="AE113" s="59" t="s"/>
      <c r="AF113" s="59" t="s"/>
      <c r="AG113" s="59" t="s"/>
      <c r="AH113" s="59" t="s"/>
    </row>
    <row r="114" spans="1:34" ht="13.5">
      <c r="A114" s="57" t="s"/>
      <c r="B114" s="57" t="s"/>
      <c r="C114" s="57" t="s"/>
      <c r="D114" s="38" t="s"/>
      <c r="E114" s="57" t="s"/>
      <c r="F114" s="57" t="s"/>
      <c r="G114" s="57" t="s"/>
      <c r="H114" s="57" t="s"/>
      <c r="I114" s="57" t="s"/>
      <c r="J114" s="57" t="s"/>
      <c r="K114" s="57" t="s"/>
      <c r="L114" s="57" t="s"/>
      <c r="M114" s="57" t="s"/>
      <c r="N114" s="57" t="s"/>
      <c r="O114" s="57" t="s"/>
      <c r="P114" s="38" t="s"/>
      <c r="Q114" s="38" t="s"/>
      <c r="R114" s="57" t="s"/>
      <c r="S114" s="57" t="s"/>
      <c r="T114" s="60" t="s"/>
      <c r="U114" s="59" t="s"/>
      <c r="V114" s="57" t="s"/>
      <c r="W114" s="59" t="s"/>
      <c r="X114" s="59" t="s"/>
      <c r="Y114" s="59" t="s"/>
      <c r="Z114" s="59" t="s"/>
      <c r="AA114" s="59" t="s"/>
      <c r="AB114" s="59" t="s"/>
      <c r="AC114" s="60" t="s"/>
      <c r="AD114" s="59" t="s"/>
      <c r="AE114" s="59" t="s"/>
      <c r="AF114" s="59" t="s"/>
      <c r="AG114" s="59" t="s"/>
      <c r="AH114" s="59" t="s"/>
    </row>
    <row r="115" spans="1:34" ht="13.5">
      <c r="A115" s="57" t="s"/>
      <c r="B115" s="57" t="s"/>
      <c r="C115" s="57" t="s"/>
      <c r="D115" s="38" t="s"/>
      <c r="E115" s="57" t="s"/>
      <c r="F115" s="57" t="s"/>
      <c r="G115" s="57" t="s"/>
      <c r="H115" s="57" t="s"/>
      <c r="I115" s="57" t="s"/>
      <c r="J115" s="57" t="s"/>
      <c r="K115" s="57" t="s"/>
      <c r="L115" s="57" t="s"/>
      <c r="M115" s="57" t="s"/>
      <c r="N115" s="57" t="s"/>
      <c r="O115" s="57" t="s"/>
      <c r="P115" s="38" t="s"/>
      <c r="Q115" s="38" t="s"/>
      <c r="R115" s="57" t="s"/>
      <c r="S115" s="57" t="s"/>
      <c r="T115" s="60" t="s"/>
      <c r="U115" s="59" t="s"/>
      <c r="V115" s="57" t="s"/>
      <c r="W115" s="59" t="s"/>
      <c r="X115" s="59" t="s"/>
      <c r="Y115" s="59" t="s"/>
      <c r="Z115" s="59" t="s"/>
      <c r="AA115" s="59" t="s"/>
      <c r="AB115" s="59" t="s"/>
      <c r="AC115" s="60" t="s"/>
      <c r="AD115" s="59" t="s"/>
      <c r="AE115" s="59" t="s"/>
      <c r="AF115" s="59" t="s"/>
      <c r="AG115" s="59" t="s"/>
      <c r="AH115" s="59" t="s"/>
    </row>
    <row r="116" spans="1:34" ht="13.5">
      <c r="A116" s="57" t="s"/>
      <c r="B116" s="57" t="s"/>
      <c r="C116" s="57" t="s"/>
      <c r="D116" s="38" t="s"/>
      <c r="E116" s="57" t="s"/>
      <c r="F116" s="57" t="s"/>
      <c r="G116" s="57" t="s"/>
      <c r="H116" s="57" t="s"/>
      <c r="I116" s="57" t="s"/>
      <c r="J116" s="57" t="s"/>
      <c r="K116" s="57" t="s"/>
      <c r="L116" s="57" t="s"/>
      <c r="M116" s="57" t="s"/>
      <c r="N116" s="57" t="s"/>
      <c r="O116" s="57" t="s"/>
      <c r="P116" s="38" t="s"/>
      <c r="Q116" s="38" t="s"/>
      <c r="R116" s="57" t="s"/>
      <c r="S116" s="57" t="s"/>
      <c r="T116" s="60" t="s"/>
      <c r="U116" s="59" t="s"/>
      <c r="V116" s="57" t="s"/>
      <c r="W116" s="59" t="s"/>
      <c r="X116" s="59" t="s"/>
      <c r="Y116" s="59" t="s"/>
      <c r="Z116" s="59" t="s"/>
      <c r="AA116" s="59" t="s"/>
      <c r="AB116" s="59" t="s"/>
      <c r="AC116" s="60" t="s"/>
      <c r="AD116" s="59" t="s"/>
      <c r="AE116" s="59" t="s"/>
      <c r="AF116" s="59" t="s"/>
      <c r="AG116" s="59" t="s"/>
      <c r="AH116" s="59" t="s"/>
    </row>
    <row r="117" spans="1:34" ht="13.5">
      <c r="A117" s="57" t="s"/>
      <c r="B117" s="57" t="s"/>
      <c r="C117" s="57" t="s"/>
      <c r="D117" s="38" t="s"/>
      <c r="E117" s="57" t="s"/>
      <c r="F117" s="57" t="s"/>
      <c r="G117" s="57" t="s"/>
      <c r="H117" s="57" t="s"/>
      <c r="I117" s="57" t="s"/>
      <c r="J117" s="57" t="s"/>
      <c r="K117" s="57" t="s"/>
      <c r="L117" s="57" t="s"/>
      <c r="M117" s="57" t="s"/>
      <c r="N117" s="57" t="s"/>
      <c r="O117" s="57" t="s"/>
      <c r="P117" s="38" t="s"/>
      <c r="Q117" s="38" t="s"/>
      <c r="R117" s="57" t="s"/>
      <c r="S117" s="57" t="s"/>
      <c r="T117" s="60" t="s"/>
      <c r="U117" s="59" t="s"/>
      <c r="V117" s="57" t="s"/>
      <c r="W117" s="59" t="s"/>
      <c r="X117" s="59" t="s"/>
      <c r="Y117" s="59" t="s"/>
      <c r="Z117" s="59" t="s"/>
      <c r="AA117" s="59" t="s"/>
      <c r="AB117" s="59" t="s"/>
      <c r="AC117" s="60" t="s"/>
      <c r="AD117" s="59" t="s"/>
      <c r="AE117" s="59" t="s"/>
      <c r="AF117" s="59" t="s"/>
      <c r="AG117" s="59" t="s"/>
      <c r="AH117" s="59" t="s"/>
    </row>
    <row r="118" spans="1:34" ht="13.5">
      <c r="A118" s="57" t="s"/>
      <c r="B118" s="57" t="s"/>
      <c r="C118" s="57" t="s"/>
      <c r="D118" s="38" t="s"/>
      <c r="E118" s="57" t="s"/>
      <c r="F118" s="57" t="s"/>
      <c r="G118" s="57" t="s"/>
      <c r="H118" s="57" t="s"/>
      <c r="I118" s="57" t="s"/>
      <c r="J118" s="57" t="s"/>
      <c r="K118" s="57" t="s"/>
      <c r="L118" s="57" t="s"/>
      <c r="M118" s="57" t="s"/>
      <c r="N118" s="57" t="s"/>
      <c r="O118" s="57" t="s"/>
      <c r="P118" s="38" t="s"/>
      <c r="Q118" s="38" t="s"/>
      <c r="R118" s="57" t="s"/>
      <c r="S118" s="57" t="s"/>
      <c r="T118" s="60" t="s"/>
      <c r="U118" s="59" t="s"/>
      <c r="V118" s="57" t="s"/>
      <c r="W118" s="59" t="s"/>
      <c r="X118" s="59" t="s"/>
      <c r="Y118" s="59" t="s"/>
      <c r="Z118" s="59" t="s"/>
      <c r="AA118" s="59" t="s"/>
      <c r="AB118" s="59" t="s"/>
      <c r="AC118" s="60" t="s"/>
      <c r="AD118" s="59" t="s"/>
      <c r="AE118" s="59" t="s"/>
      <c r="AF118" s="59" t="s"/>
      <c r="AG118" s="59" t="s"/>
      <c r="AH118" s="59" t="s"/>
    </row>
    <row r="119" spans="1:34" ht="13.5">
      <c r="A119" s="57" t="s"/>
      <c r="B119" s="57" t="s"/>
      <c r="C119" s="57" t="s"/>
      <c r="D119" s="38" t="s"/>
      <c r="E119" s="57" t="s"/>
      <c r="F119" s="57" t="s"/>
      <c r="G119" s="57" t="s"/>
      <c r="H119" s="57" t="s"/>
      <c r="I119" s="57" t="s"/>
      <c r="J119" s="57" t="s"/>
      <c r="K119" s="57" t="s"/>
      <c r="L119" s="57" t="s"/>
      <c r="M119" s="57" t="s"/>
      <c r="N119" s="57" t="s"/>
      <c r="O119" s="57" t="s"/>
      <c r="P119" s="38" t="s"/>
      <c r="Q119" s="38" t="s"/>
      <c r="R119" s="57" t="s"/>
      <c r="S119" s="57" t="s"/>
      <c r="T119" s="60" t="s"/>
      <c r="U119" s="59" t="s"/>
      <c r="V119" s="57" t="s"/>
      <c r="W119" s="59" t="s"/>
      <c r="X119" s="59" t="s"/>
      <c r="Y119" s="59" t="s"/>
      <c r="Z119" s="59" t="s"/>
      <c r="AA119" s="59" t="s"/>
      <c r="AB119" s="59" t="s"/>
      <c r="AC119" s="60" t="s"/>
      <c r="AD119" s="59" t="s"/>
      <c r="AE119" s="59" t="s"/>
      <c r="AF119" s="59" t="s"/>
      <c r="AG119" s="59" t="s"/>
      <c r="AH119" s="59" t="s"/>
    </row>
    <row r="120" spans="1:34" ht="13.5">
      <c r="A120" s="57" t="s"/>
      <c r="B120" s="57" t="s"/>
      <c r="C120" s="57" t="s"/>
      <c r="D120" s="38" t="s"/>
      <c r="E120" s="57" t="s"/>
      <c r="F120" s="57" t="s"/>
      <c r="G120" s="57" t="s"/>
      <c r="H120" s="57" t="s"/>
      <c r="I120" s="57" t="s"/>
      <c r="J120" s="57" t="s"/>
      <c r="K120" s="57" t="s"/>
      <c r="L120" s="57" t="s"/>
      <c r="M120" s="57" t="s"/>
      <c r="N120" s="57" t="s"/>
      <c r="O120" s="57" t="s"/>
      <c r="P120" s="38" t="s"/>
      <c r="Q120" s="38" t="s"/>
      <c r="R120" s="57" t="s"/>
      <c r="S120" s="57" t="s"/>
      <c r="T120" s="60" t="s"/>
      <c r="U120" s="59" t="s"/>
      <c r="V120" s="57" t="s"/>
      <c r="W120" s="59" t="s"/>
      <c r="X120" s="59" t="s"/>
      <c r="Y120" s="59" t="s"/>
      <c r="Z120" s="59" t="s"/>
      <c r="AA120" s="59" t="s"/>
      <c r="AB120" s="59" t="s"/>
      <c r="AC120" s="60" t="s"/>
      <c r="AD120" s="59" t="s"/>
      <c r="AE120" s="59" t="s"/>
      <c r="AF120" s="59" t="s"/>
      <c r="AG120" s="59" t="s"/>
      <c r="AH120" s="59" t="s"/>
    </row>
    <row r="121" spans="1:34" ht="13.5">
      <c r="A121" s="57" t="s"/>
      <c r="B121" s="57" t="s"/>
      <c r="C121" s="57" t="s"/>
      <c r="D121" s="38" t="s"/>
      <c r="E121" s="57" t="s"/>
      <c r="F121" s="57" t="s"/>
      <c r="G121" s="57" t="s"/>
      <c r="H121" s="57" t="s"/>
      <c r="I121" s="57" t="s"/>
      <c r="J121" s="57" t="s"/>
      <c r="K121" s="57" t="s"/>
      <c r="L121" s="57" t="s"/>
      <c r="M121" s="57" t="s"/>
      <c r="N121" s="57" t="s"/>
      <c r="O121" s="57" t="s"/>
      <c r="P121" s="38" t="s"/>
      <c r="Q121" s="38" t="s"/>
      <c r="R121" s="57" t="s"/>
      <c r="S121" s="57" t="s"/>
      <c r="T121" s="60" t="s"/>
      <c r="U121" s="59" t="s"/>
      <c r="V121" s="57" t="s"/>
      <c r="W121" s="59" t="s"/>
      <c r="X121" s="59" t="s"/>
      <c r="Y121" s="59" t="s"/>
      <c r="Z121" s="59" t="s"/>
      <c r="AA121" s="59" t="s"/>
      <c r="AB121" s="59" t="s"/>
      <c r="AC121" s="60" t="s"/>
      <c r="AD121" s="59" t="s"/>
      <c r="AE121" s="59" t="s"/>
      <c r="AF121" s="59" t="s"/>
      <c r="AG121" s="59" t="s"/>
      <c r="AH121" s="59" t="s"/>
    </row>
    <row r="122" spans="1:34" ht="13.5">
      <c r="A122" s="57" t="s"/>
      <c r="B122" s="57" t="s"/>
      <c r="C122" s="57" t="s"/>
      <c r="D122" s="38" t="s"/>
      <c r="E122" s="57" t="s"/>
      <c r="F122" s="57" t="s"/>
      <c r="G122" s="57" t="s"/>
      <c r="H122" s="57" t="s"/>
      <c r="I122" s="57" t="s"/>
      <c r="J122" s="57" t="s"/>
      <c r="K122" s="57" t="s"/>
      <c r="L122" s="57" t="s"/>
      <c r="M122" s="57" t="s"/>
      <c r="N122" s="57" t="s"/>
      <c r="O122" s="57" t="s"/>
      <c r="P122" s="38" t="s"/>
      <c r="Q122" s="38" t="s"/>
      <c r="R122" s="57" t="s"/>
      <c r="S122" s="57" t="s"/>
      <c r="T122" s="60" t="s"/>
      <c r="U122" s="59" t="s"/>
      <c r="V122" s="57" t="s"/>
      <c r="W122" s="59" t="s"/>
      <c r="X122" s="59" t="s"/>
      <c r="Y122" s="59" t="s"/>
      <c r="Z122" s="59" t="s"/>
      <c r="AA122" s="59" t="s"/>
      <c r="AB122" s="59" t="s"/>
      <c r="AC122" s="60" t="s"/>
      <c r="AD122" s="59" t="s"/>
      <c r="AE122" s="59" t="s"/>
      <c r="AF122" s="59" t="s"/>
      <c r="AG122" s="59" t="s"/>
      <c r="AH122" s="59" t="s"/>
    </row>
    <row r="123" spans="1:34" ht="13.5">
      <c r="A123" s="57" t="s"/>
      <c r="B123" s="57" t="s"/>
      <c r="C123" s="57" t="s"/>
      <c r="D123" s="38" t="s"/>
      <c r="E123" s="57" t="s"/>
      <c r="F123" s="57" t="s"/>
      <c r="G123" s="57" t="s"/>
      <c r="H123" s="57" t="s"/>
      <c r="I123" s="57" t="s"/>
      <c r="J123" s="57" t="s"/>
      <c r="K123" s="57" t="s"/>
      <c r="L123" s="57" t="s"/>
      <c r="M123" s="57" t="s"/>
      <c r="N123" s="57" t="s"/>
      <c r="O123" s="57" t="s"/>
      <c r="P123" s="38" t="s"/>
      <c r="Q123" s="38" t="s"/>
      <c r="R123" s="57" t="s"/>
      <c r="S123" s="57" t="s"/>
      <c r="T123" s="60" t="s"/>
      <c r="U123" s="59" t="s"/>
      <c r="V123" s="57" t="s"/>
      <c r="W123" s="59" t="s"/>
      <c r="X123" s="59" t="s"/>
      <c r="Y123" s="59" t="s"/>
      <c r="Z123" s="59" t="s"/>
      <c r="AA123" s="59" t="s"/>
      <c r="AB123" s="59" t="s"/>
      <c r="AC123" s="60" t="s"/>
      <c r="AD123" s="59" t="s"/>
      <c r="AE123" s="59" t="s"/>
      <c r="AF123" s="59" t="s"/>
      <c r="AG123" s="59" t="s"/>
      <c r="AH123" s="59" t="s"/>
    </row>
    <row r="124" spans="1:34" ht="13.5">
      <c r="A124" s="57" t="s"/>
      <c r="B124" s="57" t="s"/>
      <c r="C124" s="57" t="s"/>
      <c r="D124" s="38" t="s"/>
      <c r="E124" s="57" t="s"/>
      <c r="F124" s="57" t="s"/>
      <c r="G124" s="57" t="s"/>
      <c r="H124" s="57" t="s"/>
      <c r="I124" s="57" t="s"/>
      <c r="J124" s="57" t="s"/>
      <c r="K124" s="57" t="s"/>
      <c r="L124" s="57" t="s"/>
      <c r="M124" s="57" t="s"/>
      <c r="N124" s="57" t="s"/>
      <c r="O124" s="57" t="s"/>
      <c r="P124" s="38" t="s"/>
      <c r="Q124" s="38" t="s"/>
      <c r="R124" s="57" t="s"/>
      <c r="S124" s="57" t="s"/>
      <c r="T124" s="60" t="s"/>
      <c r="U124" s="59" t="s"/>
      <c r="V124" s="57" t="s"/>
      <c r="W124" s="59" t="s"/>
      <c r="X124" s="59" t="s"/>
      <c r="Y124" s="59" t="s"/>
      <c r="Z124" s="59" t="s"/>
      <c r="AA124" s="59" t="s"/>
      <c r="AB124" s="59" t="s"/>
      <c r="AC124" s="60" t="s"/>
      <c r="AD124" s="59" t="s"/>
      <c r="AE124" s="59" t="s"/>
      <c r="AF124" s="59" t="s"/>
      <c r="AG124" s="59" t="s"/>
      <c r="AH124" s="59" t="s"/>
    </row>
    <row r="125" spans="1:34" ht="13.5">
      <c r="A125" s="57" t="s"/>
      <c r="B125" s="57" t="s"/>
      <c r="C125" s="57" t="s"/>
      <c r="D125" s="38" t="s"/>
      <c r="E125" s="57" t="s"/>
      <c r="F125" s="57" t="s"/>
      <c r="G125" s="57" t="s"/>
      <c r="H125" s="57" t="s"/>
      <c r="I125" s="57" t="s"/>
      <c r="J125" s="57" t="s"/>
      <c r="K125" s="57" t="s"/>
      <c r="L125" s="57" t="s"/>
      <c r="M125" s="57" t="s"/>
      <c r="N125" s="57" t="s"/>
      <c r="O125" s="57" t="s"/>
      <c r="P125" s="38" t="s"/>
      <c r="Q125" s="38" t="s"/>
      <c r="R125" s="57" t="s"/>
      <c r="S125" s="57" t="s"/>
      <c r="T125" s="60" t="s"/>
      <c r="U125" s="59" t="s"/>
      <c r="V125" s="57" t="s"/>
      <c r="W125" s="59" t="s"/>
      <c r="X125" s="59" t="s"/>
      <c r="Y125" s="59" t="s"/>
      <c r="Z125" s="59" t="s"/>
      <c r="AA125" s="59" t="s"/>
      <c r="AB125" s="59" t="s"/>
      <c r="AC125" s="60" t="s"/>
      <c r="AD125" s="59" t="s"/>
      <c r="AE125" s="59" t="s"/>
      <c r="AF125" s="59" t="s"/>
      <c r="AG125" s="59" t="s"/>
      <c r="AH125" s="59" t="s"/>
    </row>
    <row r="126" spans="1:34" ht="13.5">
      <c r="A126" s="57" t="s"/>
      <c r="B126" s="57" t="s"/>
      <c r="C126" s="57" t="s"/>
      <c r="D126" s="38" t="s"/>
      <c r="E126" s="57" t="s"/>
      <c r="F126" s="57" t="s"/>
      <c r="G126" s="57" t="s"/>
      <c r="H126" s="57" t="s"/>
      <c r="I126" s="57" t="s"/>
      <c r="J126" s="57" t="s"/>
      <c r="K126" s="57" t="s"/>
      <c r="L126" s="57" t="s"/>
      <c r="M126" s="57" t="s"/>
      <c r="N126" s="57" t="s"/>
      <c r="O126" s="57" t="s"/>
      <c r="P126" s="38" t="s"/>
      <c r="Q126" s="38" t="s"/>
      <c r="R126" s="57" t="s"/>
      <c r="S126" s="57" t="s"/>
      <c r="T126" s="60" t="s"/>
      <c r="U126" s="59" t="s"/>
      <c r="V126" s="57" t="s"/>
      <c r="W126" s="59" t="s"/>
      <c r="X126" s="59" t="s"/>
      <c r="Y126" s="59" t="s"/>
      <c r="Z126" s="59" t="s"/>
      <c r="AA126" s="59" t="s"/>
      <c r="AB126" s="59" t="s"/>
      <c r="AC126" s="60" t="s"/>
      <c r="AD126" s="59" t="s"/>
      <c r="AE126" s="59" t="s"/>
      <c r="AF126" s="59" t="s"/>
      <c r="AG126" s="59" t="s"/>
      <c r="AH126" s="59" t="s"/>
    </row>
    <row r="127" spans="1:34" ht="13.5">
      <c r="A127" s="57" t="s"/>
      <c r="B127" s="57" t="s"/>
      <c r="C127" s="57" t="s"/>
      <c r="D127" s="38" t="s"/>
      <c r="E127" s="57" t="s"/>
      <c r="F127" s="57" t="s"/>
      <c r="G127" s="57" t="s"/>
      <c r="H127" s="57" t="s"/>
      <c r="I127" s="57" t="s"/>
      <c r="J127" s="57" t="s"/>
      <c r="K127" s="57" t="s"/>
      <c r="L127" s="57" t="s"/>
      <c r="M127" s="57" t="s"/>
      <c r="N127" s="57" t="s"/>
      <c r="O127" s="57" t="s"/>
      <c r="P127" s="38" t="s"/>
      <c r="Q127" s="38" t="s"/>
      <c r="R127" s="57" t="s"/>
      <c r="S127" s="57" t="s"/>
      <c r="T127" s="60" t="s"/>
      <c r="U127" s="59" t="s"/>
      <c r="V127" s="57" t="s"/>
      <c r="W127" s="59" t="s"/>
      <c r="X127" s="59" t="s"/>
      <c r="Y127" s="59" t="s"/>
      <c r="Z127" s="59" t="s"/>
      <c r="AA127" s="59" t="s"/>
      <c r="AB127" s="59" t="s"/>
      <c r="AC127" s="60" t="s"/>
      <c r="AD127" s="59" t="s"/>
      <c r="AE127" s="59" t="s"/>
      <c r="AF127" s="59" t="s"/>
      <c r="AG127" s="59" t="s"/>
      <c r="AH127" s="59" t="s"/>
    </row>
    <row r="128" spans="1:34" ht="13.5">
      <c r="A128" s="57" t="s"/>
      <c r="B128" s="57" t="s"/>
      <c r="C128" s="57" t="s"/>
      <c r="D128" s="38" t="s"/>
      <c r="E128" s="57" t="s"/>
      <c r="F128" s="57" t="s"/>
      <c r="G128" s="57" t="s"/>
      <c r="H128" s="57" t="s"/>
      <c r="I128" s="57" t="s"/>
      <c r="J128" s="57" t="s"/>
      <c r="K128" s="57" t="s"/>
      <c r="L128" s="57" t="s"/>
      <c r="M128" s="57" t="s"/>
      <c r="N128" s="57" t="s"/>
      <c r="O128" s="57" t="s"/>
      <c r="P128" s="38" t="s"/>
      <c r="Q128" s="38" t="s"/>
      <c r="R128" s="57" t="s"/>
      <c r="S128" s="57" t="s"/>
      <c r="T128" s="60" t="s"/>
      <c r="U128" s="59" t="s"/>
      <c r="V128" s="57" t="s"/>
      <c r="W128" s="59" t="s"/>
      <c r="X128" s="59" t="s"/>
      <c r="Y128" s="59" t="s"/>
      <c r="Z128" s="59" t="s"/>
      <c r="AA128" s="59" t="s"/>
      <c r="AB128" s="59" t="s"/>
      <c r="AC128" s="60" t="s"/>
      <c r="AD128" s="59" t="s"/>
      <c r="AE128" s="59" t="s"/>
      <c r="AF128" s="59" t="s"/>
      <c r="AG128" s="59" t="s"/>
      <c r="AH128" s="59" t="s"/>
    </row>
    <row r="129" spans="1:34" ht="13.5">
      <c r="A129" s="57" t="s"/>
      <c r="B129" s="57" t="s"/>
      <c r="C129" s="57" t="s"/>
      <c r="D129" s="38" t="s"/>
      <c r="E129" s="57" t="s"/>
      <c r="F129" s="57" t="s"/>
      <c r="G129" s="57" t="s"/>
      <c r="H129" s="57" t="s"/>
      <c r="I129" s="57" t="s"/>
      <c r="J129" s="57" t="s"/>
      <c r="K129" s="57" t="s"/>
      <c r="L129" s="57" t="s"/>
      <c r="M129" s="57" t="s"/>
      <c r="N129" s="57" t="s"/>
      <c r="O129" s="57" t="s"/>
      <c r="P129" s="38" t="s"/>
      <c r="Q129" s="38" t="s"/>
      <c r="R129" s="57" t="s"/>
      <c r="S129" s="57" t="s"/>
      <c r="T129" s="60" t="s"/>
      <c r="U129" s="59" t="s"/>
      <c r="V129" s="57" t="s"/>
      <c r="W129" s="59" t="s"/>
      <c r="X129" s="59" t="s"/>
      <c r="Y129" s="59" t="s"/>
      <c r="Z129" s="59" t="s"/>
      <c r="AA129" s="59" t="s"/>
      <c r="AB129" s="59" t="s"/>
      <c r="AC129" s="60" t="s"/>
      <c r="AD129" s="59" t="s"/>
      <c r="AE129" s="59" t="s"/>
      <c r="AF129" s="59" t="s"/>
      <c r="AG129" s="59" t="s"/>
      <c r="AH129" s="59" t="s"/>
    </row>
    <row r="130" spans="1:34" ht="13.5">
      <c r="A130" s="57" t="s"/>
      <c r="B130" s="57" t="s"/>
      <c r="C130" s="57" t="s"/>
      <c r="D130" s="38" t="s"/>
      <c r="E130" s="57" t="s"/>
      <c r="F130" s="57" t="s"/>
      <c r="G130" s="57" t="s"/>
      <c r="H130" s="57" t="s"/>
      <c r="I130" s="57" t="s"/>
      <c r="J130" s="57" t="s"/>
      <c r="K130" s="57" t="s"/>
      <c r="L130" s="57" t="s"/>
      <c r="M130" s="57" t="s"/>
      <c r="N130" s="57" t="s"/>
      <c r="O130" s="57" t="s"/>
      <c r="P130" s="38" t="s"/>
      <c r="Q130" s="38" t="s"/>
      <c r="R130" s="57" t="s"/>
      <c r="S130" s="57" t="s"/>
      <c r="T130" s="60" t="s"/>
      <c r="U130" s="59" t="s"/>
      <c r="V130" s="57" t="s"/>
      <c r="W130" s="59" t="s"/>
      <c r="X130" s="59" t="s"/>
      <c r="Y130" s="59" t="s"/>
      <c r="Z130" s="59" t="s"/>
      <c r="AA130" s="59" t="s"/>
      <c r="AB130" s="59" t="s"/>
      <c r="AC130" s="60" t="s"/>
      <c r="AD130" s="59" t="s"/>
      <c r="AE130" s="59" t="s"/>
      <c r="AF130" s="59" t="s"/>
      <c r="AG130" s="59" t="s"/>
      <c r="AH130" s="59" t="s"/>
    </row>
    <row r="131" spans="1:34" ht="13.5">
      <c r="A131" s="57" t="s"/>
      <c r="B131" s="57" t="s"/>
      <c r="C131" s="57" t="s"/>
      <c r="D131" s="38" t="s"/>
      <c r="E131" s="57" t="s"/>
      <c r="F131" s="57" t="s"/>
      <c r="G131" s="57" t="s"/>
      <c r="H131" s="57" t="s"/>
      <c r="I131" s="57" t="s"/>
      <c r="J131" s="57" t="s"/>
      <c r="K131" s="57" t="s"/>
      <c r="L131" s="57" t="s"/>
      <c r="M131" s="57" t="s"/>
      <c r="N131" s="57" t="s"/>
      <c r="O131" s="57" t="s"/>
      <c r="P131" s="38" t="s"/>
      <c r="Q131" s="38" t="s"/>
      <c r="R131" s="57" t="s"/>
      <c r="S131" s="57" t="s"/>
      <c r="T131" s="60" t="s"/>
      <c r="U131" s="59" t="s"/>
      <c r="V131" s="57" t="s"/>
      <c r="W131" s="59" t="s"/>
      <c r="X131" s="59" t="s"/>
      <c r="Y131" s="59" t="s"/>
      <c r="Z131" s="59" t="s"/>
      <c r="AA131" s="59" t="s"/>
      <c r="AB131" s="59" t="s"/>
      <c r="AC131" s="60" t="s"/>
      <c r="AD131" s="59" t="s"/>
      <c r="AE131" s="59" t="s"/>
      <c r="AF131" s="59" t="s"/>
      <c r="AG131" s="59" t="s"/>
      <c r="AH131" s="59" t="s"/>
    </row>
    <row r="132" spans="1:34" ht="13.5">
      <c r="A132" s="57" t="s"/>
      <c r="B132" s="57" t="s"/>
      <c r="C132" s="57" t="s"/>
      <c r="D132" s="38" t="s"/>
      <c r="E132" s="57" t="s"/>
      <c r="F132" s="57" t="s"/>
      <c r="G132" s="57" t="s"/>
      <c r="H132" s="57" t="s"/>
      <c r="I132" s="57" t="s"/>
      <c r="J132" s="57" t="s"/>
      <c r="K132" s="57" t="s"/>
      <c r="L132" s="57" t="s"/>
      <c r="M132" s="57" t="s"/>
      <c r="N132" s="57" t="s"/>
      <c r="O132" s="57" t="s"/>
      <c r="P132" s="38" t="s"/>
      <c r="Q132" s="38" t="s"/>
      <c r="R132" s="57" t="s"/>
      <c r="S132" s="57" t="s"/>
      <c r="T132" s="60" t="s"/>
      <c r="U132" s="59" t="s"/>
      <c r="V132" s="57" t="s"/>
      <c r="W132" s="59" t="s"/>
      <c r="X132" s="59" t="s"/>
      <c r="Y132" s="59" t="s"/>
      <c r="Z132" s="59" t="s"/>
      <c r="AA132" s="59" t="s"/>
      <c r="AB132" s="59" t="s"/>
      <c r="AC132" s="60" t="s"/>
      <c r="AD132" s="59" t="s"/>
      <c r="AE132" s="59" t="s"/>
      <c r="AF132" s="59" t="s"/>
      <c r="AG132" s="59" t="s"/>
      <c r="AH132" s="59" t="s"/>
    </row>
    <row r="133" spans="1:34" ht="13.5">
      <c r="A133" s="57" t="s"/>
      <c r="B133" s="57" t="s"/>
      <c r="C133" s="57" t="s"/>
      <c r="D133" s="38" t="s"/>
      <c r="E133" s="57" t="s"/>
      <c r="F133" s="57" t="s"/>
      <c r="G133" s="57" t="s"/>
      <c r="H133" s="57" t="s"/>
      <c r="I133" s="57" t="s"/>
      <c r="J133" s="57" t="s"/>
      <c r="K133" s="57" t="s"/>
      <c r="L133" s="57" t="s"/>
      <c r="M133" s="57" t="s"/>
      <c r="N133" s="57" t="s"/>
      <c r="O133" s="57" t="s"/>
      <c r="P133" s="38" t="s"/>
      <c r="Q133" s="38" t="s"/>
      <c r="R133" s="57" t="s"/>
      <c r="S133" s="57" t="s"/>
      <c r="T133" s="60" t="s"/>
      <c r="U133" s="59" t="s"/>
      <c r="V133" s="57" t="s"/>
      <c r="W133" s="59" t="s"/>
      <c r="X133" s="59" t="s"/>
      <c r="Y133" s="59" t="s"/>
      <c r="Z133" s="59" t="s"/>
      <c r="AA133" s="59" t="s"/>
      <c r="AB133" s="59" t="s"/>
      <c r="AC133" s="60" t="s"/>
      <c r="AD133" s="59" t="s"/>
      <c r="AE133" s="59" t="s"/>
      <c r="AF133" s="59" t="s"/>
      <c r="AG133" s="59" t="s"/>
      <c r="AH133" s="59" t="s"/>
    </row>
    <row r="134" spans="1:34" ht="13.5">
      <c r="A134" s="57" t="s"/>
      <c r="B134" s="57" t="s"/>
      <c r="C134" s="57" t="s"/>
      <c r="D134" s="38" t="s"/>
      <c r="E134" s="57" t="s"/>
      <c r="F134" s="57" t="s"/>
      <c r="G134" s="57" t="s"/>
      <c r="H134" s="57" t="s"/>
      <c r="I134" s="57" t="s"/>
      <c r="J134" s="57" t="s"/>
      <c r="K134" s="57" t="s"/>
      <c r="L134" s="57" t="s"/>
      <c r="M134" s="57" t="s"/>
      <c r="N134" s="57" t="s"/>
      <c r="O134" s="57" t="s"/>
      <c r="P134" s="38" t="s"/>
      <c r="Q134" s="38" t="s"/>
      <c r="R134" s="57" t="s"/>
      <c r="S134" s="57" t="s"/>
      <c r="T134" s="60" t="s"/>
      <c r="U134" s="59" t="s"/>
      <c r="V134" s="57" t="s"/>
      <c r="W134" s="59" t="s"/>
      <c r="X134" s="59" t="s"/>
      <c r="Y134" s="59" t="s"/>
      <c r="Z134" s="59" t="s"/>
      <c r="AA134" s="59" t="s"/>
      <c r="AB134" s="59" t="s"/>
      <c r="AC134" s="60" t="s"/>
      <c r="AD134" s="59" t="s"/>
      <c r="AE134" s="59" t="s"/>
      <c r="AF134" s="59" t="s"/>
      <c r="AG134" s="59" t="s"/>
      <c r="AH134" s="59" t="s"/>
    </row>
    <row r="135" spans="1:34" ht="13.5">
      <c r="A135" s="57" t="s"/>
      <c r="B135" s="57" t="s"/>
      <c r="C135" s="57" t="s"/>
      <c r="D135" s="38" t="s"/>
      <c r="E135" s="57" t="s"/>
      <c r="F135" s="57" t="s"/>
      <c r="G135" s="57" t="s"/>
      <c r="H135" s="57" t="s"/>
      <c r="I135" s="57" t="s"/>
      <c r="J135" s="57" t="s"/>
      <c r="K135" s="57" t="s"/>
      <c r="L135" s="57" t="s"/>
      <c r="M135" s="57" t="s"/>
      <c r="N135" s="57" t="s"/>
      <c r="O135" s="57" t="s"/>
      <c r="P135" s="38" t="s"/>
      <c r="Q135" s="38" t="s"/>
      <c r="R135" s="57" t="s"/>
      <c r="S135" s="57" t="s"/>
      <c r="T135" s="60" t="s"/>
      <c r="U135" s="59" t="s"/>
      <c r="V135" s="57" t="s"/>
      <c r="W135" s="59" t="s"/>
      <c r="X135" s="59" t="s"/>
      <c r="Y135" s="59" t="s"/>
      <c r="Z135" s="59" t="s"/>
      <c r="AA135" s="59" t="s"/>
      <c r="AB135" s="59" t="s"/>
      <c r="AC135" s="60" t="s"/>
      <c r="AD135" s="59" t="s"/>
      <c r="AE135" s="59" t="s"/>
      <c r="AF135" s="59" t="s"/>
      <c r="AG135" s="59" t="s"/>
      <c r="AH135" s="59" t="s"/>
    </row>
    <row r="136" spans="1:34" ht="13.5">
      <c r="A136" s="57" t="s"/>
      <c r="B136" s="57" t="s"/>
      <c r="C136" s="57" t="s"/>
      <c r="D136" s="38" t="s"/>
      <c r="E136" s="57" t="s"/>
      <c r="F136" s="57" t="s"/>
      <c r="G136" s="57" t="s"/>
      <c r="H136" s="57" t="s"/>
      <c r="I136" s="57" t="s"/>
      <c r="J136" s="57" t="s"/>
      <c r="K136" s="57" t="s"/>
      <c r="L136" s="57" t="s"/>
      <c r="M136" s="57" t="s"/>
      <c r="N136" s="57" t="s"/>
      <c r="O136" s="57" t="s"/>
      <c r="P136" s="38" t="s"/>
      <c r="Q136" s="38" t="s"/>
      <c r="R136" s="57" t="s"/>
      <c r="S136" s="57" t="s"/>
      <c r="T136" s="60" t="s"/>
      <c r="U136" s="59" t="s"/>
      <c r="V136" s="57" t="s"/>
      <c r="W136" s="59" t="s"/>
      <c r="X136" s="59" t="s"/>
      <c r="Y136" s="59" t="s"/>
      <c r="Z136" s="59" t="s"/>
      <c r="AA136" s="59" t="s"/>
      <c r="AB136" s="59" t="s"/>
      <c r="AC136" s="60" t="s"/>
      <c r="AD136" s="59" t="s"/>
      <c r="AE136" s="59" t="s"/>
      <c r="AF136" s="59" t="s"/>
      <c r="AG136" s="59" t="s"/>
      <c r="AH136" s="59" t="s"/>
    </row>
    <row r="137" spans="1:34" ht="13.5">
      <c r="A137" s="57" t="s"/>
      <c r="B137" s="57" t="s"/>
      <c r="C137" s="57" t="s"/>
      <c r="D137" s="38" t="s"/>
      <c r="E137" s="57" t="s"/>
      <c r="F137" s="57" t="s"/>
      <c r="G137" s="57" t="s"/>
      <c r="H137" s="57" t="s"/>
      <c r="I137" s="57" t="s"/>
      <c r="J137" s="57" t="s"/>
      <c r="K137" s="57" t="s"/>
      <c r="L137" s="57" t="s"/>
      <c r="M137" s="57" t="s"/>
      <c r="N137" s="57" t="s"/>
      <c r="O137" s="57" t="s"/>
      <c r="P137" s="38" t="s"/>
      <c r="Q137" s="38" t="s"/>
      <c r="R137" s="57" t="s"/>
      <c r="S137" s="57" t="s"/>
      <c r="T137" s="60" t="s"/>
      <c r="U137" s="59" t="s"/>
      <c r="V137" s="57" t="s"/>
      <c r="W137" s="59" t="s"/>
      <c r="X137" s="59" t="s"/>
      <c r="Y137" s="59" t="s"/>
      <c r="Z137" s="59" t="s"/>
      <c r="AA137" s="59" t="s"/>
      <c r="AB137" s="59" t="s"/>
      <c r="AC137" s="60" t="s"/>
      <c r="AD137" s="59" t="s"/>
      <c r="AE137" s="59" t="s"/>
      <c r="AF137" s="59" t="s"/>
      <c r="AG137" s="59" t="s"/>
      <c r="AH137" s="59" t="s"/>
    </row>
    <row r="138" spans="1:34" ht="13.5">
      <c r="A138" s="57" t="s"/>
      <c r="B138" s="57" t="s"/>
      <c r="C138" s="57" t="s"/>
      <c r="D138" s="38" t="s"/>
      <c r="E138" s="57" t="s"/>
      <c r="F138" s="57" t="s"/>
      <c r="G138" s="57" t="s"/>
      <c r="H138" s="57" t="s"/>
      <c r="I138" s="57" t="s"/>
      <c r="J138" s="57" t="s"/>
      <c r="K138" s="57" t="s"/>
      <c r="L138" s="57" t="s"/>
      <c r="M138" s="57" t="s"/>
      <c r="N138" s="57" t="s"/>
      <c r="O138" s="57" t="s"/>
      <c r="P138" s="38" t="s"/>
      <c r="Q138" s="38" t="s"/>
      <c r="R138" s="57" t="s"/>
      <c r="S138" s="57" t="s"/>
      <c r="T138" s="60" t="s"/>
      <c r="U138" s="59" t="s"/>
      <c r="V138" s="57" t="s"/>
      <c r="W138" s="59" t="s"/>
      <c r="X138" s="59" t="s"/>
      <c r="Y138" s="59" t="s"/>
      <c r="Z138" s="59" t="s"/>
      <c r="AA138" s="59" t="s"/>
      <c r="AB138" s="59" t="s"/>
      <c r="AC138" s="60" t="s"/>
      <c r="AD138" s="59" t="s"/>
      <c r="AE138" s="59" t="s"/>
      <c r="AF138" s="59" t="s"/>
      <c r="AG138" s="59" t="s"/>
      <c r="AH138" s="59" t="s"/>
    </row>
    <row r="139" spans="1:34" ht="13.5">
      <c r="A139" s="57" t="s"/>
      <c r="B139" s="57" t="s"/>
      <c r="C139" s="57" t="s"/>
      <c r="D139" s="38" t="s"/>
      <c r="E139" s="57" t="s"/>
      <c r="F139" s="57" t="s"/>
      <c r="G139" s="57" t="s"/>
      <c r="H139" s="57" t="s"/>
      <c r="I139" s="57" t="s"/>
      <c r="J139" s="57" t="s"/>
      <c r="K139" s="57" t="s"/>
      <c r="L139" s="57" t="s"/>
      <c r="M139" s="57" t="s"/>
      <c r="N139" s="57" t="s"/>
      <c r="O139" s="57" t="s"/>
      <c r="P139" s="38" t="s"/>
      <c r="Q139" s="38" t="s"/>
      <c r="R139" s="57" t="s"/>
      <c r="S139" s="57" t="s"/>
      <c r="T139" s="60" t="s"/>
      <c r="U139" s="59" t="s"/>
      <c r="V139" s="57" t="s"/>
      <c r="W139" s="59" t="s"/>
      <c r="X139" s="59" t="s"/>
      <c r="Y139" s="59" t="s"/>
      <c r="Z139" s="59" t="s"/>
      <c r="AA139" s="59" t="s"/>
      <c r="AB139" s="59" t="s"/>
      <c r="AC139" s="60" t="s"/>
      <c r="AD139" s="59" t="s"/>
      <c r="AE139" s="59" t="s"/>
      <c r="AF139" s="59" t="s"/>
      <c r="AG139" s="59" t="s"/>
      <c r="AH139" s="59" t="s"/>
    </row>
    <row r="140" spans="1:34" ht="13.5">
      <c r="A140" s="57" t="s"/>
      <c r="B140" s="57" t="s"/>
      <c r="C140" s="57" t="s"/>
      <c r="D140" s="38" t="s"/>
      <c r="E140" s="57" t="s"/>
      <c r="F140" s="57" t="s"/>
      <c r="G140" s="57" t="s"/>
      <c r="H140" s="57" t="s"/>
      <c r="I140" s="57" t="s"/>
      <c r="J140" s="57" t="s"/>
      <c r="K140" s="57" t="s"/>
      <c r="L140" s="57" t="s"/>
      <c r="M140" s="57" t="s"/>
      <c r="N140" s="57" t="s"/>
      <c r="O140" s="57" t="s"/>
      <c r="P140" s="38" t="s"/>
      <c r="Q140" s="38" t="s"/>
      <c r="R140" s="57" t="s"/>
      <c r="S140" s="57" t="s"/>
      <c r="T140" s="60" t="s"/>
      <c r="U140" s="59" t="s"/>
      <c r="V140" s="57" t="s"/>
      <c r="W140" s="59" t="s"/>
      <c r="X140" s="59" t="s"/>
      <c r="Y140" s="59" t="s"/>
      <c r="Z140" s="59" t="s"/>
      <c r="AA140" s="59" t="s"/>
      <c r="AB140" s="59" t="s"/>
      <c r="AC140" s="60" t="s"/>
      <c r="AD140" s="59" t="s"/>
      <c r="AE140" s="59" t="s"/>
      <c r="AF140" s="59" t="s"/>
      <c r="AG140" s="59" t="s"/>
      <c r="AH140" s="59" t="s"/>
    </row>
    <row r="141" spans="1:34" ht="13.5">
      <c r="A141" s="57" t="s"/>
      <c r="B141" s="57" t="s"/>
      <c r="C141" s="57" t="s"/>
      <c r="D141" s="38" t="s"/>
      <c r="E141" s="57" t="s"/>
      <c r="F141" s="57" t="s"/>
      <c r="G141" s="57" t="s"/>
      <c r="H141" s="57" t="s"/>
      <c r="I141" s="57" t="s"/>
      <c r="J141" s="57" t="s"/>
      <c r="K141" s="57" t="s"/>
      <c r="L141" s="57" t="s"/>
      <c r="M141" s="57" t="s"/>
      <c r="N141" s="57" t="s"/>
      <c r="O141" s="57" t="s"/>
      <c r="P141" s="38" t="s"/>
      <c r="Q141" s="38" t="s"/>
      <c r="R141" s="57" t="s"/>
      <c r="S141" s="57" t="s"/>
      <c r="T141" s="60" t="s"/>
      <c r="U141" s="59" t="s"/>
      <c r="V141" s="57" t="s"/>
      <c r="W141" s="59" t="s"/>
      <c r="X141" s="59" t="s"/>
      <c r="Y141" s="59" t="s"/>
      <c r="Z141" s="59" t="s"/>
      <c r="AA141" s="59" t="s"/>
      <c r="AB141" s="59" t="s"/>
      <c r="AC141" s="60" t="s"/>
      <c r="AD141" s="59" t="s"/>
      <c r="AE141" s="59" t="s"/>
      <c r="AF141" s="59" t="s"/>
      <c r="AG141" s="59" t="s"/>
      <c r="AH141" s="59" t="s"/>
    </row>
    <row r="142" spans="1:34" ht="13.5">
      <c r="A142" s="57" t="s"/>
      <c r="B142" s="57" t="s"/>
      <c r="C142" s="57" t="s"/>
      <c r="D142" s="38" t="s"/>
      <c r="E142" s="57" t="s"/>
      <c r="F142" s="57" t="s"/>
      <c r="G142" s="57" t="s"/>
      <c r="H142" s="57" t="s"/>
      <c r="I142" s="57" t="s"/>
      <c r="J142" s="57" t="s"/>
      <c r="K142" s="57" t="s"/>
      <c r="L142" s="57" t="s"/>
      <c r="M142" s="57" t="s"/>
      <c r="N142" s="57" t="s"/>
      <c r="O142" s="57" t="s"/>
      <c r="P142" s="38" t="s"/>
      <c r="Q142" s="38" t="s"/>
      <c r="R142" s="57" t="s"/>
      <c r="S142" s="57" t="s"/>
      <c r="T142" s="60" t="s"/>
      <c r="U142" s="59" t="s"/>
      <c r="V142" s="57" t="s"/>
      <c r="W142" s="59" t="s"/>
      <c r="X142" s="59" t="s"/>
      <c r="Y142" s="59" t="s"/>
      <c r="Z142" s="59" t="s"/>
      <c r="AA142" s="59" t="s"/>
      <c r="AB142" s="59" t="s"/>
      <c r="AC142" s="60" t="s"/>
      <c r="AD142" s="59" t="s"/>
      <c r="AE142" s="59" t="s"/>
      <c r="AF142" s="59" t="s"/>
      <c r="AG142" s="59" t="s"/>
      <c r="AH142" s="59" t="s"/>
    </row>
    <row r="143" spans="1:34" ht="13.5">
      <c r="A143" s="57" t="s"/>
      <c r="B143" s="57" t="s"/>
      <c r="C143" s="57" t="s"/>
      <c r="D143" s="38" t="s"/>
      <c r="E143" s="57" t="s"/>
      <c r="F143" s="57" t="s"/>
      <c r="G143" s="57" t="s"/>
      <c r="H143" s="57" t="s"/>
      <c r="I143" s="57" t="s"/>
      <c r="J143" s="57" t="s"/>
      <c r="K143" s="57" t="s"/>
      <c r="L143" s="57" t="s"/>
      <c r="M143" s="57" t="s"/>
      <c r="N143" s="57" t="s"/>
      <c r="O143" s="57" t="s"/>
      <c r="P143" s="38" t="s"/>
      <c r="Q143" s="38" t="s"/>
      <c r="R143" s="57" t="s"/>
      <c r="S143" s="57" t="s"/>
      <c r="T143" s="60" t="s"/>
      <c r="U143" s="59" t="s"/>
      <c r="V143" s="57" t="s"/>
      <c r="W143" s="59" t="s"/>
      <c r="X143" s="59" t="s"/>
      <c r="Y143" s="59" t="s"/>
      <c r="Z143" s="59" t="s"/>
      <c r="AA143" s="59" t="s"/>
      <c r="AB143" s="59" t="s"/>
      <c r="AC143" s="60" t="s"/>
      <c r="AD143" s="59" t="s"/>
      <c r="AE143" s="59" t="s"/>
      <c r="AF143" s="59" t="s"/>
      <c r="AG143" s="59" t="s"/>
      <c r="AH143" s="59" t="s"/>
    </row>
    <row r="144" spans="1:34" ht="13.5">
      <c r="A144" s="57" t="s"/>
      <c r="B144" s="57" t="s"/>
      <c r="C144" s="57" t="s"/>
      <c r="D144" s="38" t="s"/>
      <c r="E144" s="57" t="s"/>
      <c r="F144" s="57" t="s"/>
      <c r="G144" s="57" t="s"/>
      <c r="H144" s="57" t="s"/>
      <c r="I144" s="57" t="s"/>
      <c r="J144" s="57" t="s"/>
      <c r="K144" s="57" t="s"/>
      <c r="L144" s="57" t="s"/>
      <c r="M144" s="57" t="s"/>
      <c r="N144" s="57" t="s"/>
      <c r="O144" s="57" t="s"/>
      <c r="P144" s="38" t="s"/>
      <c r="Q144" s="38" t="s"/>
      <c r="R144" s="57" t="s"/>
      <c r="S144" s="57" t="s"/>
      <c r="T144" s="60" t="s"/>
      <c r="U144" s="59" t="s"/>
      <c r="V144" s="57" t="s"/>
      <c r="W144" s="59" t="s"/>
      <c r="X144" s="59" t="s"/>
      <c r="Y144" s="59" t="s"/>
      <c r="Z144" s="59" t="s"/>
      <c r="AA144" s="59" t="s"/>
      <c r="AB144" s="59" t="s"/>
      <c r="AC144" s="60" t="s"/>
      <c r="AD144" s="59" t="s"/>
      <c r="AE144" s="59" t="s"/>
      <c r="AF144" s="59" t="s"/>
      <c r="AG144" s="59" t="s"/>
      <c r="AH144" s="59" t="s"/>
    </row>
    <row r="145" spans="1:34" ht="13.5">
      <c r="A145" s="57" t="s"/>
      <c r="B145" s="57" t="s"/>
      <c r="C145" s="57" t="s"/>
      <c r="D145" s="38" t="s"/>
      <c r="E145" s="57" t="s"/>
      <c r="F145" s="57" t="s"/>
      <c r="G145" s="57" t="s"/>
      <c r="H145" s="57" t="s"/>
      <c r="I145" s="57" t="s"/>
      <c r="J145" s="57" t="s"/>
      <c r="K145" s="57" t="s"/>
      <c r="L145" s="57" t="s"/>
      <c r="M145" s="57" t="s"/>
      <c r="N145" s="57" t="s"/>
      <c r="O145" s="57" t="s"/>
      <c r="P145" s="38" t="s"/>
      <c r="Q145" s="38" t="s"/>
      <c r="R145" s="57" t="s"/>
      <c r="S145" s="57" t="s"/>
      <c r="T145" s="60" t="s"/>
      <c r="U145" s="59" t="s"/>
      <c r="V145" s="57" t="s"/>
      <c r="W145" s="59" t="s"/>
      <c r="X145" s="59" t="s"/>
      <c r="Y145" s="59" t="s"/>
      <c r="Z145" s="59" t="s"/>
      <c r="AA145" s="59" t="s"/>
      <c r="AB145" s="59" t="s"/>
      <c r="AC145" s="60" t="s"/>
      <c r="AD145" s="59" t="s"/>
      <c r="AE145" s="59" t="s"/>
      <c r="AF145" s="59" t="s"/>
      <c r="AG145" s="59" t="s"/>
      <c r="AH145" s="59" t="s"/>
    </row>
    <row r="146" spans="1:34" ht="13.5">
      <c r="A146" s="57" t="s"/>
      <c r="B146" s="57" t="s"/>
      <c r="C146" s="57" t="s"/>
      <c r="D146" s="38" t="s"/>
      <c r="E146" s="57" t="s"/>
      <c r="F146" s="57" t="s"/>
      <c r="G146" s="57" t="s"/>
      <c r="H146" s="57" t="s"/>
      <c r="I146" s="57" t="s"/>
      <c r="J146" s="57" t="s"/>
      <c r="K146" s="57" t="s"/>
      <c r="L146" s="57" t="s"/>
      <c r="M146" s="57" t="s"/>
      <c r="N146" s="57" t="s"/>
      <c r="O146" s="57" t="s"/>
      <c r="P146" s="38" t="s"/>
      <c r="Q146" s="38" t="s"/>
      <c r="R146" s="57" t="s"/>
      <c r="S146" s="57" t="s"/>
      <c r="T146" s="60" t="s"/>
      <c r="U146" s="59" t="s"/>
      <c r="V146" s="57" t="s"/>
      <c r="W146" s="59" t="s"/>
      <c r="X146" s="59" t="s"/>
      <c r="Y146" s="59" t="s"/>
      <c r="Z146" s="59" t="s"/>
      <c r="AA146" s="59" t="s"/>
      <c r="AB146" s="59" t="s"/>
      <c r="AC146" s="60" t="s"/>
      <c r="AD146" s="59" t="s"/>
      <c r="AE146" s="59" t="s"/>
      <c r="AF146" s="59" t="s"/>
      <c r="AG146" s="59" t="s"/>
      <c r="AH146" s="59" t="s"/>
    </row>
    <row r="147" spans="1:34" ht="13.5">
      <c r="A147" s="57" t="s"/>
      <c r="B147" s="57" t="s"/>
      <c r="C147" s="57" t="s"/>
      <c r="D147" s="38" t="s"/>
      <c r="E147" s="57" t="s"/>
      <c r="F147" s="57" t="s"/>
      <c r="G147" s="57" t="s"/>
      <c r="H147" s="57" t="s"/>
      <c r="I147" s="57" t="s"/>
      <c r="J147" s="57" t="s"/>
      <c r="K147" s="57" t="s"/>
      <c r="L147" s="57" t="s"/>
      <c r="M147" s="57" t="s"/>
      <c r="N147" s="57" t="s"/>
      <c r="O147" s="57" t="s"/>
      <c r="P147" s="38" t="s"/>
      <c r="Q147" s="38" t="s"/>
      <c r="R147" s="57" t="s"/>
      <c r="S147" s="57" t="s"/>
      <c r="T147" s="60" t="s"/>
      <c r="U147" s="59" t="s"/>
      <c r="V147" s="57" t="s"/>
      <c r="W147" s="59" t="s"/>
      <c r="X147" s="59" t="s"/>
      <c r="Y147" s="59" t="s"/>
      <c r="Z147" s="59" t="s"/>
      <c r="AA147" s="59" t="s"/>
      <c r="AB147" s="59" t="s"/>
      <c r="AC147" s="60" t="s"/>
      <c r="AD147" s="59" t="s"/>
      <c r="AE147" s="59" t="s"/>
      <c r="AF147" s="59" t="s"/>
      <c r="AG147" s="59" t="s"/>
      <c r="AH147" s="59" t="s"/>
    </row>
    <row r="148" spans="1:34" ht="13.5">
      <c r="A148" s="57" t="s"/>
      <c r="B148" s="57" t="s"/>
      <c r="C148" s="57" t="s"/>
      <c r="D148" s="38" t="s"/>
      <c r="E148" s="57" t="s"/>
      <c r="F148" s="57" t="s"/>
      <c r="G148" s="57" t="s"/>
      <c r="H148" s="57" t="s"/>
      <c r="I148" s="57" t="s"/>
      <c r="J148" s="57" t="s"/>
      <c r="K148" s="57" t="s"/>
      <c r="L148" s="57" t="s"/>
      <c r="M148" s="57" t="s"/>
      <c r="N148" s="57" t="s"/>
      <c r="O148" s="57" t="s"/>
      <c r="P148" s="38" t="s"/>
      <c r="Q148" s="38" t="s"/>
      <c r="R148" s="57" t="s"/>
      <c r="S148" s="57" t="s"/>
      <c r="T148" s="60" t="s"/>
      <c r="U148" s="59" t="s"/>
      <c r="V148" s="57" t="s"/>
      <c r="W148" s="59" t="s"/>
      <c r="X148" s="59" t="s"/>
      <c r="Y148" s="59" t="s"/>
      <c r="Z148" s="59" t="s"/>
      <c r="AA148" s="59" t="s"/>
      <c r="AB148" s="59" t="s"/>
      <c r="AC148" s="60" t="s"/>
      <c r="AD148" s="59" t="s"/>
      <c r="AE148" s="59" t="s"/>
      <c r="AF148" s="59" t="s"/>
      <c r="AG148" s="59" t="s"/>
      <c r="AH148" s="59" t="s"/>
    </row>
    <row r="149" spans="1:34" ht="13.5">
      <c r="A149" s="57" t="s"/>
      <c r="B149" s="57" t="s"/>
      <c r="C149" s="57" t="s"/>
      <c r="D149" s="38" t="s"/>
      <c r="E149" s="57" t="s"/>
      <c r="F149" s="57" t="s"/>
      <c r="G149" s="57" t="s"/>
      <c r="H149" s="57" t="s"/>
      <c r="I149" s="57" t="s"/>
      <c r="J149" s="57" t="s"/>
      <c r="K149" s="57" t="s"/>
      <c r="L149" s="57" t="s"/>
      <c r="M149" s="57" t="s"/>
      <c r="N149" s="57" t="s"/>
      <c r="O149" s="57" t="s"/>
      <c r="P149" s="38" t="s"/>
      <c r="Q149" s="38" t="s"/>
      <c r="R149" s="57" t="s"/>
      <c r="S149" s="57" t="s"/>
      <c r="T149" s="60" t="s"/>
      <c r="U149" s="59" t="s"/>
      <c r="V149" s="57" t="s"/>
      <c r="W149" s="59" t="s"/>
      <c r="X149" s="59" t="s"/>
      <c r="Y149" s="59" t="s"/>
      <c r="Z149" s="59" t="s"/>
      <c r="AA149" s="59" t="s"/>
      <c r="AB149" s="59" t="s"/>
      <c r="AC149" s="60" t="s"/>
      <c r="AD149" s="59" t="s"/>
      <c r="AE149" s="59" t="s"/>
      <c r="AF149" s="59" t="s"/>
      <c r="AG149" s="59" t="s"/>
      <c r="AH149" s="59" t="s"/>
    </row>
    <row r="150" spans="1:34" ht="13.5">
      <c r="A150" s="57" t="s"/>
      <c r="B150" s="57" t="s"/>
      <c r="C150" s="57" t="s"/>
      <c r="D150" s="38" t="s"/>
      <c r="E150" s="57" t="s"/>
      <c r="F150" s="57" t="s"/>
      <c r="G150" s="57" t="s"/>
      <c r="H150" s="57" t="s"/>
      <c r="I150" s="57" t="s"/>
      <c r="J150" s="57" t="s"/>
      <c r="K150" s="57" t="s"/>
      <c r="L150" s="57" t="s"/>
      <c r="M150" s="57" t="s"/>
      <c r="N150" s="57" t="s"/>
      <c r="O150" s="57" t="s"/>
      <c r="P150" s="38" t="s"/>
      <c r="Q150" s="38" t="s"/>
      <c r="R150" s="57" t="s"/>
      <c r="S150" s="57" t="s"/>
      <c r="T150" s="60" t="s"/>
      <c r="U150" s="59" t="s"/>
      <c r="V150" s="57" t="s"/>
      <c r="W150" s="59" t="s"/>
      <c r="X150" s="59" t="s"/>
      <c r="Y150" s="59" t="s"/>
      <c r="Z150" s="59" t="s"/>
      <c r="AA150" s="59" t="s"/>
      <c r="AB150" s="59" t="s"/>
      <c r="AC150" s="60" t="s"/>
      <c r="AD150" s="59" t="s"/>
      <c r="AE150" s="59" t="s"/>
      <c r="AF150" s="59" t="s"/>
      <c r="AG150" s="59" t="s"/>
      <c r="AH150" s="59" t="s"/>
    </row>
    <row r="151" spans="1:34" ht="13.5">
      <c r="A151" s="57" t="s"/>
      <c r="B151" s="57" t="s"/>
      <c r="C151" s="57" t="s"/>
      <c r="D151" s="38" t="s"/>
      <c r="E151" s="57" t="s"/>
      <c r="F151" s="57" t="s"/>
      <c r="G151" s="57" t="s"/>
      <c r="H151" s="57" t="s"/>
      <c r="I151" s="57" t="s"/>
      <c r="J151" s="57" t="s"/>
      <c r="K151" s="57" t="s"/>
      <c r="L151" s="57" t="s"/>
      <c r="M151" s="57" t="s"/>
      <c r="N151" s="57" t="s"/>
      <c r="O151" s="57" t="s"/>
      <c r="P151" s="38" t="s"/>
      <c r="Q151" s="38" t="s"/>
      <c r="R151" s="57" t="s"/>
      <c r="S151" s="57" t="s"/>
      <c r="T151" s="60" t="s"/>
      <c r="U151" s="59" t="s"/>
      <c r="V151" s="57" t="s"/>
      <c r="W151" s="59" t="s"/>
      <c r="X151" s="59" t="s"/>
      <c r="Y151" s="59" t="s"/>
      <c r="Z151" s="59" t="s"/>
      <c r="AA151" s="59" t="s"/>
      <c r="AB151" s="59" t="s"/>
      <c r="AC151" s="60" t="s"/>
      <c r="AD151" s="59" t="s"/>
      <c r="AE151" s="59" t="s"/>
      <c r="AF151" s="59" t="s"/>
      <c r="AG151" s="59" t="s"/>
      <c r="AH151" s="59" t="s"/>
    </row>
    <row r="152" spans="1:34" ht="13.5">
      <c r="A152" s="57" t="s"/>
      <c r="B152" s="57" t="s"/>
      <c r="C152" s="57" t="s"/>
      <c r="D152" s="38" t="s"/>
      <c r="E152" s="57" t="s"/>
      <c r="F152" s="57" t="s"/>
      <c r="G152" s="57" t="s"/>
      <c r="H152" s="57" t="s"/>
      <c r="I152" s="57" t="s"/>
      <c r="J152" s="57" t="s"/>
      <c r="K152" s="57" t="s"/>
      <c r="L152" s="57" t="s"/>
      <c r="M152" s="57" t="s"/>
      <c r="N152" s="57" t="s"/>
      <c r="O152" s="57" t="s"/>
      <c r="P152" s="38" t="s"/>
      <c r="Q152" s="38" t="s"/>
      <c r="R152" s="57" t="s"/>
      <c r="S152" s="57" t="s"/>
      <c r="T152" s="60" t="s"/>
      <c r="U152" s="59" t="s"/>
      <c r="V152" s="57" t="s"/>
      <c r="W152" s="59" t="s"/>
      <c r="X152" s="59" t="s"/>
      <c r="Y152" s="59" t="s"/>
      <c r="Z152" s="59" t="s"/>
      <c r="AA152" s="59" t="s"/>
      <c r="AB152" s="59" t="s"/>
      <c r="AC152" s="60" t="s"/>
      <c r="AD152" s="59" t="s"/>
      <c r="AE152" s="59" t="s"/>
      <c r="AF152" s="59" t="s"/>
      <c r="AG152" s="59" t="s"/>
      <c r="AH152" s="59" t="s"/>
    </row>
    <row r="153" spans="1:34" ht="13.5">
      <c r="A153" s="57" t="s"/>
      <c r="B153" s="57" t="s"/>
      <c r="C153" s="57" t="s"/>
      <c r="D153" s="38" t="s"/>
      <c r="E153" s="57" t="s"/>
      <c r="F153" s="57" t="s"/>
      <c r="G153" s="57" t="s"/>
      <c r="H153" s="57" t="s"/>
      <c r="I153" s="57" t="s"/>
      <c r="J153" s="57" t="s"/>
      <c r="K153" s="57" t="s"/>
      <c r="L153" s="57" t="s"/>
      <c r="M153" s="57" t="s"/>
      <c r="N153" s="57" t="s"/>
      <c r="O153" s="57" t="s"/>
      <c r="P153" s="38" t="s"/>
      <c r="Q153" s="38" t="s"/>
      <c r="R153" s="57" t="s"/>
      <c r="S153" s="57" t="s"/>
      <c r="T153" s="60" t="s"/>
      <c r="U153" s="59" t="s"/>
      <c r="V153" s="57" t="s"/>
      <c r="W153" s="59" t="s"/>
      <c r="X153" s="59" t="s"/>
      <c r="Y153" s="59" t="s"/>
      <c r="Z153" s="59" t="s"/>
      <c r="AA153" s="59" t="s"/>
      <c r="AB153" s="59" t="s"/>
      <c r="AC153" s="60" t="s"/>
      <c r="AD153" s="59" t="s"/>
      <c r="AE153" s="59" t="s"/>
      <c r="AF153" s="59" t="s"/>
      <c r="AG153" s="59" t="s"/>
      <c r="AH153" s="59" t="s"/>
    </row>
    <row r="154" spans="1:34" ht="13.5">
      <c r="A154" s="57" t="s"/>
      <c r="B154" s="57" t="s"/>
      <c r="C154" s="57" t="s"/>
      <c r="D154" s="38" t="s"/>
      <c r="E154" s="57" t="s"/>
      <c r="F154" s="57" t="s"/>
      <c r="G154" s="57" t="s"/>
      <c r="H154" s="57" t="s"/>
      <c r="I154" s="57" t="s"/>
      <c r="J154" s="57" t="s"/>
      <c r="K154" s="57" t="s"/>
      <c r="L154" s="57" t="s"/>
      <c r="M154" s="57" t="s"/>
      <c r="N154" s="57" t="s"/>
      <c r="O154" s="57" t="s"/>
      <c r="P154" s="38" t="s"/>
      <c r="Q154" s="38" t="s"/>
      <c r="R154" s="57" t="s"/>
      <c r="S154" s="57" t="s"/>
      <c r="T154" s="60" t="s"/>
      <c r="U154" s="59" t="s"/>
      <c r="V154" s="57" t="s"/>
      <c r="W154" s="59" t="s"/>
      <c r="X154" s="59" t="s"/>
      <c r="Y154" s="59" t="s"/>
      <c r="Z154" s="59" t="s"/>
      <c r="AA154" s="59" t="s"/>
      <c r="AB154" s="59" t="s"/>
      <c r="AC154" s="60" t="s"/>
      <c r="AD154" s="59" t="s"/>
      <c r="AE154" s="59" t="s"/>
      <c r="AF154" s="59" t="s"/>
      <c r="AG154" s="59" t="s"/>
      <c r="AH154" s="59" t="s"/>
    </row>
    <row r="155" spans="1:34" ht="13.5">
      <c r="A155" s="57" t="s"/>
      <c r="B155" s="57" t="s"/>
      <c r="C155" s="57" t="s"/>
      <c r="D155" s="38" t="s"/>
      <c r="E155" s="57" t="s"/>
      <c r="F155" s="57" t="s"/>
      <c r="G155" s="57" t="s"/>
      <c r="H155" s="57" t="s"/>
      <c r="I155" s="57" t="s"/>
      <c r="J155" s="57" t="s"/>
      <c r="K155" s="57" t="s"/>
      <c r="L155" s="57" t="s"/>
      <c r="M155" s="57" t="s"/>
      <c r="N155" s="57" t="s"/>
      <c r="O155" s="57" t="s"/>
      <c r="P155" s="38" t="s"/>
      <c r="Q155" s="38" t="s"/>
      <c r="R155" s="57" t="s"/>
      <c r="S155" s="57" t="s"/>
      <c r="T155" s="60" t="s"/>
      <c r="U155" s="59" t="s"/>
      <c r="V155" s="57" t="s"/>
      <c r="W155" s="59" t="s"/>
      <c r="X155" s="59" t="s"/>
      <c r="Y155" s="59" t="s"/>
      <c r="Z155" s="59" t="s"/>
      <c r="AA155" s="59" t="s"/>
      <c r="AB155" s="59" t="s"/>
      <c r="AC155" s="60" t="s"/>
      <c r="AD155" s="59" t="s"/>
      <c r="AE155" s="59" t="s"/>
      <c r="AF155" s="59" t="s"/>
      <c r="AG155" s="59" t="s"/>
      <c r="AH155" s="59" t="s"/>
    </row>
    <row r="156" spans="1:34" ht="13.5">
      <c r="A156" s="57" t="s"/>
      <c r="B156" s="57" t="s"/>
      <c r="C156" s="57" t="s"/>
      <c r="D156" s="38" t="s"/>
      <c r="E156" s="57" t="s"/>
      <c r="F156" s="57" t="s"/>
      <c r="G156" s="57" t="s"/>
      <c r="H156" s="57" t="s"/>
      <c r="I156" s="57" t="s"/>
      <c r="J156" s="57" t="s"/>
      <c r="K156" s="57" t="s"/>
      <c r="L156" s="57" t="s"/>
      <c r="M156" s="57" t="s"/>
      <c r="N156" s="57" t="s"/>
      <c r="O156" s="57" t="s"/>
      <c r="P156" s="38" t="s"/>
      <c r="Q156" s="38" t="s"/>
      <c r="R156" s="57" t="s"/>
      <c r="S156" s="57" t="s"/>
      <c r="T156" s="60" t="s"/>
      <c r="U156" s="59" t="s"/>
      <c r="V156" s="57" t="s"/>
      <c r="W156" s="59" t="s"/>
      <c r="X156" s="59" t="s"/>
      <c r="Y156" s="59" t="s"/>
      <c r="Z156" s="59" t="s"/>
      <c r="AA156" s="59" t="s"/>
      <c r="AB156" s="59" t="s"/>
      <c r="AC156" s="60" t="s"/>
      <c r="AD156" s="59" t="s"/>
      <c r="AE156" s="59" t="s"/>
      <c r="AF156" s="59" t="s"/>
      <c r="AG156" s="59" t="s"/>
      <c r="AH156" s="59" t="s"/>
    </row>
    <row r="157" spans="1:34" ht="13.5">
      <c r="A157" s="57" t="s"/>
      <c r="B157" s="57" t="s"/>
      <c r="C157" s="57" t="s"/>
      <c r="D157" s="38" t="s"/>
      <c r="E157" s="57" t="s"/>
      <c r="F157" s="57" t="s"/>
      <c r="G157" s="57" t="s"/>
      <c r="H157" s="57" t="s"/>
      <c r="I157" s="57" t="s"/>
      <c r="J157" s="57" t="s"/>
      <c r="K157" s="57" t="s"/>
      <c r="L157" s="57" t="s"/>
      <c r="M157" s="57" t="s"/>
      <c r="N157" s="57" t="s"/>
      <c r="O157" s="57" t="s"/>
      <c r="P157" s="38" t="s"/>
      <c r="Q157" s="38" t="s"/>
      <c r="R157" s="57" t="s"/>
      <c r="S157" s="57" t="s"/>
      <c r="T157" s="60" t="s"/>
      <c r="U157" s="59" t="s"/>
      <c r="V157" s="57" t="s"/>
      <c r="W157" s="59" t="s"/>
      <c r="X157" s="59" t="s"/>
      <c r="Y157" s="59" t="s"/>
      <c r="Z157" s="59" t="s"/>
      <c r="AA157" s="59" t="s"/>
      <c r="AB157" s="59" t="s"/>
      <c r="AC157" s="60" t="s"/>
      <c r="AD157" s="59" t="s"/>
      <c r="AE157" s="59" t="s"/>
      <c r="AF157" s="59" t="s"/>
      <c r="AG157" s="59" t="s"/>
      <c r="AH157" s="59" t="s"/>
    </row>
    <row r="158" spans="1:34" ht="13.5">
      <c r="A158" s="57" t="s"/>
      <c r="B158" s="57" t="s"/>
      <c r="C158" s="57" t="s"/>
      <c r="D158" s="38" t="s"/>
      <c r="E158" s="57" t="s"/>
      <c r="F158" s="57" t="s"/>
      <c r="G158" s="57" t="s"/>
      <c r="H158" s="57" t="s"/>
      <c r="I158" s="57" t="s"/>
      <c r="J158" s="57" t="s"/>
      <c r="K158" s="57" t="s"/>
      <c r="L158" s="57" t="s"/>
      <c r="M158" s="57" t="s"/>
      <c r="N158" s="57" t="s"/>
      <c r="O158" s="57" t="s"/>
      <c r="P158" s="38" t="s"/>
      <c r="Q158" s="38" t="s"/>
      <c r="R158" s="57" t="s"/>
      <c r="S158" s="57" t="s"/>
      <c r="T158" s="60" t="s"/>
      <c r="U158" s="59" t="s"/>
      <c r="V158" s="57" t="s"/>
      <c r="W158" s="59" t="s"/>
      <c r="X158" s="59" t="s"/>
      <c r="Y158" s="59" t="s"/>
      <c r="Z158" s="59" t="s"/>
      <c r="AA158" s="59" t="s"/>
      <c r="AB158" s="59" t="s"/>
      <c r="AC158" s="60" t="s"/>
      <c r="AD158" s="59" t="s"/>
      <c r="AE158" s="59" t="s"/>
      <c r="AF158" s="59" t="s"/>
      <c r="AG158" s="59" t="s"/>
      <c r="AH158" s="59" t="s"/>
    </row>
    <row r="159" spans="1:34" ht="13.5">
      <c r="A159" s="57" t="s"/>
      <c r="B159" s="57" t="s"/>
      <c r="C159" s="57" t="s"/>
      <c r="D159" s="38" t="s"/>
      <c r="E159" s="57" t="s"/>
      <c r="F159" s="57" t="s"/>
      <c r="G159" s="57" t="s"/>
      <c r="H159" s="57" t="s"/>
      <c r="I159" s="57" t="s"/>
      <c r="J159" s="57" t="s"/>
      <c r="K159" s="57" t="s"/>
      <c r="L159" s="57" t="s"/>
      <c r="M159" s="57" t="s"/>
      <c r="N159" s="57" t="s"/>
      <c r="O159" s="57" t="s"/>
      <c r="P159" s="38" t="s"/>
      <c r="Q159" s="38" t="s"/>
      <c r="R159" s="57" t="s"/>
      <c r="S159" s="57" t="s"/>
      <c r="T159" s="60" t="s"/>
      <c r="U159" s="59" t="s"/>
      <c r="V159" s="57" t="s"/>
      <c r="W159" s="59" t="s"/>
      <c r="X159" s="59" t="s"/>
      <c r="Y159" s="59" t="s"/>
      <c r="Z159" s="59" t="s"/>
      <c r="AA159" s="59" t="s"/>
      <c r="AB159" s="59" t="s"/>
      <c r="AC159" s="60" t="s"/>
      <c r="AD159" s="59" t="s"/>
      <c r="AE159" s="59" t="s"/>
      <c r="AF159" s="59" t="s"/>
      <c r="AG159" s="59" t="s"/>
      <c r="AH159" s="59" t="s"/>
    </row>
    <row r="160" spans="1:34" ht="13.5">
      <c r="A160" s="57" t="s"/>
      <c r="B160" s="57" t="s"/>
      <c r="C160" s="57" t="s"/>
      <c r="D160" s="38" t="s"/>
      <c r="E160" s="57" t="s"/>
      <c r="F160" s="57" t="s"/>
      <c r="G160" s="57" t="s"/>
      <c r="H160" s="57" t="s"/>
      <c r="I160" s="57" t="s"/>
      <c r="J160" s="57" t="s"/>
      <c r="K160" s="57" t="s"/>
      <c r="L160" s="57" t="s"/>
      <c r="M160" s="57" t="s"/>
      <c r="N160" s="57" t="s"/>
      <c r="O160" s="57" t="s"/>
      <c r="P160" s="38" t="s"/>
      <c r="Q160" s="38" t="s"/>
      <c r="R160" s="57" t="s"/>
      <c r="S160" s="57" t="s"/>
      <c r="T160" s="60" t="s"/>
      <c r="U160" s="59" t="s"/>
      <c r="V160" s="57" t="s"/>
      <c r="W160" s="59" t="s"/>
      <c r="X160" s="59" t="s"/>
      <c r="Y160" s="59" t="s"/>
      <c r="Z160" s="59" t="s"/>
      <c r="AA160" s="59" t="s"/>
      <c r="AB160" s="59" t="s"/>
      <c r="AC160" s="60" t="s"/>
      <c r="AD160" s="59" t="s"/>
      <c r="AE160" s="59" t="s"/>
      <c r="AF160" s="59" t="s"/>
      <c r="AG160" s="59" t="s"/>
      <c r="AH160" s="59" t="s"/>
    </row>
    <row r="161" spans="1:34" ht="13.5">
      <c r="A161" s="57" t="s"/>
      <c r="B161" s="57" t="s"/>
      <c r="C161" s="57" t="s"/>
      <c r="D161" s="38" t="s"/>
      <c r="E161" s="57" t="s"/>
      <c r="F161" s="57" t="s"/>
      <c r="G161" s="57" t="s"/>
      <c r="H161" s="57" t="s"/>
      <c r="I161" s="57" t="s"/>
      <c r="J161" s="57" t="s"/>
      <c r="K161" s="57" t="s"/>
      <c r="L161" s="57" t="s"/>
      <c r="M161" s="57" t="s"/>
      <c r="N161" s="57" t="s"/>
      <c r="O161" s="57" t="s"/>
      <c r="P161" s="38" t="s"/>
      <c r="Q161" s="38" t="s"/>
      <c r="R161" s="57" t="s"/>
      <c r="S161" s="57" t="s"/>
      <c r="T161" s="60" t="s"/>
      <c r="U161" s="59" t="s"/>
      <c r="V161" s="57" t="s"/>
      <c r="W161" s="59" t="s"/>
      <c r="X161" s="59" t="s"/>
      <c r="Y161" s="59" t="s"/>
      <c r="Z161" s="59" t="s"/>
      <c r="AA161" s="59" t="s"/>
      <c r="AB161" s="59" t="s"/>
      <c r="AC161" s="60" t="s"/>
      <c r="AD161" s="59" t="s"/>
      <c r="AE161" s="59" t="s"/>
      <c r="AF161" s="59" t="s"/>
      <c r="AG161" s="59" t="s"/>
      <c r="AH161" s="59" t="s"/>
    </row>
    <row r="162" spans="1:34" ht="13.5">
      <c r="A162" s="57" t="s"/>
      <c r="B162" s="57" t="s"/>
      <c r="C162" s="57" t="s"/>
      <c r="D162" s="38" t="s"/>
      <c r="E162" s="57" t="s"/>
      <c r="F162" s="57" t="s"/>
      <c r="G162" s="57" t="s"/>
      <c r="H162" s="57" t="s"/>
      <c r="I162" s="57" t="s"/>
      <c r="J162" s="57" t="s"/>
      <c r="K162" s="57" t="s"/>
      <c r="L162" s="57" t="s"/>
      <c r="M162" s="57" t="s"/>
      <c r="N162" s="57" t="s"/>
      <c r="O162" s="57" t="s"/>
      <c r="P162" s="38" t="s"/>
      <c r="Q162" s="38" t="s"/>
      <c r="R162" s="57" t="s"/>
      <c r="S162" s="57" t="s"/>
      <c r="T162" s="60" t="s"/>
      <c r="U162" s="59" t="s"/>
      <c r="V162" s="57" t="s"/>
      <c r="W162" s="59" t="s"/>
      <c r="X162" s="59" t="s"/>
      <c r="Y162" s="59" t="s"/>
      <c r="Z162" s="59" t="s"/>
      <c r="AA162" s="59" t="s"/>
      <c r="AB162" s="59" t="s"/>
      <c r="AC162" s="60" t="s"/>
      <c r="AD162" s="59" t="s"/>
      <c r="AE162" s="59" t="s"/>
      <c r="AF162" s="59" t="s"/>
      <c r="AG162" s="59" t="s"/>
      <c r="AH162" s="59" t="s"/>
    </row>
    <row r="163" spans="1:34" ht="13.5">
      <c r="A163" s="57" t="s"/>
      <c r="B163" s="57" t="s"/>
      <c r="C163" s="57" t="s"/>
      <c r="D163" s="38" t="s"/>
      <c r="E163" s="57" t="s"/>
      <c r="F163" s="57" t="s"/>
      <c r="G163" s="57" t="s"/>
      <c r="H163" s="57" t="s"/>
      <c r="I163" s="57" t="s"/>
      <c r="J163" s="57" t="s"/>
      <c r="K163" s="57" t="s"/>
      <c r="L163" s="57" t="s"/>
      <c r="M163" s="57" t="s"/>
      <c r="N163" s="57" t="s"/>
      <c r="O163" s="57" t="s"/>
      <c r="P163" s="38" t="s"/>
      <c r="Q163" s="38" t="s"/>
      <c r="R163" s="57" t="s"/>
      <c r="S163" s="57" t="s"/>
      <c r="T163" s="60" t="s"/>
      <c r="U163" s="59" t="s"/>
      <c r="V163" s="57" t="s"/>
      <c r="W163" s="59" t="s"/>
      <c r="X163" s="59" t="s"/>
      <c r="Y163" s="59" t="s"/>
      <c r="Z163" s="59" t="s"/>
      <c r="AA163" s="59" t="s"/>
      <c r="AB163" s="59" t="s"/>
      <c r="AC163" s="60" t="s"/>
      <c r="AD163" s="59" t="s"/>
      <c r="AE163" s="59" t="s"/>
      <c r="AF163" s="59" t="s"/>
      <c r="AG163" s="59" t="s"/>
      <c r="AH163" s="59" t="s"/>
    </row>
    <row r="164" spans="1:34" ht="13.5">
      <c r="A164" s="57" t="s"/>
      <c r="B164" s="57" t="s"/>
      <c r="C164" s="57" t="s"/>
      <c r="D164" s="38" t="s"/>
      <c r="E164" s="57" t="s"/>
      <c r="F164" s="57" t="s"/>
      <c r="G164" s="57" t="s"/>
      <c r="H164" s="57" t="s"/>
      <c r="I164" s="57" t="s"/>
      <c r="J164" s="57" t="s"/>
      <c r="K164" s="57" t="s"/>
      <c r="L164" s="57" t="s"/>
      <c r="M164" s="57" t="s"/>
      <c r="N164" s="57" t="s"/>
      <c r="O164" s="57" t="s"/>
      <c r="P164" s="38" t="s"/>
      <c r="Q164" s="38" t="s"/>
      <c r="R164" s="57" t="s"/>
      <c r="S164" s="57" t="s"/>
      <c r="T164" s="60" t="s"/>
      <c r="U164" s="59" t="s"/>
      <c r="V164" s="57" t="s"/>
      <c r="W164" s="59" t="s"/>
      <c r="X164" s="59" t="s"/>
      <c r="Y164" s="59" t="s"/>
      <c r="Z164" s="59" t="s"/>
      <c r="AA164" s="59" t="s"/>
      <c r="AB164" s="59" t="s"/>
      <c r="AC164" s="60" t="s"/>
      <c r="AD164" s="59" t="s"/>
      <c r="AE164" s="59" t="s"/>
      <c r="AF164" s="59" t="s"/>
      <c r="AG164" s="59" t="s"/>
      <c r="AH164" s="59" t="s"/>
    </row>
    <row r="165" spans="1:34" ht="13.5">
      <c r="A165" s="57" t="s"/>
      <c r="B165" s="57" t="s"/>
      <c r="C165" s="57" t="s"/>
      <c r="D165" s="38" t="s"/>
      <c r="E165" s="57" t="s"/>
      <c r="F165" s="57" t="s"/>
      <c r="G165" s="57" t="s"/>
      <c r="H165" s="57" t="s"/>
      <c r="I165" s="57" t="s"/>
      <c r="J165" s="57" t="s"/>
      <c r="K165" s="57" t="s"/>
      <c r="L165" s="57" t="s"/>
      <c r="M165" s="57" t="s"/>
      <c r="N165" s="57" t="s"/>
      <c r="O165" s="57" t="s"/>
      <c r="P165" s="38" t="s"/>
      <c r="Q165" s="38" t="s"/>
      <c r="R165" s="57" t="s"/>
      <c r="S165" s="57" t="s"/>
      <c r="T165" s="60" t="s"/>
      <c r="U165" s="59" t="s"/>
      <c r="V165" s="57" t="s"/>
      <c r="W165" s="59" t="s"/>
      <c r="X165" s="59" t="s"/>
      <c r="Y165" s="59" t="s"/>
      <c r="Z165" s="59" t="s"/>
      <c r="AA165" s="59" t="s"/>
      <c r="AB165" s="59" t="s"/>
      <c r="AC165" s="60" t="s"/>
      <c r="AD165" s="59" t="s"/>
      <c r="AE165" s="59" t="s"/>
      <c r="AF165" s="59" t="s"/>
      <c r="AG165" s="59" t="s"/>
      <c r="AH165" s="59" t="s"/>
    </row>
    <row r="166" spans="1:34" ht="13.5">
      <c r="A166" s="57" t="s"/>
      <c r="B166" s="57" t="s"/>
      <c r="C166" s="57" t="s"/>
      <c r="D166" s="38" t="s"/>
      <c r="E166" s="57" t="s"/>
      <c r="F166" s="57" t="s"/>
      <c r="G166" s="57" t="s"/>
      <c r="H166" s="57" t="s"/>
      <c r="I166" s="57" t="s"/>
      <c r="J166" s="57" t="s"/>
      <c r="K166" s="57" t="s"/>
      <c r="L166" s="57" t="s"/>
      <c r="M166" s="57" t="s"/>
      <c r="N166" s="57" t="s"/>
      <c r="O166" s="57" t="s"/>
      <c r="P166" s="38" t="s"/>
      <c r="Q166" s="38" t="s"/>
      <c r="R166" s="57" t="s"/>
      <c r="S166" s="57" t="s"/>
      <c r="T166" s="60" t="s"/>
      <c r="U166" s="59" t="s"/>
      <c r="V166" s="57" t="s"/>
      <c r="W166" s="59" t="s"/>
      <c r="X166" s="59" t="s"/>
      <c r="Y166" s="59" t="s"/>
      <c r="Z166" s="59" t="s"/>
      <c r="AA166" s="59" t="s"/>
      <c r="AB166" s="59" t="s"/>
      <c r="AC166" s="60" t="s"/>
      <c r="AD166" s="59" t="s"/>
      <c r="AE166" s="59" t="s"/>
      <c r="AF166" s="59" t="s"/>
      <c r="AG166" s="59" t="s"/>
      <c r="AH166" s="59" t="s"/>
    </row>
    <row r="167" spans="1:34" ht="13.5">
      <c r="A167" s="57" t="s"/>
      <c r="B167" s="57" t="s"/>
      <c r="C167" s="57" t="s"/>
      <c r="D167" s="38" t="s"/>
      <c r="E167" s="57" t="s"/>
      <c r="F167" s="57" t="s"/>
      <c r="G167" s="57" t="s"/>
      <c r="H167" s="57" t="s"/>
      <c r="I167" s="57" t="s"/>
      <c r="J167" s="57" t="s"/>
      <c r="K167" s="57" t="s"/>
      <c r="L167" s="57" t="s"/>
      <c r="M167" s="57" t="s"/>
      <c r="N167" s="57" t="s"/>
      <c r="O167" s="57" t="s"/>
      <c r="P167" s="38" t="s"/>
      <c r="Q167" s="38" t="s"/>
      <c r="R167" s="57" t="s"/>
      <c r="S167" s="57" t="s"/>
      <c r="T167" s="60" t="s"/>
      <c r="U167" s="59" t="s"/>
      <c r="V167" s="57" t="s"/>
      <c r="W167" s="59" t="s"/>
      <c r="X167" s="59" t="s"/>
      <c r="Y167" s="59" t="s"/>
      <c r="Z167" s="59" t="s"/>
      <c r="AA167" s="59" t="s"/>
      <c r="AB167" s="59" t="s"/>
      <c r="AC167" s="60" t="s"/>
      <c r="AD167" s="59" t="s"/>
      <c r="AE167" s="59" t="s"/>
      <c r="AF167" s="59" t="s"/>
      <c r="AG167" s="59" t="s"/>
      <c r="AH167" s="59" t="s"/>
    </row>
    <row r="168" spans="1:34" ht="13.5">
      <c r="A168" s="57" t="s"/>
      <c r="B168" s="57" t="s"/>
      <c r="C168" s="57" t="s"/>
      <c r="D168" s="38" t="s"/>
      <c r="E168" s="57" t="s"/>
      <c r="F168" s="57" t="s"/>
      <c r="G168" s="57" t="s"/>
      <c r="H168" s="57" t="s"/>
      <c r="I168" s="57" t="s"/>
      <c r="J168" s="57" t="s"/>
      <c r="K168" s="57" t="s"/>
      <c r="L168" s="57" t="s"/>
      <c r="M168" s="57" t="s"/>
      <c r="N168" s="57" t="s"/>
      <c r="O168" s="57" t="s"/>
      <c r="P168" s="38" t="s"/>
      <c r="Q168" s="38" t="s"/>
      <c r="R168" s="57" t="s"/>
      <c r="S168" s="57" t="s"/>
      <c r="T168" s="60" t="s"/>
      <c r="U168" s="59" t="s"/>
      <c r="V168" s="57" t="s"/>
      <c r="W168" s="59" t="s"/>
      <c r="X168" s="59" t="s"/>
      <c r="Y168" s="59" t="s"/>
      <c r="Z168" s="59" t="s"/>
      <c r="AA168" s="59" t="s"/>
      <c r="AB168" s="59" t="s"/>
      <c r="AC168" s="60" t="s"/>
      <c r="AD168" s="59" t="s"/>
      <c r="AE168" s="59" t="s"/>
      <c r="AF168" s="59" t="s"/>
      <c r="AG168" s="59" t="s"/>
      <c r="AH168" s="59" t="s"/>
    </row>
    <row r="169" spans="1:34" ht="13.5">
      <c r="A169" s="57" t="s"/>
      <c r="B169" s="57" t="s"/>
      <c r="C169" s="57" t="s"/>
      <c r="D169" s="38" t="s"/>
      <c r="E169" s="57" t="s"/>
      <c r="F169" s="57" t="s"/>
      <c r="G169" s="57" t="s"/>
      <c r="H169" s="57" t="s"/>
      <c r="I169" s="57" t="s"/>
      <c r="J169" s="57" t="s"/>
      <c r="K169" s="57" t="s"/>
      <c r="L169" s="57" t="s"/>
      <c r="M169" s="57" t="s"/>
      <c r="N169" s="57" t="s"/>
      <c r="O169" s="57" t="s"/>
      <c r="P169" s="38" t="s"/>
      <c r="Q169" s="38" t="s"/>
      <c r="R169" s="57" t="s"/>
      <c r="S169" s="57" t="s"/>
      <c r="T169" s="60" t="s"/>
      <c r="U169" s="59" t="s"/>
      <c r="V169" s="57" t="s"/>
      <c r="W169" s="59" t="s"/>
      <c r="X169" s="59" t="s"/>
      <c r="Y169" s="59" t="s"/>
      <c r="Z169" s="59" t="s"/>
      <c r="AA169" s="59" t="s"/>
      <c r="AB169" s="59" t="s"/>
      <c r="AC169" s="60" t="s"/>
      <c r="AD169" s="59" t="s"/>
      <c r="AE169" s="59" t="s"/>
      <c r="AF169" s="59" t="s"/>
      <c r="AG169" s="59" t="s"/>
      <c r="AH169" s="59" t="s"/>
    </row>
    <row r="170" spans="1:34" ht="13.5">
      <c r="A170" s="57" t="s"/>
      <c r="B170" s="57" t="s"/>
      <c r="C170" s="57" t="s"/>
      <c r="D170" s="38" t="s"/>
      <c r="E170" s="57" t="s"/>
      <c r="F170" s="57" t="s"/>
      <c r="G170" s="57" t="s"/>
      <c r="H170" s="57" t="s"/>
      <c r="I170" s="57" t="s"/>
      <c r="J170" s="57" t="s"/>
      <c r="K170" s="57" t="s"/>
      <c r="L170" s="57" t="s"/>
      <c r="M170" s="57" t="s"/>
      <c r="N170" s="57" t="s"/>
      <c r="O170" s="57" t="s"/>
      <c r="P170" s="38" t="s"/>
      <c r="Q170" s="38" t="s"/>
      <c r="R170" s="57" t="s"/>
      <c r="S170" s="57" t="s"/>
      <c r="T170" s="60" t="s"/>
      <c r="U170" s="59" t="s"/>
      <c r="V170" s="57" t="s"/>
      <c r="W170" s="59" t="s"/>
      <c r="X170" s="59" t="s"/>
      <c r="Y170" s="59" t="s"/>
      <c r="Z170" s="59" t="s"/>
      <c r="AA170" s="59" t="s"/>
      <c r="AB170" s="59" t="s"/>
      <c r="AC170" s="60" t="s"/>
      <c r="AD170" s="59" t="s"/>
      <c r="AE170" s="59" t="s"/>
      <c r="AF170" s="59" t="s"/>
      <c r="AG170" s="59" t="s"/>
      <c r="AH170" s="59" t="s"/>
    </row>
    <row r="171" spans="1:34" ht="13.5">
      <c r="A171" s="57" t="s"/>
      <c r="B171" s="57" t="s"/>
      <c r="C171" s="57" t="s"/>
      <c r="D171" s="38" t="s"/>
      <c r="E171" s="57" t="s"/>
      <c r="F171" s="57" t="s"/>
      <c r="G171" s="57" t="s"/>
      <c r="H171" s="57" t="s"/>
      <c r="I171" s="57" t="s"/>
      <c r="J171" s="57" t="s"/>
      <c r="K171" s="57" t="s"/>
      <c r="L171" s="57" t="s"/>
      <c r="M171" s="57" t="s"/>
      <c r="N171" s="57" t="s"/>
      <c r="O171" s="57" t="s"/>
      <c r="P171" s="38" t="s"/>
      <c r="Q171" s="38" t="s"/>
      <c r="R171" s="57" t="s"/>
      <c r="S171" s="57" t="s"/>
      <c r="T171" s="60" t="s"/>
      <c r="U171" s="59" t="s"/>
      <c r="V171" s="57" t="s"/>
      <c r="W171" s="59" t="s"/>
      <c r="X171" s="59" t="s"/>
      <c r="Y171" s="59" t="s"/>
      <c r="Z171" s="59" t="s"/>
      <c r="AA171" s="59" t="s"/>
      <c r="AB171" s="59" t="s"/>
      <c r="AC171" s="60" t="s"/>
      <c r="AD171" s="59" t="s"/>
      <c r="AE171" s="59" t="s"/>
      <c r="AF171" s="59" t="s"/>
      <c r="AG171" s="59" t="s"/>
      <c r="AH171" s="59" t="s"/>
    </row>
    <row r="172" spans="1:34" ht="13.5">
      <c r="A172" s="57" t="s"/>
      <c r="B172" s="57" t="s"/>
      <c r="C172" s="57" t="s"/>
      <c r="D172" s="38" t="s"/>
      <c r="E172" s="57" t="s"/>
      <c r="F172" s="57" t="s"/>
      <c r="G172" s="57" t="s"/>
      <c r="H172" s="57" t="s"/>
      <c r="I172" s="57" t="s"/>
      <c r="J172" s="57" t="s"/>
      <c r="K172" s="57" t="s"/>
      <c r="L172" s="57" t="s"/>
      <c r="M172" s="57" t="s"/>
      <c r="N172" s="57" t="s"/>
      <c r="O172" s="57" t="s"/>
      <c r="P172" s="38" t="s"/>
      <c r="Q172" s="38" t="s"/>
      <c r="R172" s="57" t="s"/>
      <c r="S172" s="57" t="s"/>
      <c r="T172" s="60" t="s"/>
      <c r="U172" s="59" t="s"/>
      <c r="V172" s="57" t="s"/>
      <c r="W172" s="59" t="s"/>
      <c r="X172" s="59" t="s"/>
      <c r="Y172" s="59" t="s"/>
      <c r="Z172" s="59" t="s"/>
      <c r="AA172" s="59" t="s"/>
      <c r="AB172" s="59" t="s"/>
      <c r="AC172" s="60" t="s"/>
      <c r="AD172" s="59" t="s"/>
      <c r="AE172" s="59" t="s"/>
      <c r="AF172" s="59" t="s"/>
      <c r="AG172" s="59" t="s"/>
      <c r="AH172" s="59" t="s"/>
    </row>
    <row r="173" spans="1:34" ht="13.5">
      <c r="A173" s="57" t="s"/>
      <c r="B173" s="57" t="s"/>
      <c r="C173" s="57" t="s"/>
      <c r="D173" s="38" t="s"/>
      <c r="E173" s="57" t="s"/>
      <c r="F173" s="57" t="s"/>
      <c r="G173" s="57" t="s"/>
      <c r="H173" s="57" t="s"/>
      <c r="I173" s="57" t="s"/>
      <c r="J173" s="57" t="s"/>
      <c r="K173" s="57" t="s"/>
      <c r="L173" s="57" t="s"/>
      <c r="M173" s="57" t="s"/>
      <c r="N173" s="57" t="s"/>
      <c r="O173" s="57" t="s"/>
      <c r="P173" s="38" t="s"/>
      <c r="Q173" s="38" t="s"/>
      <c r="R173" s="57" t="s"/>
      <c r="S173" s="57" t="s"/>
      <c r="T173" s="60" t="s"/>
      <c r="U173" s="59" t="s"/>
      <c r="V173" s="57" t="s"/>
      <c r="W173" s="59" t="s"/>
      <c r="X173" s="59" t="s"/>
      <c r="Y173" s="59" t="s"/>
      <c r="Z173" s="59" t="s"/>
      <c r="AA173" s="59" t="s"/>
      <c r="AB173" s="59" t="s"/>
      <c r="AC173" s="60" t="s"/>
      <c r="AD173" s="59" t="s"/>
      <c r="AE173" s="59" t="s"/>
      <c r="AF173" s="59" t="s"/>
      <c r="AG173" s="59" t="s"/>
      <c r="AH173" s="59" t="s"/>
    </row>
    <row r="174" spans="1:34" ht="13.5">
      <c r="A174" s="57" t="s"/>
      <c r="B174" s="57" t="s"/>
      <c r="C174" s="57" t="s"/>
      <c r="D174" s="38" t="s"/>
      <c r="E174" s="57" t="s"/>
      <c r="F174" s="57" t="s"/>
      <c r="G174" s="57" t="s"/>
      <c r="H174" s="57" t="s"/>
      <c r="I174" s="57" t="s"/>
      <c r="J174" s="57" t="s"/>
      <c r="K174" s="57" t="s"/>
      <c r="L174" s="57" t="s"/>
      <c r="M174" s="57" t="s"/>
      <c r="N174" s="57" t="s"/>
      <c r="O174" s="57" t="s"/>
      <c r="P174" s="38" t="s"/>
      <c r="Q174" s="38" t="s"/>
      <c r="R174" s="57" t="s"/>
      <c r="S174" s="57" t="s"/>
      <c r="T174" s="60" t="s"/>
      <c r="U174" s="59" t="s"/>
      <c r="V174" s="57" t="s"/>
      <c r="W174" s="59" t="s"/>
      <c r="X174" s="59" t="s"/>
      <c r="Y174" s="59" t="s"/>
      <c r="Z174" s="59" t="s"/>
      <c r="AA174" s="59" t="s"/>
      <c r="AB174" s="59" t="s"/>
      <c r="AC174" s="60" t="s"/>
      <c r="AD174" s="59" t="s"/>
      <c r="AE174" s="59" t="s"/>
      <c r="AF174" s="59" t="s"/>
      <c r="AG174" s="59" t="s"/>
      <c r="AH174" s="59" t="s"/>
    </row>
    <row r="175" spans="1:34" ht="13.5">
      <c r="A175" s="57" t="s"/>
      <c r="B175" s="57" t="s"/>
      <c r="C175" s="57" t="s"/>
      <c r="D175" s="38" t="s"/>
      <c r="E175" s="57" t="s"/>
      <c r="F175" s="57" t="s"/>
      <c r="G175" s="57" t="s"/>
      <c r="H175" s="57" t="s"/>
      <c r="I175" s="57" t="s"/>
      <c r="J175" s="57" t="s"/>
      <c r="K175" s="57" t="s"/>
      <c r="L175" s="57" t="s"/>
      <c r="M175" s="57" t="s"/>
      <c r="N175" s="57" t="s"/>
      <c r="O175" s="57" t="s"/>
      <c r="P175" s="38" t="s"/>
      <c r="Q175" s="38" t="s"/>
      <c r="R175" s="57" t="s"/>
      <c r="S175" s="57" t="s"/>
      <c r="T175" s="60" t="s"/>
      <c r="U175" s="59" t="s"/>
      <c r="V175" s="57" t="s"/>
      <c r="W175" s="59" t="s"/>
      <c r="X175" s="59" t="s"/>
      <c r="Y175" s="59" t="s"/>
      <c r="Z175" s="59" t="s"/>
      <c r="AA175" s="59" t="s"/>
      <c r="AB175" s="59" t="s"/>
      <c r="AC175" s="60" t="s"/>
      <c r="AD175" s="59" t="s"/>
      <c r="AE175" s="59" t="s"/>
      <c r="AF175" s="59" t="s"/>
      <c r="AG175" s="59" t="s"/>
      <c r="AH175" s="59" t="s"/>
    </row>
    <row r="176" spans="1:34" ht="13.5">
      <c r="A176" s="57" t="s"/>
      <c r="B176" s="57" t="s"/>
      <c r="C176" s="57" t="s"/>
      <c r="D176" s="38" t="s"/>
      <c r="E176" s="57" t="s"/>
      <c r="F176" s="57" t="s"/>
      <c r="G176" s="57" t="s"/>
      <c r="H176" s="57" t="s"/>
      <c r="I176" s="57" t="s"/>
      <c r="J176" s="57" t="s"/>
      <c r="K176" s="57" t="s"/>
      <c r="L176" s="57" t="s"/>
      <c r="M176" s="57" t="s"/>
      <c r="N176" s="57" t="s"/>
      <c r="O176" s="57" t="s"/>
      <c r="P176" s="38" t="s"/>
      <c r="Q176" s="38" t="s"/>
      <c r="R176" s="57" t="s"/>
      <c r="S176" s="57" t="s"/>
      <c r="T176" s="60" t="s"/>
      <c r="U176" s="59" t="s"/>
      <c r="V176" s="57" t="s"/>
      <c r="W176" s="59" t="s"/>
      <c r="X176" s="59" t="s"/>
      <c r="Y176" s="59" t="s"/>
      <c r="Z176" s="59" t="s"/>
      <c r="AA176" s="59" t="s"/>
      <c r="AB176" s="59" t="s"/>
      <c r="AC176" s="60" t="s"/>
      <c r="AD176" s="59" t="s"/>
      <c r="AE176" s="59" t="s"/>
      <c r="AF176" s="59" t="s"/>
      <c r="AG176" s="59" t="s"/>
      <c r="AH176" s="59" t="s"/>
    </row>
    <row r="177" spans="1:34" ht="13.5">
      <c r="A177" s="57" t="s"/>
      <c r="B177" s="57" t="s"/>
      <c r="C177" s="57" t="s"/>
      <c r="D177" s="38" t="s"/>
      <c r="E177" s="57" t="s"/>
      <c r="F177" s="57" t="s"/>
      <c r="G177" s="57" t="s"/>
      <c r="H177" s="57" t="s"/>
      <c r="I177" s="57" t="s"/>
      <c r="J177" s="57" t="s"/>
      <c r="K177" s="57" t="s"/>
      <c r="L177" s="57" t="s"/>
      <c r="M177" s="57" t="s"/>
      <c r="N177" s="57" t="s"/>
      <c r="O177" s="57" t="s"/>
      <c r="P177" s="38" t="s"/>
      <c r="Q177" s="38" t="s"/>
      <c r="R177" s="57" t="s"/>
      <c r="S177" s="57" t="s"/>
      <c r="T177" s="60" t="s"/>
      <c r="U177" s="59" t="s"/>
      <c r="V177" s="57" t="s"/>
      <c r="W177" s="59" t="s"/>
      <c r="X177" s="59" t="s"/>
      <c r="Y177" s="59" t="s"/>
      <c r="Z177" s="59" t="s"/>
      <c r="AA177" s="59" t="s"/>
      <c r="AB177" s="59" t="s"/>
      <c r="AC177" s="60" t="s"/>
      <c r="AD177" s="59" t="s"/>
      <c r="AE177" s="59" t="s"/>
      <c r="AF177" s="59" t="s"/>
      <c r="AG177" s="59" t="s"/>
      <c r="AH177" s="59" t="s"/>
    </row>
    <row r="178" spans="1:34" ht="13.5">
      <c r="A178" s="57" t="s"/>
      <c r="B178" s="57" t="s"/>
      <c r="C178" s="57" t="s"/>
      <c r="D178" s="38" t="s"/>
      <c r="E178" s="57" t="s"/>
      <c r="F178" s="57" t="s"/>
      <c r="G178" s="57" t="s"/>
      <c r="H178" s="57" t="s"/>
      <c r="I178" s="57" t="s"/>
      <c r="J178" s="57" t="s"/>
      <c r="K178" s="57" t="s"/>
      <c r="L178" s="57" t="s"/>
      <c r="M178" s="57" t="s"/>
      <c r="N178" s="57" t="s"/>
      <c r="O178" s="57" t="s"/>
      <c r="P178" s="38" t="s"/>
      <c r="Q178" s="38" t="s"/>
      <c r="R178" s="57" t="s"/>
      <c r="S178" s="57" t="s"/>
      <c r="T178" s="60" t="s"/>
      <c r="U178" s="59" t="s"/>
      <c r="V178" s="57" t="s"/>
      <c r="W178" s="59" t="s"/>
      <c r="X178" s="59" t="s"/>
      <c r="Y178" s="59" t="s"/>
      <c r="Z178" s="59" t="s"/>
      <c r="AA178" s="59" t="s"/>
      <c r="AB178" s="59" t="s"/>
      <c r="AC178" s="60" t="s"/>
      <c r="AD178" s="59" t="s"/>
      <c r="AE178" s="59" t="s"/>
      <c r="AF178" s="59" t="s"/>
      <c r="AG178" s="59" t="s"/>
      <c r="AH178" s="59" t="s"/>
    </row>
    <row r="179" spans="1:34" ht="13.5">
      <c r="A179" s="57" t="s"/>
      <c r="B179" s="57" t="s"/>
      <c r="C179" s="57" t="s"/>
      <c r="D179" s="38" t="s"/>
      <c r="E179" s="57" t="s"/>
      <c r="F179" s="57" t="s"/>
      <c r="G179" s="57" t="s"/>
      <c r="H179" s="57" t="s"/>
      <c r="I179" s="57" t="s"/>
      <c r="J179" s="57" t="s"/>
      <c r="K179" s="57" t="s"/>
      <c r="L179" s="57" t="s"/>
      <c r="M179" s="57" t="s"/>
      <c r="N179" s="57" t="s"/>
      <c r="O179" s="57" t="s"/>
      <c r="P179" s="38" t="s"/>
      <c r="Q179" s="38" t="s"/>
      <c r="R179" s="57" t="s"/>
      <c r="S179" s="57" t="s"/>
      <c r="T179" s="60" t="s"/>
      <c r="U179" s="59" t="s"/>
      <c r="V179" s="57" t="s"/>
      <c r="W179" s="59" t="s"/>
      <c r="X179" s="59" t="s"/>
      <c r="Y179" s="59" t="s"/>
      <c r="Z179" s="59" t="s"/>
      <c r="AA179" s="59" t="s"/>
      <c r="AB179" s="59" t="s"/>
      <c r="AC179" s="60" t="s"/>
      <c r="AD179" s="59" t="s"/>
      <c r="AE179" s="59" t="s"/>
      <c r="AF179" s="59" t="s"/>
      <c r="AG179" s="59" t="s"/>
      <c r="AH179" s="59" t="s"/>
    </row>
    <row r="180" spans="1:34" ht="13.5">
      <c r="A180" s="57" t="s"/>
      <c r="B180" s="57" t="s"/>
      <c r="C180" s="57" t="s"/>
      <c r="D180" s="38" t="s"/>
      <c r="E180" s="57" t="s"/>
      <c r="F180" s="57" t="s"/>
      <c r="G180" s="57" t="s"/>
      <c r="H180" s="57" t="s"/>
      <c r="I180" s="57" t="s"/>
      <c r="J180" s="57" t="s"/>
      <c r="K180" s="57" t="s"/>
      <c r="L180" s="57" t="s"/>
      <c r="M180" s="57" t="s"/>
      <c r="N180" s="57" t="s"/>
      <c r="O180" s="57" t="s"/>
      <c r="P180" s="38" t="s"/>
      <c r="Q180" s="38" t="s"/>
      <c r="R180" s="57" t="s"/>
      <c r="S180" s="57" t="s"/>
      <c r="T180" s="60" t="s"/>
      <c r="U180" s="59" t="s"/>
      <c r="V180" s="57" t="s"/>
      <c r="W180" s="59" t="s"/>
      <c r="X180" s="59" t="s"/>
      <c r="Y180" s="59" t="s"/>
      <c r="Z180" s="59" t="s"/>
      <c r="AA180" s="59" t="s"/>
      <c r="AB180" s="59" t="s"/>
      <c r="AC180" s="60" t="s"/>
      <c r="AD180" s="59" t="s"/>
      <c r="AE180" s="59" t="s"/>
      <c r="AF180" s="59" t="s"/>
      <c r="AG180" s="59" t="s"/>
      <c r="AH180" s="59" t="s"/>
    </row>
    <row r="181" spans="1:34" ht="13.5">
      <c r="A181" s="57" t="s"/>
      <c r="B181" s="57" t="s"/>
      <c r="C181" s="57" t="s"/>
      <c r="D181" s="38" t="s"/>
      <c r="E181" s="57" t="s"/>
      <c r="F181" s="57" t="s"/>
      <c r="G181" s="57" t="s"/>
      <c r="H181" s="57" t="s"/>
      <c r="I181" s="57" t="s"/>
      <c r="J181" s="57" t="s"/>
      <c r="K181" s="57" t="s"/>
      <c r="L181" s="57" t="s"/>
      <c r="M181" s="57" t="s"/>
      <c r="N181" s="57" t="s"/>
      <c r="O181" s="57" t="s"/>
      <c r="P181" s="38" t="s"/>
      <c r="Q181" s="38" t="s"/>
      <c r="R181" s="57" t="s"/>
      <c r="S181" s="57" t="s"/>
      <c r="T181" s="60" t="s"/>
      <c r="U181" s="59" t="s"/>
      <c r="V181" s="57" t="s"/>
      <c r="W181" s="59" t="s"/>
      <c r="X181" s="59" t="s"/>
      <c r="Y181" s="59" t="s"/>
      <c r="Z181" s="59" t="s"/>
      <c r="AA181" s="59" t="s"/>
      <c r="AB181" s="59" t="s"/>
      <c r="AC181" s="60" t="s"/>
      <c r="AD181" s="59" t="s"/>
      <c r="AE181" s="59" t="s"/>
      <c r="AF181" s="59" t="s"/>
      <c r="AG181" s="59" t="s"/>
      <c r="AH181" s="59" t="s"/>
    </row>
    <row r="182" spans="1:34" ht="13.5">
      <c r="A182" s="57" t="s"/>
      <c r="B182" s="57" t="s"/>
      <c r="C182" s="57" t="s"/>
      <c r="D182" s="38" t="s"/>
      <c r="E182" s="57" t="s"/>
      <c r="F182" s="57" t="s"/>
      <c r="G182" s="57" t="s"/>
      <c r="H182" s="57" t="s"/>
      <c r="I182" s="57" t="s"/>
      <c r="J182" s="57" t="s"/>
      <c r="K182" s="57" t="s"/>
      <c r="L182" s="57" t="s"/>
      <c r="M182" s="57" t="s"/>
      <c r="N182" s="57" t="s"/>
      <c r="O182" s="57" t="s"/>
      <c r="P182" s="38" t="s"/>
      <c r="Q182" s="38" t="s"/>
      <c r="R182" s="57" t="s"/>
      <c r="S182" s="57" t="s"/>
      <c r="T182" s="60" t="s"/>
      <c r="U182" s="59" t="s"/>
      <c r="V182" s="57" t="s"/>
      <c r="W182" s="59" t="s"/>
      <c r="X182" s="59" t="s"/>
      <c r="Y182" s="59" t="s"/>
      <c r="Z182" s="59" t="s"/>
      <c r="AA182" s="59" t="s"/>
      <c r="AB182" s="59" t="s"/>
      <c r="AC182" s="60" t="s"/>
      <c r="AD182" s="59" t="s"/>
      <c r="AE182" s="59" t="s"/>
      <c r="AF182" s="59" t="s"/>
      <c r="AG182" s="59" t="s"/>
      <c r="AH182" s="59" t="s"/>
    </row>
    <row r="183" spans="1:34" ht="13.5">
      <c r="A183" s="57" t="s"/>
      <c r="B183" s="57" t="s"/>
      <c r="C183" s="57" t="s"/>
      <c r="D183" s="38" t="s"/>
      <c r="E183" s="57" t="s"/>
      <c r="F183" s="57" t="s"/>
      <c r="G183" s="57" t="s"/>
      <c r="H183" s="57" t="s"/>
      <c r="I183" s="57" t="s"/>
      <c r="J183" s="57" t="s"/>
      <c r="K183" s="57" t="s"/>
      <c r="L183" s="57" t="s"/>
      <c r="M183" s="57" t="s"/>
      <c r="N183" s="57" t="s"/>
      <c r="O183" s="57" t="s"/>
      <c r="P183" s="38" t="s"/>
      <c r="Q183" s="38" t="s"/>
      <c r="R183" s="57" t="s"/>
      <c r="S183" s="57" t="s"/>
      <c r="T183" s="60" t="s"/>
      <c r="U183" s="59" t="s"/>
      <c r="V183" s="57" t="s"/>
      <c r="W183" s="59" t="s"/>
      <c r="X183" s="59" t="s"/>
      <c r="Y183" s="59" t="s"/>
      <c r="Z183" s="59" t="s"/>
      <c r="AA183" s="59" t="s"/>
      <c r="AB183" s="59" t="s"/>
      <c r="AC183" s="60" t="s"/>
      <c r="AD183" s="59" t="s"/>
      <c r="AE183" s="59" t="s"/>
      <c r="AF183" s="59" t="s"/>
      <c r="AG183" s="59" t="s"/>
      <c r="AH183" s="59" t="s"/>
    </row>
    <row r="184" spans="1:34" ht="13.5">
      <c r="A184" s="57" t="s"/>
      <c r="B184" s="57" t="s"/>
      <c r="C184" s="57" t="s"/>
      <c r="D184" s="38" t="s"/>
      <c r="E184" s="57" t="s"/>
      <c r="F184" s="57" t="s"/>
      <c r="G184" s="57" t="s"/>
      <c r="H184" s="57" t="s"/>
      <c r="I184" s="57" t="s"/>
      <c r="J184" s="57" t="s"/>
      <c r="K184" s="57" t="s"/>
      <c r="L184" s="57" t="s"/>
      <c r="M184" s="57" t="s"/>
      <c r="N184" s="57" t="s"/>
      <c r="O184" s="57" t="s"/>
      <c r="P184" s="38" t="s"/>
      <c r="Q184" s="38" t="s"/>
      <c r="R184" s="57" t="s"/>
      <c r="S184" s="57" t="s"/>
      <c r="T184" s="60" t="s"/>
      <c r="U184" s="59" t="s"/>
      <c r="V184" s="57" t="s"/>
      <c r="W184" s="59" t="s"/>
      <c r="X184" s="59" t="s"/>
      <c r="Y184" s="59" t="s"/>
      <c r="Z184" s="59" t="s"/>
      <c r="AA184" s="59" t="s"/>
      <c r="AB184" s="59" t="s"/>
      <c r="AC184" s="60" t="s"/>
      <c r="AD184" s="59" t="s"/>
      <c r="AE184" s="59" t="s"/>
      <c r="AF184" s="59" t="s"/>
      <c r="AG184" s="59" t="s"/>
      <c r="AH184" s="59" t="s"/>
    </row>
    <row r="185" spans="1:34" ht="13.5">
      <c r="A185" s="57" t="s"/>
      <c r="B185" s="57" t="s"/>
      <c r="C185" s="57" t="s"/>
      <c r="D185" s="38" t="s"/>
      <c r="E185" s="57" t="s"/>
      <c r="F185" s="57" t="s"/>
      <c r="G185" s="57" t="s"/>
      <c r="H185" s="57" t="s"/>
      <c r="I185" s="57" t="s"/>
      <c r="J185" s="57" t="s"/>
      <c r="K185" s="57" t="s"/>
      <c r="L185" s="57" t="s"/>
      <c r="M185" s="57" t="s"/>
      <c r="N185" s="57" t="s"/>
      <c r="O185" s="57" t="s"/>
      <c r="P185" s="38" t="s"/>
      <c r="Q185" s="38" t="s"/>
      <c r="R185" s="57" t="s"/>
      <c r="S185" s="57" t="s"/>
      <c r="T185" s="60" t="s"/>
      <c r="U185" s="59" t="s"/>
      <c r="V185" s="57" t="s"/>
      <c r="W185" s="59" t="s"/>
      <c r="X185" s="59" t="s"/>
      <c r="Y185" s="59" t="s"/>
      <c r="Z185" s="59" t="s"/>
      <c r="AA185" s="59" t="s"/>
      <c r="AB185" s="59" t="s"/>
      <c r="AC185" s="60" t="s"/>
      <c r="AD185" s="59" t="s"/>
      <c r="AE185" s="59" t="s"/>
      <c r="AF185" s="59" t="s"/>
      <c r="AG185" s="59" t="s"/>
      <c r="AH185" s="59" t="s"/>
    </row>
    <row r="186" spans="1:34" ht="13.5">
      <c r="A186" s="57" t="s"/>
      <c r="B186" s="57" t="s"/>
      <c r="C186" s="57" t="s"/>
      <c r="D186" s="38" t="s"/>
      <c r="E186" s="57" t="s"/>
      <c r="F186" s="57" t="s"/>
      <c r="G186" s="57" t="s"/>
      <c r="H186" s="57" t="s"/>
      <c r="I186" s="57" t="s"/>
      <c r="J186" s="57" t="s"/>
      <c r="K186" s="57" t="s"/>
      <c r="L186" s="57" t="s"/>
      <c r="M186" s="57" t="s"/>
      <c r="N186" s="57" t="s"/>
      <c r="O186" s="57" t="s"/>
      <c r="P186" s="38" t="s"/>
      <c r="Q186" s="38" t="s"/>
      <c r="R186" s="57" t="s"/>
      <c r="S186" s="57" t="s"/>
      <c r="T186" s="60" t="s"/>
      <c r="U186" s="59" t="s"/>
      <c r="V186" s="57" t="s"/>
      <c r="W186" s="59" t="s"/>
      <c r="X186" s="59" t="s"/>
      <c r="Y186" s="59" t="s"/>
      <c r="Z186" s="59" t="s"/>
      <c r="AA186" s="59" t="s"/>
      <c r="AB186" s="59" t="s"/>
      <c r="AC186" s="60" t="s"/>
      <c r="AD186" s="59" t="s"/>
      <c r="AE186" s="59" t="s"/>
      <c r="AF186" s="59" t="s"/>
      <c r="AG186" s="59" t="s"/>
      <c r="AH186" s="59" t="s"/>
    </row>
    <row r="187" spans="1:34" ht="13.5">
      <c r="A187" s="57" t="s"/>
      <c r="B187" s="57" t="s"/>
      <c r="C187" s="57" t="s"/>
      <c r="D187" s="38" t="s"/>
      <c r="E187" s="57" t="s"/>
      <c r="F187" s="57" t="s"/>
      <c r="G187" s="57" t="s"/>
      <c r="H187" s="57" t="s"/>
      <c r="I187" s="57" t="s"/>
      <c r="J187" s="57" t="s"/>
      <c r="K187" s="57" t="s"/>
      <c r="L187" s="57" t="s"/>
      <c r="M187" s="57" t="s"/>
      <c r="N187" s="57" t="s"/>
      <c r="O187" s="57" t="s"/>
      <c r="P187" s="38" t="s"/>
      <c r="Q187" s="38" t="s"/>
      <c r="R187" s="57" t="s"/>
      <c r="S187" s="57" t="s"/>
      <c r="T187" s="60" t="s"/>
      <c r="U187" s="59" t="s"/>
      <c r="V187" s="57" t="s"/>
      <c r="W187" s="59" t="s"/>
      <c r="X187" s="59" t="s"/>
      <c r="Y187" s="59" t="s"/>
      <c r="Z187" s="59" t="s"/>
      <c r="AA187" s="59" t="s"/>
      <c r="AB187" s="59" t="s"/>
      <c r="AC187" s="60" t="s"/>
      <c r="AD187" s="59" t="s"/>
      <c r="AE187" s="59" t="s"/>
      <c r="AF187" s="59" t="s"/>
      <c r="AG187" s="59" t="s"/>
      <c r="AH187" s="59" t="s"/>
    </row>
    <row r="188" spans="1:34" ht="13.5">
      <c r="A188" s="57" t="s"/>
      <c r="B188" s="57" t="s"/>
      <c r="C188" s="57" t="s"/>
      <c r="D188" s="38" t="s"/>
      <c r="E188" s="57" t="s"/>
      <c r="F188" s="57" t="s"/>
      <c r="G188" s="57" t="s"/>
      <c r="H188" s="57" t="s"/>
      <c r="I188" s="57" t="s"/>
      <c r="J188" s="57" t="s"/>
      <c r="K188" s="57" t="s"/>
      <c r="L188" s="57" t="s"/>
      <c r="M188" s="57" t="s"/>
      <c r="N188" s="57" t="s"/>
      <c r="O188" s="57" t="s"/>
      <c r="P188" s="38" t="s"/>
      <c r="Q188" s="38" t="s"/>
      <c r="R188" s="57" t="s"/>
      <c r="S188" s="57" t="s"/>
      <c r="T188" s="60" t="s"/>
      <c r="U188" s="59" t="s"/>
      <c r="V188" s="57" t="s"/>
      <c r="W188" s="59" t="s"/>
      <c r="X188" s="59" t="s"/>
      <c r="Y188" s="59" t="s"/>
      <c r="Z188" s="59" t="s"/>
      <c r="AA188" s="59" t="s"/>
      <c r="AB188" s="59" t="s"/>
      <c r="AC188" s="60" t="s"/>
      <c r="AD188" s="59" t="s"/>
      <c r="AE188" s="59" t="s"/>
      <c r="AF188" s="59" t="s"/>
      <c r="AG188" s="59" t="s"/>
      <c r="AH188" s="59" t="s"/>
    </row>
    <row r="189" spans="1:34" ht="13.5">
      <c r="A189" s="57" t="s"/>
      <c r="B189" s="57" t="s"/>
      <c r="C189" s="57" t="s"/>
      <c r="D189" s="38" t="s"/>
      <c r="E189" s="57" t="s"/>
      <c r="F189" s="57" t="s"/>
      <c r="G189" s="57" t="s"/>
      <c r="H189" s="57" t="s"/>
      <c r="I189" s="57" t="s"/>
      <c r="J189" s="57" t="s"/>
      <c r="K189" s="57" t="s"/>
      <c r="L189" s="57" t="s"/>
      <c r="M189" s="57" t="s"/>
      <c r="N189" s="57" t="s"/>
      <c r="O189" s="57" t="s"/>
      <c r="P189" s="38" t="s"/>
      <c r="Q189" s="38" t="s"/>
      <c r="R189" s="57" t="s"/>
      <c r="S189" s="57" t="s"/>
      <c r="T189" s="60" t="s"/>
      <c r="U189" s="59" t="s"/>
      <c r="V189" s="57" t="s"/>
      <c r="W189" s="59" t="s"/>
      <c r="X189" s="59" t="s"/>
      <c r="Y189" s="59" t="s"/>
      <c r="Z189" s="59" t="s"/>
      <c r="AA189" s="59" t="s"/>
      <c r="AB189" s="59" t="s"/>
      <c r="AC189" s="60" t="s"/>
      <c r="AD189" s="59" t="s"/>
      <c r="AE189" s="59" t="s"/>
      <c r="AF189" s="59" t="s"/>
      <c r="AG189" s="59" t="s"/>
      <c r="AH189" s="59" t="s"/>
    </row>
    <row r="190" spans="1:34" ht="13.5">
      <c r="A190" s="57" t="s"/>
      <c r="B190" s="57" t="s"/>
      <c r="C190" s="57" t="s"/>
      <c r="D190" s="38" t="s"/>
      <c r="E190" s="57" t="s"/>
      <c r="F190" s="57" t="s"/>
      <c r="G190" s="57" t="s"/>
      <c r="H190" s="57" t="s"/>
      <c r="I190" s="57" t="s"/>
      <c r="J190" s="57" t="s"/>
      <c r="K190" s="57" t="s"/>
      <c r="L190" s="57" t="s"/>
      <c r="M190" s="57" t="s"/>
      <c r="N190" s="57" t="s"/>
      <c r="O190" s="57" t="s"/>
      <c r="P190" s="38" t="s"/>
      <c r="Q190" s="38" t="s"/>
      <c r="R190" s="57" t="s"/>
      <c r="S190" s="57" t="s"/>
      <c r="T190" s="60" t="s"/>
      <c r="U190" s="59" t="s"/>
      <c r="V190" s="57" t="s"/>
      <c r="W190" s="59" t="s"/>
      <c r="X190" s="59" t="s"/>
      <c r="Y190" s="59" t="s"/>
      <c r="Z190" s="59" t="s"/>
      <c r="AA190" s="59" t="s"/>
      <c r="AB190" s="59" t="s"/>
      <c r="AC190" s="60" t="s"/>
      <c r="AD190" s="59" t="s"/>
      <c r="AE190" s="59" t="s"/>
      <c r="AF190" s="59" t="s"/>
      <c r="AG190" s="59" t="s"/>
      <c r="AH190" s="59" t="s"/>
    </row>
    <row r="191" spans="1:34" ht="13.5">
      <c r="A191" s="57" t="s"/>
      <c r="B191" s="57" t="s"/>
      <c r="C191" s="57" t="s"/>
      <c r="D191" s="38" t="s"/>
      <c r="E191" s="57" t="s"/>
      <c r="F191" s="57" t="s"/>
      <c r="G191" s="57" t="s"/>
      <c r="H191" s="57" t="s"/>
      <c r="I191" s="57" t="s"/>
      <c r="J191" s="57" t="s"/>
      <c r="K191" s="57" t="s"/>
      <c r="L191" s="57" t="s"/>
      <c r="M191" s="57" t="s"/>
      <c r="N191" s="57" t="s"/>
      <c r="O191" s="57" t="s"/>
      <c r="P191" s="38" t="s"/>
      <c r="Q191" s="38" t="s"/>
      <c r="R191" s="57" t="s"/>
      <c r="S191" s="57" t="s"/>
      <c r="T191" s="60" t="s"/>
      <c r="U191" s="59" t="s"/>
      <c r="V191" s="57" t="s"/>
      <c r="W191" s="59" t="s"/>
      <c r="X191" s="59" t="s"/>
      <c r="Y191" s="59" t="s"/>
      <c r="Z191" s="59" t="s"/>
      <c r="AA191" s="59" t="s"/>
      <c r="AB191" s="59" t="s"/>
      <c r="AC191" s="60" t="s"/>
      <c r="AD191" s="59" t="s"/>
      <c r="AE191" s="59" t="s"/>
      <c r="AF191" s="59" t="s"/>
      <c r="AG191" s="59" t="s"/>
      <c r="AH191" s="59" t="s"/>
    </row>
    <row r="192" spans="1:34" ht="13.5">
      <c r="A192" s="57" t="s"/>
      <c r="B192" s="57" t="s"/>
      <c r="C192" s="57" t="s"/>
      <c r="D192" s="38" t="s"/>
      <c r="E192" s="57" t="s"/>
      <c r="F192" s="57" t="s"/>
      <c r="G192" s="57" t="s"/>
      <c r="H192" s="57" t="s"/>
      <c r="I192" s="57" t="s"/>
      <c r="J192" s="57" t="s"/>
      <c r="K192" s="57" t="s"/>
      <c r="L192" s="57" t="s"/>
      <c r="M192" s="57" t="s"/>
      <c r="N192" s="57" t="s"/>
      <c r="O192" s="57" t="s"/>
      <c r="P192" s="38" t="s"/>
      <c r="Q192" s="38" t="s"/>
      <c r="R192" s="57" t="s"/>
      <c r="S192" s="57" t="s"/>
      <c r="T192" s="60" t="s"/>
      <c r="U192" s="59" t="s"/>
      <c r="V192" s="57" t="s"/>
      <c r="W192" s="59" t="s"/>
      <c r="X192" s="59" t="s"/>
      <c r="Y192" s="59" t="s"/>
      <c r="Z192" s="59" t="s"/>
      <c r="AA192" s="59" t="s"/>
      <c r="AB192" s="59" t="s"/>
      <c r="AC192" s="60" t="s"/>
      <c r="AD192" s="59" t="s"/>
      <c r="AE192" s="59" t="s"/>
      <c r="AF192" s="59" t="s"/>
      <c r="AG192" s="59" t="s"/>
      <c r="AH192" s="59" t="s"/>
    </row>
    <row r="193" spans="1:34" ht="13.5">
      <c r="A193" s="57" t="s"/>
      <c r="B193" s="57" t="s"/>
      <c r="C193" s="57" t="s"/>
      <c r="D193" s="38" t="s"/>
      <c r="E193" s="57" t="s"/>
      <c r="F193" s="57" t="s"/>
      <c r="G193" s="57" t="s"/>
      <c r="H193" s="57" t="s"/>
      <c r="I193" s="57" t="s"/>
      <c r="J193" s="57" t="s"/>
      <c r="K193" s="57" t="s"/>
      <c r="L193" s="57" t="s"/>
      <c r="M193" s="57" t="s"/>
      <c r="N193" s="57" t="s"/>
      <c r="O193" s="57" t="s"/>
      <c r="P193" s="38" t="s"/>
      <c r="Q193" s="38" t="s"/>
      <c r="R193" s="57" t="s"/>
      <c r="S193" s="57" t="s"/>
      <c r="T193" s="60" t="s"/>
      <c r="U193" s="59" t="s"/>
      <c r="V193" s="57" t="s"/>
      <c r="W193" s="59" t="s"/>
      <c r="X193" s="59" t="s"/>
      <c r="Y193" s="59" t="s"/>
      <c r="Z193" s="59" t="s"/>
      <c r="AA193" s="59" t="s"/>
      <c r="AB193" s="59" t="s"/>
      <c r="AC193" s="60" t="s"/>
      <c r="AD193" s="59" t="s"/>
      <c r="AE193" s="59" t="s"/>
      <c r="AF193" s="59" t="s"/>
      <c r="AG193" s="59" t="s"/>
      <c r="AH193" s="59" t="s"/>
    </row>
    <row r="194" spans="1:34" ht="13.5">
      <c r="A194" s="57" t="s"/>
      <c r="B194" s="57" t="s"/>
      <c r="C194" s="57" t="s"/>
      <c r="D194" s="38" t="s"/>
      <c r="E194" s="57" t="s"/>
      <c r="F194" s="57" t="s"/>
      <c r="G194" s="57" t="s"/>
      <c r="H194" s="57" t="s"/>
      <c r="I194" s="57" t="s"/>
      <c r="J194" s="57" t="s"/>
      <c r="K194" s="57" t="s"/>
      <c r="L194" s="57" t="s"/>
      <c r="M194" s="57" t="s"/>
      <c r="N194" s="57" t="s"/>
      <c r="O194" s="57" t="s"/>
      <c r="P194" s="38" t="s"/>
      <c r="Q194" s="38" t="s"/>
      <c r="R194" s="57" t="s"/>
      <c r="S194" s="57" t="s"/>
      <c r="T194" s="60" t="s"/>
      <c r="U194" s="59" t="s"/>
      <c r="V194" s="57" t="s"/>
      <c r="W194" s="59" t="s"/>
      <c r="X194" s="59" t="s"/>
      <c r="Y194" s="59" t="s"/>
      <c r="Z194" s="59" t="s"/>
      <c r="AA194" s="59" t="s"/>
      <c r="AB194" s="59" t="s"/>
      <c r="AC194" s="60" t="s"/>
      <c r="AD194" s="59" t="s"/>
      <c r="AE194" s="59" t="s"/>
      <c r="AF194" s="59" t="s"/>
      <c r="AG194" s="59" t="s"/>
      <c r="AH194" s="59" t="s"/>
    </row>
    <row r="195" spans="1:34" ht="13.5">
      <c r="A195" s="57" t="s"/>
      <c r="B195" s="57" t="s"/>
      <c r="C195" s="57" t="s"/>
      <c r="D195" s="38" t="s"/>
      <c r="E195" s="57" t="s"/>
      <c r="F195" s="57" t="s"/>
      <c r="G195" s="57" t="s"/>
      <c r="H195" s="57" t="s"/>
      <c r="I195" s="57" t="s"/>
      <c r="J195" s="57" t="s"/>
      <c r="K195" s="57" t="s"/>
      <c r="L195" s="57" t="s"/>
      <c r="M195" s="57" t="s"/>
      <c r="N195" s="57" t="s"/>
      <c r="O195" s="57" t="s"/>
      <c r="P195" s="38" t="s"/>
      <c r="Q195" s="38" t="s"/>
      <c r="R195" s="57" t="s"/>
      <c r="S195" s="57" t="s"/>
      <c r="T195" s="60" t="s"/>
      <c r="U195" s="59" t="s"/>
      <c r="V195" s="57" t="s"/>
      <c r="W195" s="59" t="s"/>
      <c r="X195" s="59" t="s"/>
      <c r="Y195" s="59" t="s"/>
      <c r="Z195" s="59" t="s"/>
      <c r="AA195" s="59" t="s"/>
      <c r="AB195" s="59" t="s"/>
      <c r="AC195" s="60" t="s"/>
      <c r="AD195" s="59" t="s"/>
      <c r="AE195" s="59" t="s"/>
      <c r="AF195" s="59" t="s"/>
      <c r="AG195" s="59" t="s"/>
      <c r="AH195" s="59" t="s"/>
    </row>
    <row r="196" spans="1:34" ht="13.5">
      <c r="A196" s="57" t="s"/>
      <c r="B196" s="57" t="s"/>
      <c r="C196" s="57" t="s"/>
      <c r="D196" s="38" t="s"/>
      <c r="E196" s="57" t="s"/>
      <c r="F196" s="57" t="s"/>
      <c r="G196" s="57" t="s"/>
      <c r="H196" s="57" t="s"/>
      <c r="I196" s="57" t="s"/>
      <c r="J196" s="57" t="s"/>
      <c r="K196" s="57" t="s"/>
      <c r="L196" s="57" t="s"/>
      <c r="M196" s="57" t="s"/>
      <c r="N196" s="57" t="s"/>
      <c r="O196" s="57" t="s"/>
      <c r="P196" s="38" t="s"/>
      <c r="Q196" s="38" t="s"/>
      <c r="R196" s="57" t="s"/>
      <c r="S196" s="57" t="s"/>
      <c r="T196" s="60" t="s"/>
      <c r="U196" s="59" t="s"/>
      <c r="V196" s="57" t="s"/>
      <c r="W196" s="59" t="s"/>
      <c r="X196" s="59" t="s"/>
      <c r="Y196" s="59" t="s"/>
      <c r="Z196" s="59" t="s"/>
      <c r="AA196" s="59" t="s"/>
      <c r="AB196" s="59" t="s"/>
      <c r="AC196" s="60" t="s"/>
      <c r="AD196" s="59" t="s"/>
      <c r="AE196" s="59" t="s"/>
      <c r="AF196" s="59" t="s"/>
      <c r="AG196" s="59" t="s"/>
      <c r="AH196" s="59" t="s"/>
    </row>
    <row r="197" spans="1:34" ht="13.5">
      <c r="A197" s="57" t="s"/>
      <c r="B197" s="57" t="s"/>
      <c r="C197" s="57" t="s"/>
      <c r="D197" s="38" t="s"/>
      <c r="E197" s="57" t="s"/>
      <c r="F197" s="57" t="s"/>
      <c r="G197" s="57" t="s"/>
      <c r="H197" s="57" t="s"/>
      <c r="I197" s="57" t="s"/>
      <c r="J197" s="57" t="s"/>
      <c r="K197" s="57" t="s"/>
      <c r="L197" s="57" t="s"/>
      <c r="M197" s="57" t="s"/>
      <c r="N197" s="57" t="s"/>
      <c r="O197" s="57" t="s"/>
      <c r="P197" s="38" t="s"/>
      <c r="Q197" s="38" t="s"/>
      <c r="R197" s="57" t="s"/>
      <c r="S197" s="57" t="s"/>
      <c r="T197" s="60" t="s"/>
      <c r="U197" s="59" t="s"/>
      <c r="V197" s="57" t="s"/>
      <c r="W197" s="59" t="s"/>
      <c r="X197" s="59" t="s"/>
      <c r="Y197" s="59" t="s"/>
      <c r="Z197" s="59" t="s"/>
      <c r="AA197" s="59" t="s"/>
      <c r="AB197" s="59" t="s"/>
      <c r="AC197" s="60" t="s"/>
      <c r="AD197" s="59" t="s"/>
      <c r="AE197" s="59" t="s"/>
      <c r="AF197" s="59" t="s"/>
      <c r="AG197" s="59" t="s"/>
      <c r="AH197" s="59" t="s"/>
    </row>
    <row r="198" spans="1:34" ht="13.5">
      <c r="A198" s="57" t="s"/>
      <c r="B198" s="57" t="s"/>
      <c r="C198" s="57" t="s"/>
      <c r="D198" s="38" t="s"/>
      <c r="E198" s="57" t="s"/>
      <c r="F198" s="57" t="s"/>
      <c r="G198" s="57" t="s"/>
      <c r="H198" s="57" t="s"/>
      <c r="I198" s="57" t="s"/>
      <c r="J198" s="57" t="s"/>
      <c r="K198" s="57" t="s"/>
      <c r="L198" s="57" t="s"/>
      <c r="M198" s="57" t="s"/>
      <c r="N198" s="57" t="s"/>
      <c r="O198" s="57" t="s"/>
      <c r="P198" s="38" t="s"/>
      <c r="Q198" s="38" t="s"/>
      <c r="R198" s="57" t="s"/>
      <c r="S198" s="57" t="s"/>
      <c r="T198" s="60" t="s"/>
      <c r="U198" s="59" t="s"/>
      <c r="V198" s="57" t="s"/>
      <c r="W198" s="59" t="s"/>
      <c r="X198" s="59" t="s"/>
      <c r="Y198" s="59" t="s"/>
      <c r="Z198" s="59" t="s"/>
      <c r="AA198" s="59" t="s"/>
      <c r="AB198" s="59" t="s"/>
      <c r="AC198" s="60" t="s"/>
      <c r="AD198" s="59" t="s"/>
      <c r="AE198" s="59" t="s"/>
      <c r="AF198" s="59" t="s"/>
      <c r="AG198" s="59" t="s"/>
      <c r="AH198" s="59" t="s"/>
    </row>
    <row r="199" spans="1:34" ht="13.5">
      <c r="A199" s="57" t="s"/>
      <c r="B199" s="57" t="s"/>
      <c r="C199" s="57" t="s"/>
      <c r="D199" s="38" t="s"/>
      <c r="E199" s="57" t="s"/>
      <c r="F199" s="57" t="s"/>
      <c r="G199" s="57" t="s"/>
      <c r="H199" s="57" t="s"/>
      <c r="I199" s="57" t="s"/>
      <c r="J199" s="57" t="s"/>
      <c r="K199" s="57" t="s"/>
      <c r="L199" s="57" t="s"/>
      <c r="M199" s="57" t="s"/>
      <c r="N199" s="57" t="s"/>
      <c r="O199" s="57" t="s"/>
      <c r="P199" s="38" t="s"/>
      <c r="Q199" s="38" t="s"/>
      <c r="R199" s="57" t="s"/>
      <c r="S199" s="57" t="s"/>
      <c r="T199" s="60" t="s"/>
      <c r="U199" s="59" t="s"/>
      <c r="V199" s="57" t="s"/>
      <c r="W199" s="59" t="s"/>
      <c r="X199" s="59" t="s"/>
      <c r="Y199" s="59" t="s"/>
      <c r="Z199" s="59" t="s"/>
      <c r="AA199" s="59" t="s"/>
      <c r="AB199" s="59" t="s"/>
      <c r="AC199" s="60" t="s"/>
      <c r="AD199" s="59" t="s"/>
      <c r="AE199" s="59" t="s"/>
      <c r="AF199" s="59" t="s"/>
      <c r="AG199" s="59" t="s"/>
      <c r="AH199" s="59" t="s"/>
    </row>
    <row r="200" spans="1:34" ht="13.5">
      <c r="A200" s="57" t="s"/>
      <c r="B200" s="57" t="s"/>
      <c r="C200" s="57" t="s"/>
      <c r="D200" s="38" t="s"/>
      <c r="E200" s="57" t="s"/>
      <c r="F200" s="57" t="s"/>
      <c r="G200" s="57" t="s"/>
      <c r="H200" s="57" t="s"/>
      <c r="I200" s="57" t="s"/>
      <c r="J200" s="57" t="s"/>
      <c r="K200" s="57" t="s"/>
      <c r="L200" s="57" t="s"/>
      <c r="M200" s="57" t="s"/>
      <c r="N200" s="57" t="s"/>
      <c r="O200" s="57" t="s"/>
      <c r="P200" s="38" t="s"/>
      <c r="Q200" s="38" t="s"/>
      <c r="R200" s="57" t="s"/>
      <c r="S200" s="57" t="s"/>
      <c r="T200" s="60" t="s"/>
      <c r="U200" s="59" t="s"/>
      <c r="V200" s="57" t="s"/>
      <c r="W200" s="59" t="s"/>
      <c r="X200" s="59" t="s"/>
      <c r="Y200" s="59" t="s"/>
      <c r="Z200" s="59" t="s"/>
      <c r="AA200" s="59" t="s"/>
      <c r="AB200" s="59" t="s"/>
      <c r="AC200" s="60" t="s"/>
      <c r="AD200" s="59" t="s"/>
      <c r="AE200" s="59" t="s"/>
      <c r="AF200" s="59" t="s"/>
      <c r="AG200" s="59" t="s"/>
      <c r="AH200" s="59" t="s"/>
    </row>
  </sheetData>
  <autoFilter ref="A4:V47">
    <filterColumn colId="0">
      <filters>
        <filter val="王超杰"/>
      </filters>
    </filterColumn>
    <filterColumn colId="1">
      <filters>
        <filter val="开发"/>
      </filters>
    </filterColumn>
    <extLst/>
  </autoFilter>
  <mergeCells count="33">
    <mergeCell ref="A3:C3"/>
    <mergeCell ref="D3:O3"/>
    <mergeCell ref="Q55:V55"/>
    <mergeCell ref="A57:C57"/>
    <mergeCell ref="D57:O57"/>
    <mergeCell ref="Q72:V72"/>
    <mergeCell ref="X72:AC72"/>
    <mergeCell ref="AE72:AJ72"/>
    <mergeCell ref="AL72:AQ72"/>
    <mergeCell ref="AS72:AX72"/>
    <mergeCell ref="AZ72:BE72"/>
    <mergeCell ref="A88:C88"/>
    <mergeCell ref="D88:O88"/>
    <mergeCell ref="A59:A60"/>
    <mergeCell ref="A61:A62"/>
    <mergeCell ref="A63:A64"/>
    <mergeCell ref="A65:A66"/>
    <mergeCell ref="A67:A68"/>
    <mergeCell ref="A69:A70"/>
    <mergeCell ref="A71:A72"/>
    <mergeCell ref="A77:A78"/>
    <mergeCell ref="A90:A91"/>
    <mergeCell ref="A92:A93"/>
    <mergeCell ref="A94:A95"/>
    <mergeCell ref="A96:A97"/>
    <mergeCell ref="A98:A99"/>
    <mergeCell ref="A100:A101"/>
    <mergeCell ref="A102:A103"/>
    <mergeCell ref="A108:A109"/>
    <mergeCell ref="W61:W64"/>
    <mergeCell ref="A1:O2"/>
    <mergeCell ref="A55:O56"/>
    <mergeCell ref="A86:O87"/>
  </mergeCells>
  <pageMargins left="0.75" right="0.75" top="1" bottom="1" header="0.5" footer="0.5"/>
  <headerFooter/>
</worksheet>
</file>

<file path=xl/worksheets/sheet3.xml><?xml version="1.0" encoding="utf-8"?>
<worksheet xmlns="http://schemas.openxmlformats.org/spreadsheetml/2006/main">
  <sheetPr codeName="AD人力甘特图（2023）">
    <tabColor rgb="FFFFFFFF"/>
  </sheetPr>
  <dimension ref="Z200"/>
  <sheetViews>
    <sheetView showGridLines="true" workbookViewId="0">
      <pane ySplit="4" topLeftCell="A5" activePane="bottomLeft" state="frozen"/>
    </sheetView>
  </sheetViews>
  <sheetFormatPr defaultColWidth="10.2857" defaultRowHeight="12.75"/>
  <cols>
    <col min="1" max="1" width="11.2952" customWidth="true"/>
    <col min="2" max="2" width="10.2952" customWidth="true"/>
    <col min="3" max="3" width="12.1429" customWidth="true"/>
    <col min="4" max="4" width="13.4381" customWidth="true"/>
    <col min="5" max="5" width="10.2952" customWidth="true"/>
    <col min="6" max="6" width="14.4381" customWidth="true"/>
    <col min="7" max="7" width="10.2952" customWidth="true"/>
    <col min="8" max="8" width="15.4381" customWidth="true"/>
    <col min="9" max="9" width="15.5143" customWidth="true"/>
    <col min="10" max="11" width="14.4381" customWidth="true"/>
    <col min="12" max="13" width="26.7048" customWidth="true"/>
    <col min="14" max="14" width="14.4381" customWidth="true"/>
    <col min="15" max="15" width="16.7333" customWidth="true"/>
    <col min="16" max="16" width="13.4952" customWidth="true"/>
    <col min="17" max="17" width="2.41905" customWidth="true"/>
    <col min="18" max="18" width="10.5238" customWidth="true"/>
    <col min="19" max="19" width="18.8952" customWidth="true"/>
    <col min="20" max="21" width="11.7143" customWidth="true"/>
    <col min="22" max="22" width="2.5619" customWidth="true"/>
    <col min="23" max="24" width="11.7143" customWidth="true"/>
    <col min="25" max="25" width="24.6952" customWidth="true"/>
    <col min="26" max="26" width="11.7143" customWidth="true"/>
  </cols>
  <sheetData>
    <row r="1" spans="1:15" ht="13.5">
      <c r="A1" s="395" t="s">
        <v>42</v>
      </c>
      <c r="B1" s="395" t="s"/>
      <c r="C1" s="395" t="s"/>
      <c r="D1" s="395" t="s"/>
      <c r="E1" s="395" t="s"/>
      <c r="F1" s="395" t="s"/>
      <c r="G1" s="395" t="s"/>
      <c r="H1" s="395" t="s"/>
      <c r="I1" s="395" t="s"/>
      <c r="J1" s="395" t="s"/>
      <c r="K1" s="395" t="s"/>
      <c r="L1" s="38" t="s"/>
      <c r="M1" s="38" t="s"/>
      <c r="O1" s="8" t="s"/>
    </row>
    <row r="2" spans="1:15" ht="13.5">
      <c r="A2" s="395" t="s"/>
      <c r="B2" s="395" t="s"/>
      <c r="C2" s="395" t="s"/>
      <c r="D2" s="395" t="s"/>
      <c r="E2" s="395" t="s"/>
      <c r="F2" s="395" t="s"/>
      <c r="G2" s="395" t="s"/>
      <c r="H2" s="395" t="s"/>
      <c r="I2" s="395" t="s"/>
      <c r="J2" s="395" t="s"/>
      <c r="K2" s="395" t="s"/>
      <c r="L2" s="38" t="s"/>
      <c r="M2" s="38" t="s"/>
      <c r="O2" s="8" t="s"/>
    </row>
    <row r="3" spans="1:15" ht="13.5">
      <c r="A3" s="95" t="s">
        <v>43</v>
      </c>
      <c r="B3" s="95" t="s"/>
      <c r="C3" s="95" t="s"/>
      <c r="D3" s="103" t="s">
        <v>438</v>
      </c>
      <c r="E3" s="103" t="s"/>
      <c r="F3" s="103" t="s"/>
      <c r="G3" s="103" t="s"/>
      <c r="H3" s="103" t="s"/>
      <c r="I3" s="103" t="s"/>
      <c r="J3" s="103" t="s"/>
      <c r="K3" s="103" t="s"/>
      <c r="L3" s="38" t="s"/>
      <c r="M3" s="38" t="s"/>
      <c r="O3" s="8" t="s"/>
    </row>
    <row r="4" spans="1:15" ht="13.5">
      <c r="A4" s="43" t="s">
        <v>51</v>
      </c>
      <c r="B4" s="396" t="s">
        <v>899</v>
      </c>
      <c r="C4" s="43" t="s">
        <v>291</v>
      </c>
      <c r="D4" s="45" t="s">
        <v>60</v>
      </c>
      <c r="E4" s="45" t="s">
        <v>61</v>
      </c>
      <c r="F4" s="46" t="s">
        <v>900</v>
      </c>
      <c r="G4" s="46" t="s">
        <v>901</v>
      </c>
      <c r="H4" s="46" t="s">
        <v>902</v>
      </c>
      <c r="I4" s="46" t="s">
        <v>903</v>
      </c>
      <c r="J4" s="46" t="s">
        <v>904</v>
      </c>
      <c r="K4" s="45" t="s">
        <v>66</v>
      </c>
      <c r="L4" s="38" t="s"/>
      <c r="M4" s="38" t="s"/>
      <c r="O4" s="8" t="s"/>
    </row>
    <row r="5" spans="1:26" ht="13.5">
      <c r="A5" s="53" t="s">
        <v>295</v>
      </c>
      <c r="B5" s="54" t="s">
        <v>78</v>
      </c>
      <c r="C5" s="333" t="s">
        <v>439</v>
      </c>
      <c r="D5" s="54">
        <v>7027</v>
      </c>
      <c r="E5" s="54">
        <v>7027</v>
      </c>
      <c r="F5" s="54">
        <v>7027</v>
      </c>
      <c r="G5" s="54">
        <v>7027</v>
      </c>
      <c r="H5" s="54">
        <v>7027</v>
      </c>
      <c r="I5" s="54">
        <v>7027</v>
      </c>
      <c r="J5" s="54">
        <v>7027</v>
      </c>
      <c r="K5" s="54">
        <v>7027</v>
      </c>
      <c r="L5" s="397" t="s">
        <v>440</v>
      </c>
      <c r="M5" s="38" t="s"/>
      <c r="N5" s="59" t="s"/>
      <c r="O5" s="59" t="s"/>
      <c r="P5" s="60" t="s"/>
      <c r="Q5" s="59" t="s"/>
      <c r="R5" s="59" t="s"/>
      <c r="S5" s="59" t="s"/>
      <c r="T5" s="59" t="s"/>
      <c r="U5" s="59" t="s"/>
      <c r="V5" s="59" t="s"/>
      <c r="W5" s="59" t="s"/>
      <c r="X5" s="59" t="s"/>
      <c r="Y5" s="60" t="s"/>
      <c r="Z5" s="59" t="s"/>
    </row>
    <row r="6" spans="1:26" ht="13.5">
      <c r="A6" s="63" t="s">
        <v>898</v>
      </c>
      <c r="B6" s="54" t="s">
        <v>78</v>
      </c>
      <c r="C6" s="333" t="s">
        <v>439</v>
      </c>
      <c r="D6" s="54">
        <v>7027</v>
      </c>
      <c r="E6" s="54" t="s">
        <v>297</v>
      </c>
      <c r="F6" s="63" t="s">
        <v>905</v>
      </c>
      <c r="G6" s="63">
        <v>7028</v>
      </c>
      <c r="H6" s="54">
        <v>7027</v>
      </c>
      <c r="I6" s="54">
        <v>7027</v>
      </c>
      <c r="J6" s="54">
        <v>7027</v>
      </c>
      <c r="K6" s="63" t="s">
        <v>297</v>
      </c>
      <c r="L6" s="398" t="s">
        <v>441</v>
      </c>
      <c r="M6" s="399" t="s">
        <v>442</v>
      </c>
      <c r="N6" s="59" t="s"/>
      <c r="O6" s="59" t="s"/>
      <c r="P6" s="60" t="s"/>
      <c r="Q6" s="59" t="s"/>
      <c r="R6" s="59" t="s"/>
      <c r="S6" s="59" t="s"/>
      <c r="T6" s="59" t="s"/>
      <c r="U6" s="59" t="s"/>
      <c r="V6" s="59" t="s"/>
      <c r="W6" s="59" t="s"/>
      <c r="X6" s="59" t="s"/>
      <c r="Y6" s="60" t="s"/>
      <c r="Z6" s="59" t="s"/>
    </row>
    <row r="7" spans="1:26" ht="13.5">
      <c r="A7" s="54" t="s">
        <v>303</v>
      </c>
      <c r="B7" s="54" t="s">
        <v>78</v>
      </c>
      <c r="C7" s="333" t="s">
        <v>439</v>
      </c>
      <c r="D7" s="54">
        <v>7027</v>
      </c>
      <c r="E7" s="54">
        <v>7027</v>
      </c>
      <c r="F7" s="54">
        <v>7027</v>
      </c>
      <c r="G7" s="54">
        <v>7027</v>
      </c>
      <c r="H7" s="54">
        <v>7027</v>
      </c>
      <c r="I7" s="54">
        <v>7027</v>
      </c>
      <c r="J7" s="54">
        <v>7027</v>
      </c>
      <c r="K7" s="54" t="s">
        <v>297</v>
      </c>
      <c r="L7" s="400" t="s">
        <v>443</v>
      </c>
      <c r="M7" s="57" t="s">
        <v>444</v>
      </c>
      <c r="N7" s="59" t="s"/>
      <c r="O7" s="59" t="s"/>
      <c r="P7" s="60" t="s">
        <v>445</v>
      </c>
      <c r="Q7" s="59" t="s"/>
      <c r="R7" s="59" t="s"/>
      <c r="S7" s="59" t="s"/>
      <c r="T7" s="59" t="s"/>
      <c r="U7" s="59" t="s"/>
      <c r="V7" s="59" t="s"/>
      <c r="W7" s="59" t="s"/>
      <c r="X7" s="59" t="s"/>
      <c r="Y7" s="60" t="s"/>
      <c r="Z7" s="59" t="s"/>
    </row>
    <row r="8" spans="1:26" ht="13.5">
      <c r="A8" s="54" t="s">
        <v>350</v>
      </c>
      <c r="B8" s="54" t="s">
        <v>101</v>
      </c>
      <c r="C8" s="333" t="s">
        <v>439</v>
      </c>
      <c r="D8" s="54">
        <v>7027</v>
      </c>
      <c r="E8" s="54">
        <v>7027</v>
      </c>
      <c r="F8" s="54">
        <v>7027</v>
      </c>
      <c r="G8" s="54">
        <v>7027</v>
      </c>
      <c r="H8" s="54">
        <v>7027</v>
      </c>
      <c r="I8" s="54">
        <v>7027</v>
      </c>
      <c r="J8" s="54">
        <v>7027</v>
      </c>
      <c r="K8" s="54" t="s">
        <v>297</v>
      </c>
      <c r="L8" s="57" t="s"/>
      <c r="M8" s="57" t="s">
        <v>446</v>
      </c>
      <c r="N8" s="59" t="s"/>
      <c r="O8" s="59" t="s"/>
      <c r="P8" s="59" t="s"/>
      <c r="Q8" s="59" t="s"/>
      <c r="R8" s="59" t="s"/>
      <c r="S8" s="59" t="s"/>
      <c r="T8" s="59" t="s"/>
      <c r="U8" s="59" t="s"/>
      <c r="V8" s="59" t="s"/>
      <c r="W8" s="59" t="s"/>
      <c r="X8" s="59" t="s"/>
      <c r="Y8" s="59" t="s"/>
      <c r="Z8" s="59" t="s"/>
    </row>
    <row r="9" spans="1:26" ht="13.5">
      <c r="A9" s="54" t="s">
        <v>327</v>
      </c>
      <c r="B9" s="54" t="s">
        <v>101</v>
      </c>
      <c r="C9" s="333" t="s">
        <v>439</v>
      </c>
      <c r="D9" s="54">
        <v>7027</v>
      </c>
      <c r="E9" s="54" t="s">
        <v>297</v>
      </c>
      <c r="F9" s="54" t="s">
        <v>297</v>
      </c>
      <c r="G9" s="54">
        <v>7027</v>
      </c>
      <c r="H9" s="54">
        <v>7027</v>
      </c>
      <c r="I9" s="54">
        <v>7027</v>
      </c>
      <c r="J9" s="54">
        <v>7027</v>
      </c>
      <c r="K9" s="54" t="s">
        <v>297</v>
      </c>
      <c r="L9" s="57" t="s"/>
      <c r="M9" s="57" t="s">
        <v>444</v>
      </c>
      <c r="N9" s="59" t="s"/>
      <c r="O9" s="59" t="s"/>
      <c r="P9" s="59" t="s"/>
      <c r="Q9" s="59" t="s"/>
      <c r="R9" s="59" t="s"/>
      <c r="S9" s="59" t="s"/>
      <c r="T9" s="59" t="s"/>
      <c r="U9" s="59" t="s"/>
      <c r="V9" s="59" t="s"/>
      <c r="W9" s="59" t="s"/>
      <c r="X9" s="59" t="s"/>
      <c r="Y9" s="59" t="s"/>
      <c r="Z9" s="59" t="s"/>
    </row>
    <row r="10" spans="1:26" ht="13.5">
      <c r="A10" s="70" t="s">
        <v>892</v>
      </c>
      <c r="B10" s="54" t="s">
        <v>78</v>
      </c>
      <c r="C10" s="333" t="s">
        <v>296</v>
      </c>
      <c r="D10" s="54">
        <v>7027</v>
      </c>
      <c r="E10" s="54">
        <v>7027</v>
      </c>
      <c r="F10" s="54">
        <v>7027</v>
      </c>
      <c r="G10" s="54">
        <v>7027</v>
      </c>
      <c r="H10" s="54">
        <v>7027</v>
      </c>
      <c r="I10" s="54">
        <v>7027</v>
      </c>
      <c r="J10" s="54" t="s">
        <v>160</v>
      </c>
      <c r="K10" s="54" t="s">
        <v>160</v>
      </c>
      <c r="L10" s="335" t="s">
        <v>308</v>
      </c>
      <c r="M10" s="401" t="s"/>
      <c r="N10" s="68" t="s"/>
      <c r="O10" s="68" t="s"/>
      <c r="P10" s="69" t="s"/>
      <c r="Q10" s="68" t="s"/>
      <c r="R10" s="68" t="s"/>
      <c r="S10" s="68" t="s"/>
      <c r="T10" s="68" t="s"/>
      <c r="U10" s="68" t="s"/>
      <c r="V10" s="68" t="s"/>
      <c r="W10" s="68" t="s"/>
      <c r="X10" s="68" t="s"/>
      <c r="Y10" s="69" t="s"/>
      <c r="Z10" s="68" t="s"/>
    </row>
    <row r="11" spans="1:26" ht="27">
      <c r="A11" s="63" t="s">
        <v>309</v>
      </c>
      <c r="B11" s="54" t="s">
        <v>78</v>
      </c>
      <c r="C11" s="333" t="s">
        <v>296</v>
      </c>
      <c r="D11" s="54">
        <v>7027</v>
      </c>
      <c r="E11" s="54">
        <v>7027</v>
      </c>
      <c r="F11" s="54">
        <v>7027</v>
      </c>
      <c r="G11" s="54">
        <v>7027</v>
      </c>
      <c r="H11" s="54">
        <v>7027</v>
      </c>
      <c r="I11" s="63" t="s">
        <v>297</v>
      </c>
      <c r="J11" s="54">
        <v>7027</v>
      </c>
      <c r="K11" s="54">
        <v>7027</v>
      </c>
      <c r="L11" s="335" t="s">
        <v>310</v>
      </c>
      <c r="M11" s="399" t="s"/>
      <c r="N11" s="59" t="s"/>
      <c r="O11" s="59" t="s"/>
      <c r="P11" s="60" t="s">
        <v>445</v>
      </c>
      <c r="Q11" s="59" t="s"/>
      <c r="R11" s="59" t="s"/>
      <c r="S11" s="59" t="s"/>
      <c r="T11" s="59" t="s"/>
      <c r="U11" s="59" t="s"/>
      <c r="V11" s="59" t="s"/>
      <c r="W11" s="59" t="s"/>
      <c r="X11" s="59" t="s"/>
      <c r="Y11" s="60" t="s"/>
      <c r="Z11" s="59" t="s"/>
    </row>
    <row r="12" spans="1:26" ht="13.5">
      <c r="A12" s="63" t="s">
        <v>312</v>
      </c>
      <c r="B12" s="54" t="s">
        <v>78</v>
      </c>
      <c r="C12" s="333" t="s">
        <v>296</v>
      </c>
      <c r="D12" s="54">
        <v>7028</v>
      </c>
      <c r="E12" s="54">
        <v>7028</v>
      </c>
      <c r="F12" s="54">
        <v>7027</v>
      </c>
      <c r="G12" s="63" t="s">
        <v>905</v>
      </c>
      <c r="H12" s="54">
        <v>7027</v>
      </c>
      <c r="I12" s="63" t="s">
        <v>297</v>
      </c>
      <c r="J12" s="402" t="s">
        <v>297</v>
      </c>
      <c r="K12" s="54">
        <v>7027</v>
      </c>
      <c r="L12" s="343" t="s">
        <v>363</v>
      </c>
      <c r="M12" s="399" t="s"/>
      <c r="N12" s="59" t="s"/>
      <c r="O12" s="57" t="s"/>
      <c r="P12" s="60" t="s"/>
      <c r="Q12" s="59" t="s"/>
      <c r="R12" s="59" t="s"/>
      <c r="S12" s="59" t="s"/>
      <c r="T12" s="59" t="s"/>
      <c r="U12" s="59" t="s"/>
      <c r="V12" s="59" t="s"/>
      <c r="W12" s="59" t="s"/>
      <c r="X12" s="59" t="s"/>
      <c r="Y12" s="60" t="s"/>
      <c r="Z12" s="59" t="s"/>
    </row>
    <row r="13" spans="1:26" ht="13.5">
      <c r="A13" s="63" t="s">
        <v>897</v>
      </c>
      <c r="B13" s="54" t="s">
        <v>78</v>
      </c>
      <c r="C13" s="333" t="s">
        <v>296</v>
      </c>
      <c r="D13" s="54" t="s"/>
      <c r="E13" s="54" t="s"/>
      <c r="F13" s="54" t="s"/>
      <c r="G13" s="54">
        <v>7028</v>
      </c>
      <c r="H13" s="54">
        <v>7028</v>
      </c>
      <c r="I13" s="63" t="s">
        <v>297</v>
      </c>
      <c r="J13" s="402" t="s">
        <v>297</v>
      </c>
      <c r="K13" s="54">
        <v>7028</v>
      </c>
      <c r="L13" s="343" t="s">
        <v>447</v>
      </c>
      <c r="M13" s="399" t="s">
        <v>448</v>
      </c>
      <c r="N13" s="403" t="s"/>
      <c r="O13" s="404" t="s"/>
      <c r="P13" s="60" t="s"/>
      <c r="Q13" s="59" t="s"/>
      <c r="R13" s="59" t="s"/>
      <c r="S13" s="59" t="s"/>
      <c r="T13" s="59" t="s"/>
      <c r="U13" s="59" t="s"/>
      <c r="V13" s="59" t="s"/>
      <c r="W13" s="59" t="s"/>
      <c r="X13" s="59" t="s"/>
      <c r="Y13" s="60" t="s"/>
      <c r="Z13" s="59" t="s"/>
    </row>
    <row r="14" spans="1:26" ht="13.5">
      <c r="A14" s="63" t="s">
        <v>894</v>
      </c>
      <c r="B14" s="54" t="s">
        <v>78</v>
      </c>
      <c r="C14" s="333" t="s">
        <v>296</v>
      </c>
      <c r="D14" s="54" t="s">
        <v>297</v>
      </c>
      <c r="E14" s="54" t="s">
        <v>297</v>
      </c>
      <c r="F14" s="54" t="s">
        <v>297</v>
      </c>
      <c r="G14" s="54" t="s">
        <v>297</v>
      </c>
      <c r="H14" s="54" t="s">
        <v>297</v>
      </c>
      <c r="I14" s="63" t="s">
        <v>905</v>
      </c>
      <c r="J14" s="402" t="s">
        <v>297</v>
      </c>
      <c r="K14" s="54" t="s">
        <v>297</v>
      </c>
      <c r="L14" s="405" t="s">
        <v>449</v>
      </c>
      <c r="M14" s="399" t="s">
        <v>450</v>
      </c>
      <c r="N14" s="59" t="s"/>
      <c r="O14" s="404" t="s">
        <v>451</v>
      </c>
      <c r="P14" s="60" t="s"/>
      <c r="Q14" s="59" t="s"/>
      <c r="R14" s="59" t="s"/>
      <c r="S14" s="59" t="s"/>
      <c r="T14" s="59" t="s"/>
      <c r="U14" s="59" t="s"/>
      <c r="V14" s="59" t="s"/>
      <c r="W14" s="59" t="s"/>
      <c r="X14" s="59" t="s"/>
      <c r="Y14" s="60" t="s"/>
      <c r="Z14" s="59" t="s"/>
    </row>
    <row r="15" spans="1:26" ht="27">
      <c r="A15" s="63" t="s">
        <v>452</v>
      </c>
      <c r="B15" s="54" t="s">
        <v>78</v>
      </c>
      <c r="C15" s="333" t="s">
        <v>296</v>
      </c>
      <c r="D15" s="54">
        <v>7028</v>
      </c>
      <c r="E15" s="406" t="s">
        <v>316</v>
      </c>
      <c r="F15" s="54">
        <v>7027</v>
      </c>
      <c r="G15" s="54">
        <v>7028</v>
      </c>
      <c r="H15" s="54">
        <v>7027</v>
      </c>
      <c r="I15" s="54">
        <v>7027</v>
      </c>
      <c r="J15" s="54">
        <v>7028</v>
      </c>
      <c r="K15" s="54">
        <v>7027</v>
      </c>
      <c r="L15" s="398" t="s">
        <v>453</v>
      </c>
      <c r="M15" s="399" t="s">
        <v>454</v>
      </c>
      <c r="N15" s="59" t="s"/>
      <c r="O15" s="59" t="s"/>
      <c r="P15" s="60" t="s"/>
      <c r="Q15" s="59" t="s"/>
      <c r="R15" s="59" t="s"/>
      <c r="S15" s="59" t="s"/>
      <c r="T15" s="59" t="s"/>
      <c r="U15" s="59" t="s"/>
      <c r="V15" s="59" t="s"/>
      <c r="W15" s="59" t="s"/>
      <c r="X15" s="59" t="s"/>
      <c r="Y15" s="60" t="s"/>
      <c r="Z15" s="59" t="s"/>
    </row>
    <row r="16" spans="1:26" ht="13.5">
      <c r="A16" s="63" t="s">
        <v>906</v>
      </c>
      <c r="B16" s="54" t="s">
        <v>78</v>
      </c>
      <c r="C16" s="333" t="s">
        <v>296</v>
      </c>
      <c r="D16" s="54">
        <v>7027</v>
      </c>
      <c r="E16" s="54">
        <v>7027</v>
      </c>
      <c r="F16" s="90">
        <v>7027</v>
      </c>
      <c r="G16" s="54" t="s">
        <v>297</v>
      </c>
      <c r="H16" s="160">
        <v>7027</v>
      </c>
      <c r="I16" s="407" t="s">
        <v>297</v>
      </c>
      <c r="J16" s="54">
        <v>7027</v>
      </c>
      <c r="K16" s="54" t="s">
        <v>297</v>
      </c>
      <c r="L16" s="399" t="s">
        <v>455</v>
      </c>
      <c r="M16" s="399" t="s">
        <v>456</v>
      </c>
      <c r="N16" s="332" t="s"/>
      <c r="O16" s="404" t="s">
        <v>451</v>
      </c>
      <c r="P16" s="60" t="s"/>
      <c r="Q16" s="59" t="s"/>
      <c r="R16" s="59" t="s"/>
      <c r="S16" s="59" t="s"/>
      <c r="T16" s="59" t="s"/>
      <c r="U16" s="59" t="s"/>
      <c r="V16" s="59" t="s"/>
      <c r="W16" s="59" t="s"/>
      <c r="X16" s="59" t="s"/>
      <c r="Y16" s="60" t="s"/>
      <c r="Z16" s="59" t="s"/>
    </row>
    <row r="17" spans="1:26" ht="13.5">
      <c r="A17" s="63" t="s">
        <v>893</v>
      </c>
      <c r="B17" s="54" t="s">
        <v>78</v>
      </c>
      <c r="C17" s="333" t="s">
        <v>296</v>
      </c>
      <c r="D17" s="54">
        <v>7027</v>
      </c>
      <c r="E17" s="54">
        <v>7027</v>
      </c>
      <c r="F17" s="54">
        <v>7027</v>
      </c>
      <c r="G17" s="54">
        <v>7027</v>
      </c>
      <c r="H17" s="54">
        <v>7027</v>
      </c>
      <c r="I17" s="54">
        <v>7027</v>
      </c>
      <c r="J17" s="54">
        <v>7027</v>
      </c>
      <c r="K17" s="54">
        <v>7027</v>
      </c>
      <c r="L17" s="335" t="s">
        <v>457</v>
      </c>
      <c r="M17" s="399" t="s">
        <v>458</v>
      </c>
      <c r="N17" s="59" t="s"/>
      <c r="O17" s="59" t="s"/>
      <c r="P17" s="60" t="s"/>
      <c r="Q17" s="59" t="s"/>
      <c r="R17" s="59" t="s"/>
      <c r="S17" s="59" t="s"/>
      <c r="T17" s="59" t="s"/>
      <c r="U17" s="59" t="s"/>
      <c r="V17" s="59" t="s"/>
      <c r="W17" s="59" t="s"/>
      <c r="X17" s="59" t="s"/>
      <c r="Y17" s="60" t="s"/>
      <c r="Z17" s="59" t="s"/>
    </row>
    <row r="18" spans="1:26" ht="13.5">
      <c r="A18" s="54" t="s">
        <v>320</v>
      </c>
      <c r="B18" s="54" t="s">
        <v>78</v>
      </c>
      <c r="C18" s="333" t="s">
        <v>296</v>
      </c>
      <c r="D18" s="54">
        <v>7027</v>
      </c>
      <c r="E18" s="54">
        <v>7027</v>
      </c>
      <c r="F18" s="345">
        <v>7027</v>
      </c>
      <c r="G18" s="160">
        <v>7027</v>
      </c>
      <c r="H18" s="90">
        <v>7027</v>
      </c>
      <c r="I18" s="406" t="s">
        <v>297</v>
      </c>
      <c r="J18" s="408" t="s">
        <v>297</v>
      </c>
      <c r="K18" s="406" t="s">
        <v>297</v>
      </c>
      <c r="L18" s="38" t="s">
        <v>459</v>
      </c>
      <c r="M18" s="38" t="s">
        <v>446</v>
      </c>
      <c r="N18" s="59" t="s"/>
      <c r="O18" s="59" t="s"/>
      <c r="P18" s="60" t="s">
        <v>445</v>
      </c>
      <c r="Q18" s="59" t="s"/>
      <c r="R18" s="59" t="s"/>
      <c r="S18" s="59" t="s"/>
      <c r="T18" s="59" t="s"/>
      <c r="U18" s="59" t="s"/>
      <c r="V18" s="59" t="s"/>
      <c r="W18" s="59" t="s"/>
      <c r="X18" s="59" t="s"/>
      <c r="Y18" s="60" t="s"/>
      <c r="Z18" s="59" t="s"/>
    </row>
    <row r="19" spans="1:26" ht="27">
      <c r="A19" s="63" t="s">
        <v>907</v>
      </c>
      <c r="B19" s="54" t="s">
        <v>78</v>
      </c>
      <c r="C19" s="333" t="s">
        <v>296</v>
      </c>
      <c r="D19" s="54">
        <v>7027</v>
      </c>
      <c r="E19" s="54">
        <v>7027</v>
      </c>
      <c r="F19" s="54">
        <v>7027</v>
      </c>
      <c r="G19" s="54">
        <v>7027</v>
      </c>
      <c r="H19" s="54">
        <v>7027</v>
      </c>
      <c r="I19" s="54">
        <v>7027</v>
      </c>
      <c r="J19" s="54">
        <v>7027</v>
      </c>
      <c r="K19" s="54">
        <v>7027</v>
      </c>
      <c r="L19" s="399">
        <v>1</v>
      </c>
      <c r="M19" s="399" t="s">
        <v>460</v>
      </c>
      <c r="N19" s="59" t="s"/>
      <c r="O19" s="59" t="s"/>
      <c r="P19" s="60" t="s">
        <v>445</v>
      </c>
      <c r="Q19" s="59" t="s"/>
      <c r="R19" s="59" t="s"/>
      <c r="S19" s="59" t="s"/>
      <c r="T19" s="59" t="s"/>
      <c r="U19" s="59" t="s"/>
      <c r="V19" s="59" t="s"/>
      <c r="W19" s="59" t="s"/>
      <c r="X19" s="59" t="s"/>
      <c r="Y19" s="60" t="s"/>
      <c r="Z19" s="59" t="s"/>
    </row>
    <row r="20" spans="1:26" ht="13.5">
      <c r="A20" s="54" t="s">
        <v>324</v>
      </c>
      <c r="B20" s="54" t="s">
        <v>101</v>
      </c>
      <c r="C20" s="340" t="s">
        <v>296</v>
      </c>
      <c r="D20" s="54">
        <v>7027</v>
      </c>
      <c r="E20" s="54">
        <v>7027</v>
      </c>
      <c r="F20" s="160">
        <v>7027</v>
      </c>
      <c r="G20" s="160">
        <v>7027</v>
      </c>
      <c r="H20" s="160">
        <v>7027</v>
      </c>
      <c r="I20" s="160">
        <v>7027</v>
      </c>
      <c r="J20" s="160">
        <v>7027</v>
      </c>
      <c r="K20" s="160" t="s">
        <v>297</v>
      </c>
      <c r="L20" s="57" t="s"/>
      <c r="M20" s="57" t="s">
        <v>461</v>
      </c>
      <c r="N20" s="59" t="s"/>
      <c r="O20" s="59" t="s"/>
      <c r="P20" s="59" t="s"/>
      <c r="Q20" s="59" t="s"/>
      <c r="R20" s="59" t="s"/>
      <c r="S20" s="59" t="s"/>
      <c r="T20" s="59" t="s"/>
      <c r="U20" s="59" t="s"/>
      <c r="V20" s="59" t="s"/>
      <c r="W20" s="59" t="s"/>
      <c r="X20" s="59" t="s"/>
      <c r="Y20" s="59" t="s"/>
      <c r="Z20" s="59" t="s"/>
    </row>
    <row r="21" spans="1:26" ht="13.5">
      <c r="A21" s="53" t="s">
        <v>329</v>
      </c>
      <c r="B21" s="54" t="s">
        <v>78</v>
      </c>
      <c r="C21" s="342" t="s">
        <v>330</v>
      </c>
      <c r="D21" s="54" t="s">
        <v>297</v>
      </c>
      <c r="E21" s="54" t="s">
        <v>297</v>
      </c>
      <c r="F21" s="54">
        <v>7028</v>
      </c>
      <c r="G21" s="54">
        <v>7028</v>
      </c>
      <c r="H21" s="63" t="s">
        <v>908</v>
      </c>
      <c r="I21" s="63" t="s">
        <v>908</v>
      </c>
      <c r="J21" s="54" t="s">
        <v>160</v>
      </c>
      <c r="K21" s="54" t="s">
        <v>160</v>
      </c>
      <c r="L21" s="343" t="s">
        <v>462</v>
      </c>
      <c r="M21" s="399" t="s"/>
      <c r="N21" s="59" t="s"/>
      <c r="O21" s="59" t="s"/>
      <c r="P21" s="60" t="s">
        <v>445</v>
      </c>
      <c r="Q21" s="59" t="s"/>
      <c r="R21" s="59" t="s"/>
      <c r="S21" s="59" t="s"/>
      <c r="T21" s="59" t="s"/>
      <c r="U21" s="59" t="s"/>
      <c r="V21" s="59" t="s"/>
      <c r="W21" s="59" t="s"/>
      <c r="X21" s="59" t="s"/>
      <c r="Y21" s="60" t="s"/>
      <c r="Z21" s="59" t="s"/>
    </row>
    <row r="22" spans="1:26" ht="13.5">
      <c r="A22" s="63" t="s">
        <v>895</v>
      </c>
      <c r="B22" s="54" t="s">
        <v>78</v>
      </c>
      <c r="C22" s="342" t="s">
        <v>330</v>
      </c>
      <c r="D22" s="54" t="s">
        <v>297</v>
      </c>
      <c r="E22" s="54" t="s">
        <v>297</v>
      </c>
      <c r="F22" s="63" t="s">
        <v>905</v>
      </c>
      <c r="G22" s="54">
        <v>7027</v>
      </c>
      <c r="H22" s="54">
        <v>7027</v>
      </c>
      <c r="I22" s="63" t="s">
        <v>297</v>
      </c>
      <c r="J22" s="63" t="s">
        <v>297</v>
      </c>
      <c r="K22" s="63" t="s">
        <v>297</v>
      </c>
      <c r="L22" s="343" t="s">
        <v>332</v>
      </c>
      <c r="M22" s="399" t="s">
        <v>463</v>
      </c>
      <c r="N22" s="59" t="s"/>
      <c r="O22" s="59" t="s"/>
      <c r="P22" s="60" t="s">
        <v>445</v>
      </c>
      <c r="Q22" s="59" t="s"/>
      <c r="R22" s="59" t="s"/>
      <c r="S22" s="59" t="s"/>
      <c r="T22" s="59" t="s"/>
      <c r="U22" s="59" t="s"/>
      <c r="V22" s="59" t="s"/>
      <c r="W22" s="59" t="s"/>
      <c r="X22" s="59" t="s"/>
      <c r="Y22" s="60" t="s"/>
      <c r="Z22" s="59" t="s"/>
    </row>
    <row r="23" spans="1:26" ht="13.5">
      <c r="A23" s="63" t="s">
        <v>896</v>
      </c>
      <c r="B23" s="54" t="s">
        <v>78</v>
      </c>
      <c r="C23" s="342" t="s">
        <v>330</v>
      </c>
      <c r="D23" s="54">
        <v>7028</v>
      </c>
      <c r="E23" s="54">
        <v>7028</v>
      </c>
      <c r="F23" s="54">
        <v>7027</v>
      </c>
      <c r="G23" s="54">
        <v>7027</v>
      </c>
      <c r="H23" s="54">
        <v>7027</v>
      </c>
      <c r="I23" s="63" t="s">
        <v>905</v>
      </c>
      <c r="J23" s="63" t="s">
        <v>297</v>
      </c>
      <c r="K23" s="54">
        <v>7027</v>
      </c>
      <c r="L23" s="335" t="s">
        <v>339</v>
      </c>
      <c r="M23" s="399" t="s"/>
      <c r="N23" s="332" t="s"/>
      <c r="O23" s="57" t="s"/>
      <c r="P23" s="60" t="s">
        <v>445</v>
      </c>
      <c r="Q23" s="59" t="s"/>
      <c r="R23" s="59" t="s"/>
      <c r="S23" s="59" t="s"/>
      <c r="T23" s="59" t="s"/>
      <c r="U23" s="59" t="s"/>
      <c r="V23" s="59" t="s"/>
      <c r="W23" s="59" t="s"/>
      <c r="X23" s="59" t="s"/>
      <c r="Y23" s="60" t="s"/>
      <c r="Z23" s="59" t="s"/>
    </row>
    <row r="24" spans="1:26" ht="13.5">
      <c r="A24" s="63" t="s">
        <v>338</v>
      </c>
      <c r="B24" s="54" t="s">
        <v>78</v>
      </c>
      <c r="C24" s="342" t="s">
        <v>330</v>
      </c>
      <c r="D24" s="54">
        <v>7028</v>
      </c>
      <c r="E24" s="54">
        <v>7027</v>
      </c>
      <c r="F24" s="54">
        <v>7027</v>
      </c>
      <c r="G24" s="54">
        <v>7027</v>
      </c>
      <c r="H24" s="54">
        <v>7028</v>
      </c>
      <c r="I24" s="54">
        <v>7028</v>
      </c>
      <c r="J24" s="54">
        <v>7028</v>
      </c>
      <c r="K24" s="54">
        <v>7028</v>
      </c>
      <c r="L24" s="398" t="s">
        <v>464</v>
      </c>
      <c r="M24" s="399" t="s">
        <v>367</v>
      </c>
      <c r="N24" s="59" t="s"/>
      <c r="O24" s="57" t="s"/>
      <c r="P24" s="60" t="s">
        <v>445</v>
      </c>
      <c r="Q24" s="59" t="s"/>
      <c r="R24" s="59" t="s"/>
      <c r="S24" s="59" t="s"/>
      <c r="T24" s="59" t="s"/>
      <c r="U24" s="59" t="s"/>
      <c r="V24" s="59" t="s"/>
      <c r="W24" s="59" t="s"/>
      <c r="X24" s="59" t="s"/>
      <c r="Y24" s="60" t="s"/>
      <c r="Z24" s="59" t="s"/>
    </row>
    <row r="25" spans="1:26" ht="13.5">
      <c r="A25" s="54" t="s">
        <v>341</v>
      </c>
      <c r="B25" s="54" t="s">
        <v>78</v>
      </c>
      <c r="C25" s="342" t="s">
        <v>330</v>
      </c>
      <c r="D25" s="54">
        <v>7027</v>
      </c>
      <c r="E25" s="54">
        <v>7027</v>
      </c>
      <c r="F25" s="54">
        <v>7027</v>
      </c>
      <c r="G25" s="54">
        <v>7027</v>
      </c>
      <c r="H25" s="54">
        <v>7027</v>
      </c>
      <c r="I25" s="63" t="s">
        <v>297</v>
      </c>
      <c r="J25" s="63" t="s">
        <v>297</v>
      </c>
      <c r="K25" s="63" t="s">
        <v>297</v>
      </c>
      <c r="L25" s="343" t="s">
        <v>465</v>
      </c>
      <c r="M25" s="399" t="s">
        <v>466</v>
      </c>
      <c r="N25" s="59" t="s"/>
      <c r="O25" s="59" t="s"/>
      <c r="P25" s="60" t="s">
        <v>445</v>
      </c>
      <c r="Q25" s="59" t="s"/>
      <c r="R25" s="59" t="s"/>
      <c r="S25" s="59" t="s"/>
      <c r="T25" s="59" t="s"/>
      <c r="U25" s="59" t="s"/>
      <c r="V25" s="59" t="s"/>
      <c r="W25" s="59" t="s"/>
      <c r="X25" s="59" t="s"/>
      <c r="Y25" s="60" t="s"/>
      <c r="Z25" s="59" t="s"/>
    </row>
    <row r="26" spans="1:26" ht="13.5">
      <c r="A26" s="54" t="s">
        <v>352</v>
      </c>
      <c r="B26" s="54" t="s">
        <v>101</v>
      </c>
      <c r="C26" s="342" t="s">
        <v>330</v>
      </c>
      <c r="D26" s="90" t="s">
        <v>316</v>
      </c>
      <c r="E26" s="90" t="s">
        <v>316</v>
      </c>
      <c r="F26" s="90" t="s">
        <v>316</v>
      </c>
      <c r="G26" s="90" t="s">
        <v>316</v>
      </c>
      <c r="H26" s="90" t="s">
        <v>316</v>
      </c>
      <c r="I26" s="90" t="s">
        <v>316</v>
      </c>
      <c r="J26" s="90" t="s">
        <v>316</v>
      </c>
      <c r="K26" s="54" t="s">
        <v>297</v>
      </c>
      <c r="L26" s="57" t="s"/>
      <c r="M26" s="57" t="s">
        <v>461</v>
      </c>
      <c r="N26" s="59" t="s"/>
      <c r="O26" s="59" t="s"/>
      <c r="P26" s="59" t="s"/>
      <c r="Q26" s="59" t="s"/>
      <c r="R26" s="59" t="s"/>
      <c r="S26" s="59" t="s"/>
      <c r="T26" s="59" t="s"/>
      <c r="U26" s="59" t="s"/>
      <c r="V26" s="59" t="s"/>
      <c r="W26" s="59" t="s"/>
      <c r="X26" s="59" t="s"/>
      <c r="Y26" s="59" t="s"/>
      <c r="Z26" s="59" t="s"/>
    </row>
    <row r="27" spans="1:26" ht="13.5">
      <c r="A27" s="54" t="s">
        <v>467</v>
      </c>
      <c r="B27" s="54" t="s">
        <v>101</v>
      </c>
      <c r="C27" s="409" t="s">
        <v>330</v>
      </c>
      <c r="D27" s="54" t="s">
        <v>297</v>
      </c>
      <c r="E27" s="54" t="s">
        <v>297</v>
      </c>
      <c r="F27" s="54" t="s">
        <v>468</v>
      </c>
      <c r="G27" s="54" t="s">
        <v>297</v>
      </c>
      <c r="H27" s="54" t="s">
        <v>297</v>
      </c>
      <c r="I27" s="63" t="s">
        <v>909</v>
      </c>
      <c r="J27" s="63" t="s">
        <v>909</v>
      </c>
      <c r="K27" s="63" t="s">
        <v>909</v>
      </c>
      <c r="L27" s="57" t="s"/>
      <c r="M27" s="57" t="s"/>
      <c r="N27" s="59" t="s"/>
      <c r="O27" s="59" t="s"/>
      <c r="P27" s="59" t="s"/>
      <c r="Q27" s="59" t="s"/>
      <c r="R27" s="59" t="s"/>
      <c r="S27" s="59" t="s"/>
      <c r="T27" s="59" t="s"/>
      <c r="U27" s="59" t="s"/>
      <c r="V27" s="59" t="s"/>
      <c r="W27" s="59" t="s"/>
      <c r="X27" s="59" t="s"/>
      <c r="Y27" s="59" t="s"/>
      <c r="Z27" s="59" t="s"/>
    </row>
    <row r="28" spans="1:26" ht="13.5">
      <c r="A28" s="53" t="s">
        <v>400</v>
      </c>
      <c r="B28" s="54" t="s">
        <v>78</v>
      </c>
      <c r="C28" s="348" t="s">
        <v>359</v>
      </c>
      <c r="D28" s="160">
        <v>7027</v>
      </c>
      <c r="E28" s="160">
        <v>7027</v>
      </c>
      <c r="F28" s="160">
        <v>7028</v>
      </c>
      <c r="G28" s="160">
        <v>7028</v>
      </c>
      <c r="H28" s="63" t="s">
        <v>297</v>
      </c>
      <c r="I28" s="63" t="s">
        <v>297</v>
      </c>
      <c r="J28" s="54">
        <v>7028</v>
      </c>
      <c r="K28" s="54" t="s">
        <v>160</v>
      </c>
      <c r="L28" s="343" t="s">
        <v>469</v>
      </c>
      <c r="M28" s="399" t="s"/>
      <c r="N28" s="332" t="s">
        <v>470</v>
      </c>
      <c r="O28" s="404" t="s">
        <v>451</v>
      </c>
      <c r="P28" s="60" t="s"/>
      <c r="Q28" s="59" t="s"/>
      <c r="R28" s="59" t="s"/>
      <c r="S28" s="59" t="s"/>
      <c r="T28" s="59" t="s"/>
      <c r="U28" s="59" t="s"/>
      <c r="V28" s="59" t="s"/>
      <c r="W28" s="59" t="s"/>
      <c r="X28" s="59" t="s"/>
      <c r="Y28" s="60" t="s"/>
      <c r="Z28" s="59" t="s"/>
    </row>
    <row r="29" spans="1:26" ht="13.5">
      <c r="A29" s="63" t="s">
        <v>358</v>
      </c>
      <c r="B29" s="54" t="s">
        <v>78</v>
      </c>
      <c r="C29" s="348" t="s">
        <v>359</v>
      </c>
      <c r="D29" s="54">
        <v>7027</v>
      </c>
      <c r="E29" s="54">
        <v>7027</v>
      </c>
      <c r="F29" s="54">
        <v>7027</v>
      </c>
      <c r="G29" s="54">
        <v>7027</v>
      </c>
      <c r="H29" s="54">
        <v>7027</v>
      </c>
      <c r="I29" s="63" t="s">
        <v>297</v>
      </c>
      <c r="J29" s="63" t="s">
        <v>297</v>
      </c>
      <c r="K29" s="63" t="s">
        <v>297</v>
      </c>
      <c r="L29" s="398" t="s">
        <v>471</v>
      </c>
      <c r="M29" s="399" t="s">
        <v>472</v>
      </c>
      <c r="N29" s="59" t="s"/>
      <c r="O29" s="57" t="s"/>
      <c r="P29" s="60" t="s"/>
      <c r="Q29" s="59" t="s"/>
      <c r="R29" s="59" t="s"/>
      <c r="S29" s="59" t="s"/>
      <c r="T29" s="59" t="s"/>
      <c r="U29" s="59" t="s"/>
      <c r="V29" s="59" t="s"/>
      <c r="W29" s="59" t="s"/>
      <c r="X29" s="59" t="s"/>
      <c r="Y29" s="60" t="s"/>
      <c r="Z29" s="59" t="s"/>
    </row>
    <row r="30" spans="1:26" ht="13.5">
      <c r="A30" s="54" t="s">
        <v>361</v>
      </c>
      <c r="B30" s="54" t="s">
        <v>78</v>
      </c>
      <c r="C30" s="348" t="s">
        <v>359</v>
      </c>
      <c r="D30" s="54">
        <v>7027</v>
      </c>
      <c r="E30" s="54">
        <v>7027</v>
      </c>
      <c r="F30" s="54">
        <v>7027</v>
      </c>
      <c r="G30" s="54">
        <v>7027</v>
      </c>
      <c r="H30" s="54">
        <v>7027</v>
      </c>
      <c r="I30" s="54">
        <v>7027</v>
      </c>
      <c r="J30" s="54">
        <v>7027</v>
      </c>
      <c r="K30" s="54">
        <v>7027</v>
      </c>
      <c r="L30" s="343" t="s">
        <v>473</v>
      </c>
      <c r="M30" s="399" t="s"/>
      <c r="N30" s="59" t="s"/>
      <c r="O30" s="59" t="s"/>
      <c r="P30" s="60" t="s"/>
      <c r="Q30" s="59" t="s"/>
      <c r="R30" s="59" t="s"/>
      <c r="S30" s="59" t="s"/>
      <c r="T30" s="59" t="s"/>
      <c r="U30" s="59" t="s"/>
      <c r="V30" s="59" t="s"/>
      <c r="W30" s="59" t="s"/>
      <c r="X30" s="59" t="s"/>
      <c r="Y30" s="60" t="s"/>
      <c r="Z30" s="59" t="s"/>
    </row>
    <row r="31" spans="1:26" ht="13.5">
      <c r="A31" s="63" t="s">
        <v>365</v>
      </c>
      <c r="B31" s="54" t="s">
        <v>78</v>
      </c>
      <c r="C31" s="348" t="s">
        <v>359</v>
      </c>
      <c r="D31" s="54">
        <v>7027</v>
      </c>
      <c r="E31" s="54">
        <v>7027</v>
      </c>
      <c r="F31" s="54">
        <v>7027</v>
      </c>
      <c r="G31" s="54">
        <v>7027</v>
      </c>
      <c r="H31" s="54">
        <v>7027</v>
      </c>
      <c r="I31" s="63" t="s">
        <v>905</v>
      </c>
      <c r="J31" s="63" t="s">
        <v>297</v>
      </c>
      <c r="K31" s="63" t="s">
        <v>297</v>
      </c>
      <c r="L31" s="343" t="s">
        <v>374</v>
      </c>
      <c r="M31" s="399" t="s"/>
      <c r="N31" s="332" t="s">
        <v>474</v>
      </c>
      <c r="O31" s="404" t="s">
        <v>451</v>
      </c>
      <c r="P31" s="60" t="s"/>
      <c r="Q31" s="59" t="s"/>
      <c r="R31" s="59" t="s"/>
      <c r="S31" s="59" t="s"/>
      <c r="T31" s="59" t="s"/>
      <c r="U31" s="59" t="s"/>
      <c r="V31" s="59" t="s"/>
      <c r="W31" s="59" t="s"/>
      <c r="X31" s="59" t="s"/>
      <c r="Y31" s="60" t="s"/>
      <c r="Z31" s="59" t="s"/>
    </row>
    <row r="32" spans="1:26" ht="13.5">
      <c r="A32" s="54" t="s">
        <v>369</v>
      </c>
      <c r="B32" s="54" t="s">
        <v>78</v>
      </c>
      <c r="C32" s="348" t="s">
        <v>359</v>
      </c>
      <c r="D32" s="54">
        <v>7027</v>
      </c>
      <c r="E32" s="54">
        <v>7027</v>
      </c>
      <c r="F32" s="54" t="s">
        <v>297</v>
      </c>
      <c r="G32" s="63" t="s">
        <v>297</v>
      </c>
      <c r="H32" s="63">
        <v>7027</v>
      </c>
      <c r="I32" s="63" t="s">
        <v>905</v>
      </c>
      <c r="J32" s="63" t="s">
        <v>297</v>
      </c>
      <c r="K32" s="54">
        <v>7027</v>
      </c>
      <c r="L32" s="343" t="s">
        <v>314</v>
      </c>
      <c r="M32" s="399" t="s"/>
      <c r="N32" s="59" t="s"/>
      <c r="O32" s="59" t="s"/>
      <c r="P32" s="60" t="s">
        <v>445</v>
      </c>
      <c r="Q32" s="59" t="s"/>
      <c r="R32" s="59" t="s"/>
      <c r="S32" s="59" t="s"/>
      <c r="T32" s="59" t="s"/>
      <c r="U32" s="59" t="s"/>
      <c r="V32" s="59" t="s"/>
      <c r="W32" s="59" t="s"/>
      <c r="X32" s="59" t="s"/>
      <c r="Y32" s="60" t="s"/>
      <c r="Z32" s="59" t="s"/>
    </row>
    <row r="33" spans="1:26" ht="13.5">
      <c r="A33" s="63" t="s">
        <v>373</v>
      </c>
      <c r="B33" s="54" t="s">
        <v>78</v>
      </c>
      <c r="C33" s="348" t="s">
        <v>359</v>
      </c>
      <c r="D33" s="54" t="s"/>
      <c r="E33" s="54" t="s"/>
      <c r="F33" s="54" t="s">
        <v>297</v>
      </c>
      <c r="G33" s="63" t="s">
        <v>297</v>
      </c>
      <c r="H33" s="54" t="s">
        <v>297</v>
      </c>
      <c r="I33" s="63" t="s">
        <v>297</v>
      </c>
      <c r="J33" s="54">
        <v>7027</v>
      </c>
      <c r="K33" s="54" t="s">
        <v>297</v>
      </c>
      <c r="L33" s="343" t="s">
        <v>475</v>
      </c>
      <c r="M33" s="399" t="s">
        <v>476</v>
      </c>
      <c r="N33" s="59" t="s"/>
      <c r="O33" s="57" t="s"/>
      <c r="P33" s="60" t="s">
        <v>445</v>
      </c>
      <c r="Q33" s="59" t="s"/>
      <c r="R33" s="59" t="s"/>
      <c r="S33" s="59" t="s"/>
      <c r="T33" s="59" t="s"/>
      <c r="U33" s="59" t="s"/>
      <c r="V33" s="59" t="s"/>
      <c r="W33" s="59" t="s"/>
      <c r="X33" s="59" t="s"/>
      <c r="Y33" s="60" t="s"/>
      <c r="Z33" s="59" t="s"/>
    </row>
    <row r="34" spans="1:26" ht="13.5">
      <c r="A34" s="54" t="s">
        <v>376</v>
      </c>
      <c r="B34" s="54" t="s">
        <v>78</v>
      </c>
      <c r="C34" s="348" t="s">
        <v>359</v>
      </c>
      <c r="D34" s="54" t="s">
        <v>297</v>
      </c>
      <c r="E34" s="54" t="s">
        <v>297</v>
      </c>
      <c r="F34" s="54" t="s">
        <v>297</v>
      </c>
      <c r="G34" s="63" t="s">
        <v>297</v>
      </c>
      <c r="H34" s="63">
        <v>7027</v>
      </c>
      <c r="I34" s="63" t="s">
        <v>297</v>
      </c>
      <c r="J34" s="63" t="s">
        <v>297</v>
      </c>
      <c r="K34" s="54" t="s">
        <v>297</v>
      </c>
      <c r="L34" s="343" t="s">
        <v>477</v>
      </c>
      <c r="M34" s="399" t="s">
        <v>478</v>
      </c>
      <c r="N34" s="59" t="s"/>
      <c r="O34" s="59" t="s"/>
      <c r="P34" s="60" t="s">
        <v>445</v>
      </c>
      <c r="Q34" s="59" t="s"/>
      <c r="R34" s="59" t="s"/>
      <c r="S34" s="59" t="s"/>
      <c r="T34" s="59" t="s"/>
      <c r="U34" s="59" t="s"/>
      <c r="V34" s="59" t="s"/>
      <c r="W34" s="59" t="s"/>
      <c r="X34" s="59" t="s"/>
      <c r="Y34" s="60" t="s"/>
      <c r="Z34" s="59" t="s"/>
    </row>
    <row r="35" spans="1:26" ht="13.5">
      <c r="A35" s="54" t="s">
        <v>382</v>
      </c>
      <c r="B35" s="54" t="s">
        <v>101</v>
      </c>
      <c r="C35" s="348" t="s">
        <v>359</v>
      </c>
      <c r="D35" s="54">
        <v>7027</v>
      </c>
      <c r="E35" s="54">
        <v>7027</v>
      </c>
      <c r="F35" s="54">
        <v>7027</v>
      </c>
      <c r="G35" s="54">
        <v>7027</v>
      </c>
      <c r="H35" s="54">
        <v>7027</v>
      </c>
      <c r="I35" s="54">
        <v>7027</v>
      </c>
      <c r="J35" s="54">
        <v>7027</v>
      </c>
      <c r="K35" s="54" t="s">
        <v>297</v>
      </c>
      <c r="L35" s="57" t="s"/>
      <c r="M35" s="57" t="s">
        <v>479</v>
      </c>
      <c r="N35" s="59" t="s"/>
      <c r="O35" s="59" t="s"/>
      <c r="P35" s="59" t="s"/>
      <c r="Q35" s="59" t="s"/>
      <c r="R35" s="59" t="s"/>
      <c r="S35" s="59" t="s"/>
      <c r="T35" s="59" t="s"/>
      <c r="U35" s="59" t="s"/>
      <c r="V35" s="59" t="s"/>
      <c r="W35" s="59" t="s"/>
      <c r="X35" s="59" t="s"/>
      <c r="Y35" s="59" t="s"/>
      <c r="Z35" s="59" t="s"/>
    </row>
    <row r="36" spans="1:26" ht="13.5">
      <c r="A36" s="54" t="s">
        <v>383</v>
      </c>
      <c r="B36" s="54" t="s">
        <v>101</v>
      </c>
      <c r="C36" s="348" t="s">
        <v>359</v>
      </c>
      <c r="D36" s="54">
        <v>7027</v>
      </c>
      <c r="E36" s="54">
        <v>7027</v>
      </c>
      <c r="F36" s="54">
        <v>7027</v>
      </c>
      <c r="G36" s="54">
        <v>7027</v>
      </c>
      <c r="H36" s="54">
        <v>7027</v>
      </c>
      <c r="I36" s="54">
        <v>7027</v>
      </c>
      <c r="J36" s="54" t="s">
        <v>297</v>
      </c>
      <c r="K36" s="54" t="s">
        <v>297</v>
      </c>
      <c r="L36" s="57" t="s"/>
      <c r="M36" s="57" t="s">
        <v>479</v>
      </c>
      <c r="N36" s="59" t="s"/>
      <c r="O36" s="59" t="s"/>
      <c r="P36" s="59" t="s"/>
      <c r="Q36" s="59" t="s"/>
      <c r="R36" s="59" t="s"/>
      <c r="S36" s="59" t="s"/>
      <c r="T36" s="59" t="s"/>
      <c r="U36" s="59" t="s"/>
      <c r="V36" s="59" t="s"/>
      <c r="W36" s="59" t="s"/>
      <c r="X36" s="59" t="s"/>
      <c r="Y36" s="59" t="s"/>
      <c r="Z36" s="59" t="s"/>
    </row>
    <row r="37" spans="1:26" ht="13.5">
      <c r="A37" s="54" t="s">
        <v>387</v>
      </c>
      <c r="B37" s="54" t="s">
        <v>101</v>
      </c>
      <c r="C37" s="349" t="s">
        <v>388</v>
      </c>
      <c r="D37" s="54">
        <v>7027</v>
      </c>
      <c r="E37" s="54">
        <v>7027</v>
      </c>
      <c r="F37" s="54">
        <v>7027</v>
      </c>
      <c r="G37" s="54">
        <v>7027</v>
      </c>
      <c r="H37" s="54">
        <v>7027</v>
      </c>
      <c r="I37" s="54">
        <v>7027</v>
      </c>
      <c r="J37" s="54">
        <v>7027</v>
      </c>
      <c r="K37" s="54">
        <v>7027</v>
      </c>
      <c r="L37" s="57" t="s"/>
      <c r="M37" s="57" t="s"/>
      <c r="N37" s="59" t="s"/>
      <c r="O37" s="59" t="s"/>
      <c r="P37" s="59" t="s"/>
      <c r="Q37" s="59" t="s"/>
      <c r="R37" s="59" t="s"/>
      <c r="S37" s="59" t="s"/>
      <c r="T37" s="59" t="s"/>
      <c r="U37" s="59" t="s"/>
      <c r="V37" s="59" t="s"/>
      <c r="W37" s="59" t="s"/>
      <c r="X37" s="59" t="s"/>
      <c r="Y37" s="59" t="s"/>
      <c r="Z37" s="59" t="s"/>
    </row>
    <row r="38" spans="1:26" ht="13.5">
      <c r="A38" s="54" t="s">
        <v>480</v>
      </c>
      <c r="B38" s="54" t="s">
        <v>101</v>
      </c>
      <c r="C38" s="349" t="s">
        <v>388</v>
      </c>
      <c r="D38" s="54">
        <v>7027</v>
      </c>
      <c r="E38" s="54">
        <v>7027</v>
      </c>
      <c r="F38" s="54">
        <v>7027</v>
      </c>
      <c r="G38" s="54">
        <v>7027</v>
      </c>
      <c r="H38" s="54">
        <v>7027</v>
      </c>
      <c r="I38" s="54">
        <v>7027</v>
      </c>
      <c r="J38" s="54">
        <v>7027</v>
      </c>
      <c r="K38" s="54" t="s">
        <v>297</v>
      </c>
      <c r="L38" s="57" t="s"/>
      <c r="M38" s="57" t="s">
        <v>481</v>
      </c>
      <c r="N38" s="59" t="s"/>
      <c r="O38" s="59" t="s"/>
      <c r="P38" s="59" t="s"/>
      <c r="Q38" s="59" t="s"/>
      <c r="R38" s="59" t="s"/>
      <c r="S38" s="59" t="s"/>
      <c r="T38" s="59" t="s"/>
      <c r="U38" s="59" t="s"/>
      <c r="V38" s="59" t="s"/>
      <c r="W38" s="59" t="s"/>
      <c r="X38" s="59" t="s"/>
      <c r="Y38" s="59" t="s"/>
      <c r="Z38" s="59" t="s"/>
    </row>
    <row r="39" spans="1:26" ht="13.5">
      <c r="A39" s="63" t="s">
        <v>390</v>
      </c>
      <c r="B39" s="54" t="s">
        <v>78</v>
      </c>
      <c r="C39" s="89" t="s">
        <v>391</v>
      </c>
      <c r="D39" s="54" t="s">
        <v>297</v>
      </c>
      <c r="E39" s="54" t="s">
        <v>297</v>
      </c>
      <c r="F39" s="54" t="s">
        <v>160</v>
      </c>
      <c r="G39" s="54" t="s">
        <v>160</v>
      </c>
      <c r="H39" s="63" t="s">
        <v>160</v>
      </c>
      <c r="I39" s="63" t="s">
        <v>297</v>
      </c>
      <c r="J39" s="54" t="s">
        <v>160</v>
      </c>
      <c r="K39" s="63" t="s">
        <v>160</v>
      </c>
      <c r="L39" s="335" t="s">
        <v>392</v>
      </c>
      <c r="M39" s="399" t="s">
        <v>446</v>
      </c>
      <c r="N39" s="59" t="s"/>
      <c r="O39" s="57" t="s"/>
      <c r="P39" s="60" t="s"/>
      <c r="Q39" s="59" t="s"/>
      <c r="R39" s="59" t="s"/>
      <c r="S39" s="59" t="s"/>
      <c r="T39" s="59" t="s"/>
      <c r="U39" s="59" t="s"/>
      <c r="V39" s="59" t="s"/>
      <c r="W39" s="59" t="s"/>
      <c r="X39" s="59" t="s"/>
      <c r="Y39" s="60" t="s"/>
      <c r="Z39" s="59" t="s"/>
    </row>
    <row r="40" spans="1:26" ht="13.5">
      <c r="A40" s="63" t="s">
        <v>393</v>
      </c>
      <c r="B40" s="54" t="s">
        <v>78</v>
      </c>
      <c r="C40" s="89" t="s">
        <v>391</v>
      </c>
      <c r="D40" s="54">
        <v>7028</v>
      </c>
      <c r="E40" s="54">
        <v>7028</v>
      </c>
      <c r="F40" s="54">
        <v>7028</v>
      </c>
      <c r="G40" s="54">
        <v>7028</v>
      </c>
      <c r="H40" s="54">
        <v>7028</v>
      </c>
      <c r="I40" s="54">
        <v>7028</v>
      </c>
      <c r="J40" s="54">
        <v>7028</v>
      </c>
      <c r="K40" s="54">
        <v>7028</v>
      </c>
      <c r="L40" s="350" t="s">
        <v>394</v>
      </c>
      <c r="M40" s="38" t="s"/>
      <c r="N40" s="59" t="s"/>
      <c r="O40" s="59" t="s"/>
      <c r="P40" s="60" t="s"/>
      <c r="Q40" s="59" t="s"/>
      <c r="R40" s="59" t="s"/>
      <c r="S40" s="59" t="s"/>
      <c r="T40" s="59" t="s"/>
      <c r="U40" s="59" t="s"/>
      <c r="V40" s="59" t="s"/>
      <c r="W40" s="59" t="s"/>
      <c r="X40" s="59" t="s"/>
      <c r="Y40" s="60" t="s"/>
      <c r="Z40" s="59" t="s"/>
    </row>
    <row r="41" spans="1:26" ht="13.5">
      <c r="A41" s="63" t="s">
        <v>482</v>
      </c>
      <c r="B41" s="54" t="s">
        <v>78</v>
      </c>
      <c r="C41" s="89" t="s">
        <v>391</v>
      </c>
      <c r="D41" s="54" t="s">
        <v>483</v>
      </c>
      <c r="E41" s="54" t="s">
        <v>483</v>
      </c>
      <c r="F41" s="63">
        <v>7027</v>
      </c>
      <c r="G41" s="54">
        <v>7027</v>
      </c>
      <c r="H41" s="63" t="s">
        <v>297</v>
      </c>
      <c r="I41" s="63" t="s">
        <v>297</v>
      </c>
      <c r="J41" s="63" t="s">
        <v>297</v>
      </c>
      <c r="K41" s="63" t="s">
        <v>297</v>
      </c>
      <c r="L41" s="399">
        <v>1</v>
      </c>
      <c r="M41" s="399" t="s">
        <v>478</v>
      </c>
      <c r="N41" s="59" t="s"/>
      <c r="O41" s="404" t="s"/>
      <c r="P41" s="60" t="s">
        <v>445</v>
      </c>
      <c r="Q41" s="59" t="s"/>
      <c r="R41" s="59" t="s"/>
      <c r="S41" s="59" t="s"/>
      <c r="T41" s="59" t="s"/>
      <c r="U41" s="59" t="s"/>
      <c r="V41" s="59" t="s"/>
      <c r="W41" s="59" t="s"/>
      <c r="X41" s="59" t="s"/>
      <c r="Y41" s="60" t="s"/>
      <c r="Z41" s="59" t="s"/>
    </row>
    <row r="42" spans="1:26" ht="13.5">
      <c r="A42" s="54" t="s">
        <v>396</v>
      </c>
      <c r="B42" s="54" t="s">
        <v>78</v>
      </c>
      <c r="C42" s="54" t="s">
        <v>397</v>
      </c>
      <c r="D42" s="54" t="s">
        <v>178</v>
      </c>
      <c r="E42" s="54" t="s">
        <v>178</v>
      </c>
      <c r="F42" s="54" t="s">
        <v>178</v>
      </c>
      <c r="G42" s="54" t="s">
        <v>178</v>
      </c>
      <c r="H42" s="54" t="s">
        <v>178</v>
      </c>
      <c r="I42" s="54" t="s">
        <v>178</v>
      </c>
      <c r="J42" s="54" t="s">
        <v>178</v>
      </c>
      <c r="K42" s="54" t="s">
        <v>178</v>
      </c>
      <c r="L42" s="38" t="s">
        <v>455</v>
      </c>
      <c r="M42" s="38" t="s"/>
      <c r="N42" s="59" t="s"/>
      <c r="O42" s="59" t="s"/>
      <c r="P42" s="60" t="s"/>
      <c r="Q42" s="59" t="s"/>
      <c r="R42" s="59" t="s"/>
      <c r="S42" s="59" t="s"/>
      <c r="T42" s="59" t="s"/>
      <c r="U42" s="59" t="s"/>
      <c r="V42" s="59" t="s"/>
      <c r="W42" s="59" t="s"/>
      <c r="X42" s="59" t="s"/>
      <c r="Y42" s="60" t="s"/>
      <c r="Z42" s="59" t="s"/>
    </row>
    <row r="43" spans="1:26" ht="13.5">
      <c r="A43" s="54" t="s">
        <v>345</v>
      </c>
      <c r="B43" s="54" t="s">
        <v>78</v>
      </c>
      <c r="C43" s="54" t="s">
        <v>397</v>
      </c>
      <c r="D43" s="54" t="s">
        <v>178</v>
      </c>
      <c r="E43" s="54" t="s">
        <v>178</v>
      </c>
      <c r="F43" s="54" t="s">
        <v>178</v>
      </c>
      <c r="G43" s="54" t="s">
        <v>178</v>
      </c>
      <c r="H43" s="54" t="s">
        <v>178</v>
      </c>
      <c r="I43" s="54" t="s">
        <v>178</v>
      </c>
      <c r="J43" s="54" t="s">
        <v>178</v>
      </c>
      <c r="K43" s="54" t="s">
        <v>178</v>
      </c>
      <c r="L43" s="350" t="s">
        <v>347</v>
      </c>
      <c r="M43" s="38" t="s"/>
      <c r="N43" s="59" t="s"/>
      <c r="O43" s="59" t="s"/>
      <c r="P43" s="60" t="s"/>
      <c r="Q43" s="59" t="s"/>
      <c r="R43" s="59" t="s"/>
      <c r="S43" s="59" t="s"/>
      <c r="T43" s="59" t="s"/>
      <c r="U43" s="59" t="s"/>
      <c r="V43" s="59" t="s"/>
      <c r="W43" s="59" t="s"/>
      <c r="X43" s="59" t="s"/>
      <c r="Y43" s="60" t="s"/>
      <c r="Z43" s="59" t="s"/>
    </row>
    <row r="44" spans="1:26" ht="13.5">
      <c r="A44" s="54" t="s">
        <v>399</v>
      </c>
      <c r="B44" s="54" t="s">
        <v>78</v>
      </c>
      <c r="C44" s="54" t="s">
        <v>397</v>
      </c>
      <c r="D44" s="54" t="s">
        <v>178</v>
      </c>
      <c r="E44" s="54" t="s">
        <v>178</v>
      </c>
      <c r="F44" s="54" t="s">
        <v>178</v>
      </c>
      <c r="G44" s="54" t="s">
        <v>178</v>
      </c>
      <c r="H44" s="54" t="s">
        <v>178</v>
      </c>
      <c r="I44" s="54" t="s">
        <v>178</v>
      </c>
      <c r="J44" s="54" t="s">
        <v>178</v>
      </c>
      <c r="K44" s="54" t="s">
        <v>178</v>
      </c>
      <c r="L44" s="38" t="s">
        <v>455</v>
      </c>
      <c r="M44" s="38" t="s"/>
      <c r="N44" s="59" t="s"/>
      <c r="O44" s="59" t="s"/>
      <c r="P44" s="60" t="s"/>
      <c r="Q44" s="59" t="s"/>
      <c r="R44" s="59" t="s"/>
      <c r="S44" s="59" t="s"/>
      <c r="T44" s="59" t="s"/>
      <c r="U44" s="59" t="s"/>
      <c r="V44" s="59" t="s"/>
      <c r="W44" s="59" t="s"/>
      <c r="X44" s="59" t="s"/>
      <c r="Y44" s="60" t="s"/>
      <c r="Z44" s="59" t="s"/>
    </row>
    <row r="45" spans="1:26" ht="13.5">
      <c r="A45" s="54" t="s">
        <v>484</v>
      </c>
      <c r="B45" s="54" t="s">
        <v>78</v>
      </c>
      <c r="C45" s="54" t="s">
        <v>401</v>
      </c>
      <c r="D45" s="54" t="s">
        <v>185</v>
      </c>
      <c r="E45" s="54" t="s">
        <v>185</v>
      </c>
      <c r="F45" s="54" t="s">
        <v>185</v>
      </c>
      <c r="G45" s="54" t="s">
        <v>185</v>
      </c>
      <c r="H45" s="54" t="s">
        <v>185</v>
      </c>
      <c r="I45" s="54" t="s">
        <v>185</v>
      </c>
      <c r="J45" s="54" t="s">
        <v>185</v>
      </c>
      <c r="K45" s="54" t="s">
        <v>185</v>
      </c>
      <c r="L45" s="38" t="s"/>
      <c r="M45" s="38" t="s"/>
      <c r="N45" s="59" t="s"/>
      <c r="O45" s="59" t="s"/>
      <c r="P45" s="60" t="s"/>
      <c r="Q45" s="59" t="s"/>
      <c r="R45" s="59" t="s"/>
      <c r="S45" s="59" t="s"/>
      <c r="T45" s="59" t="s"/>
      <c r="U45" s="59" t="s"/>
      <c r="V45" s="59" t="s"/>
      <c r="W45" s="59" t="s"/>
      <c r="X45" s="59" t="s"/>
      <c r="Y45" s="60" t="s"/>
      <c r="Z45" s="59" t="s"/>
    </row>
    <row r="46" spans="1:26" ht="13.5">
      <c r="A46" s="54" t="s">
        <v>402</v>
      </c>
      <c r="B46" s="54" t="s">
        <v>78</v>
      </c>
      <c r="C46" s="54" t="s">
        <v>401</v>
      </c>
      <c r="D46" s="54" t="s">
        <v>185</v>
      </c>
      <c r="E46" s="54" t="s">
        <v>185</v>
      </c>
      <c r="F46" s="54" t="s">
        <v>185</v>
      </c>
      <c r="G46" s="54" t="s">
        <v>185</v>
      </c>
      <c r="H46" s="54" t="s">
        <v>185</v>
      </c>
      <c r="I46" s="54" t="s">
        <v>185</v>
      </c>
      <c r="J46" s="54" t="s">
        <v>185</v>
      </c>
      <c r="K46" s="54" t="s">
        <v>185</v>
      </c>
      <c r="L46" s="38" t="s"/>
      <c r="M46" s="38" t="s"/>
      <c r="N46" s="59" t="s"/>
      <c r="O46" s="59" t="s"/>
      <c r="P46" s="60" t="s"/>
      <c r="Q46" s="59" t="s"/>
      <c r="R46" s="59" t="s"/>
      <c r="S46" s="59" t="s"/>
      <c r="T46" s="59" t="s"/>
      <c r="U46" s="59" t="s"/>
      <c r="V46" s="59" t="s"/>
      <c r="W46" s="59" t="s"/>
      <c r="X46" s="59" t="s"/>
      <c r="Y46" s="60" t="s"/>
      <c r="Z46" s="59" t="s"/>
    </row>
    <row r="47" spans="1:26" ht="13.5">
      <c r="A47" s="54" t="s">
        <v>389</v>
      </c>
      <c r="B47" s="54" t="s">
        <v>101</v>
      </c>
      <c r="C47" s="54" t="s">
        <v>401</v>
      </c>
      <c r="D47" s="54" t="s">
        <v>185</v>
      </c>
      <c r="E47" s="54" t="s">
        <v>185</v>
      </c>
      <c r="F47" s="54" t="s">
        <v>185</v>
      </c>
      <c r="G47" s="54" t="s">
        <v>185</v>
      </c>
      <c r="H47" s="54" t="s">
        <v>185</v>
      </c>
      <c r="I47" s="54" t="s">
        <v>185</v>
      </c>
      <c r="J47" s="54" t="s">
        <v>185</v>
      </c>
      <c r="K47" s="54" t="s">
        <v>185</v>
      </c>
      <c r="L47" s="57" t="s"/>
      <c r="M47" s="57" t="s"/>
      <c r="N47" s="59" t="s"/>
      <c r="O47" s="59" t="s"/>
      <c r="P47" s="59" t="s"/>
      <c r="Q47" s="59" t="s"/>
      <c r="R47" s="59" t="s"/>
      <c r="S47" s="59" t="s"/>
      <c r="T47" s="59" t="s"/>
      <c r="U47" s="59" t="s"/>
      <c r="V47" s="59" t="s"/>
      <c r="W47" s="59" t="s"/>
      <c r="X47" s="59" t="s"/>
      <c r="Y47" s="59" t="s"/>
      <c r="Z47" s="59" t="s"/>
    </row>
    <row r="48" spans="1:26" ht="13.5">
      <c r="A48" s="54" t="s">
        <v>485</v>
      </c>
      <c r="B48" s="63" t="s">
        <v>78</v>
      </c>
      <c r="C48" s="54" t="s">
        <v>404</v>
      </c>
      <c r="D48" s="54" t="s">
        <v>404</v>
      </c>
      <c r="E48" s="54" t="s">
        <v>404</v>
      </c>
      <c r="F48" s="54" t="s">
        <v>404</v>
      </c>
      <c r="G48" s="54" t="s">
        <v>404</v>
      </c>
      <c r="H48" s="54" t="s">
        <v>404</v>
      </c>
      <c r="I48" s="54" t="s">
        <v>404</v>
      </c>
      <c r="J48" s="54" t="s">
        <v>404</v>
      </c>
      <c r="K48" s="54" t="s">
        <v>404</v>
      </c>
      <c r="L48" s="38" t="s"/>
      <c r="M48" s="38" t="s"/>
      <c r="N48" s="59" t="s"/>
      <c r="O48" s="59" t="s"/>
      <c r="P48" s="60" t="s"/>
      <c r="Q48" s="59" t="s"/>
      <c r="R48" s="59" t="s"/>
      <c r="S48" s="59" t="s"/>
      <c r="T48" s="59" t="s"/>
      <c r="U48" s="59" t="s"/>
      <c r="V48" s="59" t="s"/>
      <c r="W48" s="59" t="s"/>
      <c r="X48" s="59" t="s"/>
      <c r="Y48" s="60" t="s"/>
      <c r="Z48" s="59" t="s"/>
    </row>
    <row r="49" spans="1:26" ht="13.5">
      <c r="A49" s="92" t="s"/>
      <c r="B49" s="92" t="s"/>
      <c r="C49" s="92" t="s"/>
      <c r="D49" s="92" t="s"/>
      <c r="E49" s="92" t="s"/>
      <c r="F49" s="92" t="s"/>
      <c r="G49" s="92" t="s"/>
      <c r="H49" s="92" t="s"/>
      <c r="I49" s="92" t="s"/>
      <c r="J49" s="92" t="s"/>
      <c r="K49" s="92" t="s"/>
      <c r="L49" s="38" t="s"/>
      <c r="M49" s="38" t="s"/>
      <c r="N49" s="59" t="s"/>
      <c r="O49" s="57" t="s"/>
      <c r="P49" s="60" t="s"/>
      <c r="Q49" s="59" t="s"/>
      <c r="R49" s="59" t="s"/>
      <c r="S49" s="59" t="s"/>
      <c r="T49" s="59" t="s"/>
      <c r="U49" s="59" t="s"/>
      <c r="V49" s="59" t="s"/>
      <c r="W49" s="59" t="s"/>
      <c r="X49" s="59" t="s"/>
      <c r="Y49" s="60" t="s"/>
      <c r="Z49" s="59" t="s"/>
    </row>
    <row r="50" spans="1:26" ht="13.5">
      <c r="A50" s="92" t="s"/>
      <c r="B50" s="92" t="s"/>
      <c r="C50" s="92" t="s"/>
      <c r="D50" s="92" t="s"/>
      <c r="E50" s="92" t="s"/>
      <c r="F50" s="92" t="s"/>
      <c r="G50" s="351" t="s"/>
      <c r="H50" s="92" t="s"/>
      <c r="I50" s="92" t="s"/>
      <c r="J50" s="92" t="s"/>
      <c r="K50" s="92" t="s"/>
      <c r="L50" s="38" t="s"/>
      <c r="M50" s="38" t="s"/>
      <c r="N50" s="59" t="s"/>
      <c r="O50" s="57" t="s"/>
      <c r="P50" s="60" t="s"/>
      <c r="Q50" s="59" t="s"/>
      <c r="R50" s="59" t="s"/>
      <c r="S50" s="59" t="s"/>
      <c r="T50" s="59" t="s"/>
      <c r="U50" s="59" t="s"/>
      <c r="V50" s="59" t="s"/>
      <c r="W50" s="59" t="s"/>
      <c r="X50" s="59" t="s"/>
      <c r="Y50" s="60" t="s"/>
      <c r="Z50" s="59" t="s"/>
    </row>
    <row r="51" spans="1:26" ht="13.5">
      <c r="A51" s="92" t="s"/>
      <c r="B51" s="92" t="s"/>
      <c r="C51" s="92" t="s"/>
      <c r="D51" s="92" t="s"/>
      <c r="E51" s="92" t="s"/>
      <c r="F51" s="92" t="s"/>
      <c r="G51" s="92" t="s"/>
      <c r="H51" s="92" t="s"/>
      <c r="I51" s="92" t="s"/>
      <c r="J51" s="92" t="s"/>
      <c r="K51" s="92" t="s"/>
      <c r="L51" s="38" t="s"/>
      <c r="M51" s="38" t="s"/>
      <c r="N51" s="59" t="s"/>
      <c r="O51" s="57" t="s"/>
      <c r="P51" s="60" t="s"/>
      <c r="Q51" s="59" t="s"/>
      <c r="R51" s="59" t="s"/>
      <c r="S51" s="59" t="s"/>
      <c r="T51" s="59" t="s"/>
      <c r="U51" s="59" t="s"/>
      <c r="V51" s="59" t="s"/>
      <c r="W51" s="59" t="s"/>
      <c r="X51" s="59" t="s"/>
      <c r="Y51" s="60" t="s"/>
      <c r="Z51" s="59" t="s"/>
    </row>
    <row r="52" spans="1:26" ht="13.5">
      <c r="A52" s="92" t="s"/>
      <c r="B52" s="92" t="s"/>
      <c r="C52" s="92" t="s"/>
      <c r="D52" s="92" t="s"/>
      <c r="E52" s="92" t="s"/>
      <c r="F52" s="92" t="s"/>
      <c r="G52" s="92" t="s"/>
      <c r="H52" s="92" t="s"/>
      <c r="I52" s="92" t="s"/>
      <c r="J52" s="92" t="s"/>
      <c r="K52" s="92" t="s"/>
      <c r="L52" s="38" t="s"/>
      <c r="M52" s="38" t="s"/>
      <c r="N52" s="59" t="s"/>
      <c r="O52" s="57" t="s"/>
      <c r="P52" s="60" t="s"/>
      <c r="Q52" s="59" t="s"/>
      <c r="R52" s="59" t="s"/>
      <c r="S52" s="59" t="s"/>
      <c r="T52" s="59" t="s"/>
      <c r="U52" s="59" t="s"/>
      <c r="V52" s="59" t="s"/>
      <c r="W52" s="59" t="s"/>
      <c r="X52" s="59" t="s"/>
      <c r="Y52" s="60" t="s"/>
      <c r="Z52" s="59" t="s"/>
    </row>
    <row r="53" spans="1:26" ht="13.5">
      <c r="A53" s="92" t="s"/>
      <c r="B53" s="92" t="s"/>
      <c r="C53" s="92" t="s"/>
      <c r="D53" s="92" t="s"/>
      <c r="E53" s="92" t="s"/>
      <c r="F53" s="92" t="s"/>
      <c r="G53" s="92" t="s"/>
      <c r="H53" s="92" t="s"/>
      <c r="I53" s="92" t="s"/>
      <c r="J53" s="92" t="s"/>
      <c r="K53" s="92" t="s"/>
      <c r="L53" s="38" t="s"/>
      <c r="M53" s="38" t="s"/>
      <c r="N53" s="59" t="s"/>
      <c r="O53" s="57" t="s"/>
      <c r="P53" s="60" t="s"/>
      <c r="Q53" s="59" t="s"/>
      <c r="R53" s="59" t="s"/>
      <c r="S53" s="59" t="s"/>
      <c r="T53" s="59" t="s"/>
      <c r="U53" s="59" t="s"/>
      <c r="V53" s="59" t="s"/>
      <c r="W53" s="59" t="s"/>
      <c r="X53" s="59" t="s"/>
      <c r="Y53" s="60" t="s"/>
      <c r="Z53" s="59" t="s"/>
    </row>
    <row r="54" spans="1:26" ht="13.5">
      <c r="A54" s="92" t="s"/>
      <c r="B54" s="92" t="s"/>
      <c r="C54" s="92" t="s"/>
      <c r="D54" s="92" t="s"/>
      <c r="E54" s="92" t="s"/>
      <c r="F54" s="92" t="s"/>
      <c r="G54" s="92" t="s"/>
      <c r="H54" s="92" t="s"/>
      <c r="I54" s="92" t="s"/>
      <c r="J54" s="92" t="s"/>
      <c r="K54" s="92" t="s"/>
      <c r="L54" s="38" t="s"/>
      <c r="M54" s="38" t="s"/>
      <c r="N54" s="59" t="s"/>
      <c r="O54" s="57" t="s"/>
      <c r="P54" s="60" t="s"/>
      <c r="Q54" s="59" t="s"/>
      <c r="R54" s="59" t="s"/>
      <c r="S54" s="59" t="s"/>
      <c r="T54" s="59" t="s"/>
      <c r="U54" s="59" t="s"/>
      <c r="V54" s="59" t="s"/>
      <c r="W54" s="59" t="s"/>
      <c r="X54" s="59" t="s"/>
      <c r="Y54" s="60" t="s"/>
      <c r="Z54" s="59" t="s"/>
    </row>
    <row r="55" spans="1:26" ht="13.5">
      <c r="A55" s="93" t="s"/>
      <c r="B55" s="92" t="s"/>
      <c r="C55" s="92" t="s"/>
      <c r="D55" s="92" t="s"/>
      <c r="E55" s="92" t="s"/>
      <c r="F55" s="94" t="s"/>
      <c r="G55" s="57" t="s"/>
      <c r="H55" s="57" t="s"/>
      <c r="I55" s="57" t="s"/>
      <c r="J55" s="57" t="s"/>
      <c r="K55" s="57" t="s"/>
      <c r="L55" s="38" t="s"/>
      <c r="M55" s="38" t="s"/>
      <c r="N55" s="59" t="s"/>
      <c r="O55" s="57" t="s"/>
      <c r="P55" s="60" t="s"/>
      <c r="Q55" s="59" t="s"/>
      <c r="R55" s="59" t="s"/>
      <c r="S55" s="59" t="s"/>
      <c r="T55" s="59" t="s"/>
      <c r="U55" s="59" t="s"/>
      <c r="V55" s="59" t="s"/>
      <c r="W55" s="59" t="s"/>
      <c r="X55" s="59" t="s"/>
      <c r="Y55" s="60" t="s"/>
      <c r="Z55" s="59" t="s"/>
    </row>
    <row r="56" spans="1:26" ht="13.5">
      <c r="A56" s="95" t="s">
        <v>191</v>
      </c>
      <c r="B56" s="95" t="s"/>
      <c r="C56" s="95" t="s"/>
      <c r="D56" s="95" t="s"/>
      <c r="E56" s="95" t="s"/>
      <c r="F56" s="95" t="s"/>
      <c r="G56" s="95" t="s"/>
      <c r="H56" s="95" t="s"/>
      <c r="I56" s="95" t="s"/>
      <c r="J56" s="95" t="s"/>
      <c r="K56" s="95" t="s"/>
      <c r="L56" s="38" t="s"/>
      <c r="M56" s="38" t="s"/>
      <c r="N56" s="54" t="s"/>
      <c r="O56" s="354" t="s"/>
      <c r="P56" s="60" t="s"/>
      <c r="R56" s="63" t="s"/>
      <c r="S56" s="410" t="s"/>
      <c r="T56" s="79" t="s"/>
      <c r="U56" s="79" t="s"/>
      <c r="V56" s="79" t="s"/>
      <c r="W56" s="79" t="s"/>
      <c r="X56" s="79" t="s"/>
      <c r="Y56" s="52" t="s"/>
      <c r="Z56" s="79" t="s"/>
    </row>
    <row r="57" spans="1:26" ht="13.5">
      <c r="A57" s="95" t="s"/>
      <c r="B57" s="95" t="s"/>
      <c r="C57" s="95" t="s"/>
      <c r="D57" s="95" t="s"/>
      <c r="E57" s="95" t="s"/>
      <c r="F57" s="95" t="s"/>
      <c r="G57" s="95" t="s"/>
      <c r="H57" s="95" t="s"/>
      <c r="I57" s="95" t="s"/>
      <c r="J57" s="95" t="s"/>
      <c r="K57" s="95" t="s"/>
      <c r="L57" s="38" t="s"/>
      <c r="M57" s="411" t="s"/>
      <c r="N57" s="63" t="s"/>
      <c r="O57" s="354" t="s"/>
      <c r="P57" s="60" t="s"/>
      <c r="R57" s="63" t="s"/>
      <c r="S57" s="375" t="s"/>
      <c r="T57" s="79" t="s"/>
      <c r="U57" s="79" t="s"/>
      <c r="V57" s="79" t="s"/>
      <c r="W57" s="79" t="s"/>
      <c r="X57" s="79" t="s"/>
      <c r="Y57" s="52" t="s"/>
      <c r="Z57" s="79" t="s"/>
    </row>
    <row r="58" spans="1:26" ht="13.5">
      <c r="A58" s="412" t="s">
        <v>192</v>
      </c>
      <c r="B58" s="412" t="s"/>
      <c r="C58" s="412" t="s"/>
      <c r="D58" s="413" t="s">
        <v>438</v>
      </c>
      <c r="E58" s="413" t="s"/>
      <c r="F58" s="413" t="s"/>
      <c r="G58" s="413" t="s"/>
      <c r="H58" s="413" t="s"/>
      <c r="I58" s="413" t="s"/>
      <c r="J58" s="413" t="s"/>
      <c r="K58" s="413" t="s"/>
      <c r="L58" s="38" t="s"/>
      <c r="M58" s="38" t="s"/>
      <c r="N58" s="59" t="s"/>
      <c r="O58" s="57" t="s"/>
      <c r="P58" s="60" t="s"/>
      <c r="Q58" s="59" t="s"/>
      <c r="T58" s="59" t="s"/>
      <c r="U58" s="59" t="s"/>
      <c r="V58" s="59" t="s"/>
      <c r="W58" s="59" t="s"/>
      <c r="X58" s="59" t="s"/>
      <c r="Y58" s="60" t="s"/>
      <c r="Z58" s="59" t="s"/>
    </row>
    <row r="59" spans="1:26" ht="13.5">
      <c r="A59" s="414" t="s">
        <v>197</v>
      </c>
      <c r="B59" s="414" t="s">
        <v>52</v>
      </c>
      <c r="C59" s="415" t="s">
        <v>198</v>
      </c>
      <c r="D59" s="416" t="s">
        <v>60</v>
      </c>
      <c r="E59" s="416" t="s">
        <v>61</v>
      </c>
      <c r="F59" s="417" t="s">
        <v>62</v>
      </c>
      <c r="G59" s="417" t="s">
        <v>63</v>
      </c>
      <c r="H59" s="417" t="s">
        <v>64</v>
      </c>
      <c r="I59" s="418" t="s">
        <v>486</v>
      </c>
      <c r="J59" s="418" t="s">
        <v>487</v>
      </c>
      <c r="K59" s="417" t="s">
        <v>66</v>
      </c>
      <c r="L59" s="38" t="s"/>
      <c r="M59" s="38" t="s"/>
      <c r="N59" s="59" t="s"/>
      <c r="O59" s="57" t="s"/>
      <c r="P59" s="60" t="s"/>
      <c r="Q59" s="59" t="s"/>
      <c r="R59" s="59" t="s"/>
      <c r="S59" s="59" t="s"/>
      <c r="T59" s="59" t="s"/>
      <c r="U59" s="59" t="s"/>
      <c r="V59" s="59" t="s"/>
      <c r="W59" s="59" t="s"/>
      <c r="X59" s="59" t="s"/>
      <c r="Y59" s="60" t="s"/>
      <c r="Z59" s="59" t="s"/>
    </row>
    <row r="60" spans="1:26" ht="13.5">
      <c r="A60" s="54" t="s">
        <v>488</v>
      </c>
      <c r="B60" s="76" t="s">
        <v>78</v>
      </c>
      <c r="C60" s="113">
        <f>=E60/E72</f>
        <v>0</v>
      </c>
      <c r="D60" s="51">
        <f>=COUNTIFS(B1:B55,"开发",D1:D55,"7026R2")</f>
        <v>0</v>
      </c>
      <c r="E60" s="51">
        <f>=COUNTIFS(B1:B55,"开发",E1:E55,"7026R2")</f>
        <v>0</v>
      </c>
      <c r="F60" s="153">
        <f>=COUNTIFS(B1:B55,"开发",F1:F55,"7026R2")</f>
        <v>0</v>
      </c>
      <c r="G60" s="54">
        <f>=COUNTIFS(B1:B55,"开发",G1:G55,"7026R2")</f>
        <v>0</v>
      </c>
      <c r="H60" s="54">
        <f>=COUNTIFS(B1:B55,"开发",H1:H55,"7026R2")</f>
        <v>1</v>
      </c>
      <c r="I60" s="54">
        <f>=COUNTIFS(B1:B55,"开发",I1:I55,"7026R2")</f>
        <v>1</v>
      </c>
      <c r="J60" s="54">
        <f>=COUNTIFS(B1:B55,"开发",J1:J55,"7026R2")</f>
        <v>0</v>
      </c>
      <c r="K60" s="54">
        <f>=COUNTIFS(B1:B55,"开发",K1:K55,"7026R2")</f>
        <v>0</v>
      </c>
      <c r="L60" s="38" t="s"/>
      <c r="M60" s="38" t="s"/>
      <c r="N60" s="59" t="s"/>
      <c r="O60" s="57" t="s"/>
      <c r="P60" s="60" t="s"/>
      <c r="Q60" s="59" t="s"/>
      <c r="R60" s="59" t="s"/>
      <c r="S60" s="59" t="s"/>
      <c r="T60" s="59" t="s"/>
      <c r="U60" s="59" t="s"/>
      <c r="V60" s="59" t="s"/>
      <c r="W60" s="59" t="s"/>
      <c r="X60" s="59" t="s"/>
      <c r="Y60" s="60" t="s"/>
      <c r="Z60" s="59" t="s"/>
    </row>
    <row r="61" spans="1:26" ht="13.5">
      <c r="A61" s="54" t="s"/>
      <c r="B61" s="76" t="s">
        <v>101</v>
      </c>
      <c r="C61" s="113">
        <f>=E61/E73</f>
        <v>0</v>
      </c>
      <c r="D61" s="51">
        <f>=COUNTIFS(B2:B56,"测试",D2:D56,"7026R2")</f>
        <v>0</v>
      </c>
      <c r="E61" s="51">
        <f>=COUNTIFS(B2:B56,"测试",E2:E56,"7026R2")</f>
        <v>0</v>
      </c>
      <c r="F61" s="153">
        <f>=COUNTIFS(B2:B56,"开发",F2:F56,"7026R2")</f>
        <v>0</v>
      </c>
      <c r="G61" s="54">
        <f>=COUNTIFS(B2:B56,"测试",G2:G56,"7026R2")</f>
        <v>0</v>
      </c>
      <c r="H61" s="54">
        <f>=COUNTIFS(B2:B56,"测试",H2:H56,"7026R2")</f>
        <v>0</v>
      </c>
      <c r="I61" s="54">
        <f>=COUNTIFS(B2:B56,"测试",I2:I56,"7026R2")</f>
        <v>0</v>
      </c>
      <c r="J61" s="54">
        <f>=COUNTIFS(B2:B56,"测试",J2:J56,"7026R2")</f>
        <v>0</v>
      </c>
      <c r="K61" s="54">
        <f>=COUNTIFS(B2:B56,"测试",K2:K56,"7026R2")</f>
        <v>0</v>
      </c>
      <c r="L61" s="38" t="s"/>
      <c r="M61" s="38" t="s"/>
      <c r="N61" s="59" t="s"/>
      <c r="O61" s="57" t="s"/>
      <c r="P61" s="60" t="s"/>
      <c r="Q61" s="59" t="s"/>
      <c r="R61" s="59" t="s"/>
      <c r="S61" s="59" t="s"/>
      <c r="T61" s="59" t="s"/>
      <c r="U61" s="59" t="s"/>
      <c r="V61" s="59" t="s"/>
      <c r="W61" s="59" t="s"/>
      <c r="X61" s="59" t="s"/>
      <c r="Y61" s="60" t="s"/>
      <c r="Z61" s="59" t="s"/>
    </row>
    <row r="62" spans="1:26" ht="13.5">
      <c r="A62" s="63" t="s">
        <v>413</v>
      </c>
      <c r="B62" s="54" t="s">
        <v>78</v>
      </c>
      <c r="C62" s="113">
        <f>=E62/E72</f>
        <v>0.535714285714286</v>
      </c>
      <c r="D62" s="366">
        <f>=COUNTIFS(B1:B55,"开发",D1:D55,"7027")</f>
        <v>15</v>
      </c>
      <c r="E62" s="366">
        <f>=COUNTIFS(B1:B55,"开发",E1:E55,"7027")</f>
        <v>15</v>
      </c>
      <c r="F62" s="366">
        <f>=COUNTIFS(B1:B55,"开发",F1:F55,"7027")</f>
        <v>17</v>
      </c>
      <c r="G62" s="366">
        <f>=COUNTIFS(B1:B55,"开发",G1:G55,"7027")</f>
        <v>15</v>
      </c>
      <c r="H62" s="366">
        <f>=COUNTIFS(B1:B55,"开发",H1:H55,"7027")</f>
        <v>19</v>
      </c>
      <c r="I62" s="366">
        <f>=COUNTIFS(B1:B55,"开发",I1:I55,"7027")</f>
        <v>8</v>
      </c>
      <c r="J62" s="366">
        <f>=COUNTIFS(B1:B55,"开发",J1:J55,"7027")</f>
        <v>9</v>
      </c>
      <c r="K62" s="54">
        <f>=COUNTIFS(B1:B55,"开发",K1:K55,"7027")</f>
        <v>9</v>
      </c>
      <c r="L62" s="38" t="s"/>
      <c r="M62" s="38" t="s"/>
      <c r="N62" s="59" t="s"/>
      <c r="O62" s="57" t="s"/>
      <c r="P62" s="60" t="s"/>
      <c r="Q62" s="59" t="s"/>
      <c r="R62" s="59" t="s"/>
      <c r="S62" s="59" t="s"/>
      <c r="T62" s="59" t="s"/>
      <c r="U62" s="59" t="s"/>
      <c r="V62" s="59" t="s"/>
      <c r="W62" s="59" t="s"/>
      <c r="X62" s="59" t="s"/>
      <c r="Y62" s="60" t="s"/>
      <c r="Z62" s="59" t="s"/>
    </row>
    <row r="63" spans="1:26" ht="13.5">
      <c r="A63" s="54" t="s"/>
      <c r="B63" s="54" t="s">
        <v>101</v>
      </c>
      <c r="C63" s="113">
        <f>=E63/E73</f>
        <v>0.666666666666667</v>
      </c>
      <c r="D63" s="157">
        <f>=COUNTIFS(B1:B55,"测试",D1:D55,"7027")</f>
        <v>7</v>
      </c>
      <c r="E63" s="157">
        <f>=COUNTIFS(B1:B55,"测试",E1:E55,"7027")</f>
        <v>6</v>
      </c>
      <c r="F63" s="157">
        <f>=COUNTIFS(B1:B55,"测试",F1:F55,"7027")</f>
        <v>6</v>
      </c>
      <c r="G63" s="157">
        <f>=COUNTIFS(B1:B55,"测试",G1:G55,"7027")</f>
        <v>7</v>
      </c>
      <c r="H63" s="157">
        <f>=COUNTIFS(B1:B55,"测试",H1:H55,"7027")</f>
        <v>7</v>
      </c>
      <c r="I63" s="157">
        <f>=COUNTIFS(B1:B55,"测试",I1:I55,"7027")</f>
        <v>7</v>
      </c>
      <c r="J63" s="157">
        <f>=COUNTIFS(B1:B55,"测试",J1:J55,"7027")</f>
        <v>6</v>
      </c>
      <c r="K63" s="54">
        <f>=COUNTIFS(B1:B55,"测试",K1:K55,"7027")</f>
        <v>1</v>
      </c>
      <c r="L63" s="38" t="s"/>
      <c r="M63" s="38" t="s"/>
      <c r="N63" s="59" t="s"/>
      <c r="O63" s="57" t="s"/>
      <c r="P63" s="60" t="s"/>
      <c r="Q63" s="59" t="s"/>
      <c r="R63" s="59" t="s"/>
      <c r="S63" s="59" t="s"/>
      <c r="T63" s="59" t="s"/>
      <c r="U63" s="59" t="s"/>
      <c r="V63" s="59" t="s"/>
      <c r="W63" s="59" t="s"/>
      <c r="X63" s="59" t="s"/>
      <c r="Y63" s="60" t="s"/>
      <c r="Z63" s="59" t="s"/>
    </row>
    <row r="64" spans="1:26" ht="13.5">
      <c r="A64" s="54" t="s">
        <v>415</v>
      </c>
      <c r="B64" s="54" t="s">
        <v>78</v>
      </c>
      <c r="C64" s="113">
        <f>=E64/E72</f>
        <v>0.107142857142857</v>
      </c>
      <c r="D64" s="54">
        <f>=COUNTIFS(B1:B55,"开发",D1:D55,"7028")</f>
        <v>5</v>
      </c>
      <c r="E64" s="54">
        <f>=COUNTIFS(B1:B55,"开发",E1:E55,"7028")</f>
        <v>3</v>
      </c>
      <c r="F64" s="158">
        <f>=COUNTIFS(B1:B55,"开发",F1:F55,"7028")</f>
        <v>3</v>
      </c>
      <c r="G64" s="158">
        <f>=COUNTIFS(B1:B55,"开发",G1:G55,"7028")</f>
        <v>6</v>
      </c>
      <c r="H64" s="158">
        <f>=COUNTIFS(B1:B55,"开发",H1:H55,"7028")</f>
        <v>3</v>
      </c>
      <c r="I64" s="158">
        <f>=COUNTIFS(B1:B55,"开发",I1:I55,"7028")</f>
        <v>2</v>
      </c>
      <c r="J64" s="158">
        <f>=COUNTIFS(B1:B55,"开发",J1:J55,"7028")</f>
        <v>4</v>
      </c>
      <c r="K64" s="158">
        <f>=COUNTIFS(B1:B55,"开发",K1:K55,"7028")</f>
        <v>3</v>
      </c>
      <c r="L64" s="38" t="s"/>
      <c r="M64" s="38" t="s"/>
      <c r="N64" s="59" t="s"/>
      <c r="O64" s="57" t="s"/>
      <c r="P64" s="60" t="s"/>
      <c r="Q64" s="59" t="s"/>
      <c r="R64" s="59" t="s"/>
      <c r="S64" s="59" t="s"/>
      <c r="T64" s="59" t="s"/>
      <c r="U64" s="59" t="s"/>
      <c r="V64" s="59" t="s"/>
      <c r="W64" s="59" t="s"/>
      <c r="X64" s="59" t="s"/>
      <c r="Y64" s="60" t="s"/>
      <c r="Z64" s="59" t="s"/>
    </row>
    <row r="65" spans="1:26" ht="13.5">
      <c r="A65" s="54" t="s"/>
      <c r="B65" s="54" t="s">
        <v>101</v>
      </c>
      <c r="C65" s="113">
        <f>=E65/E73</f>
        <v>0</v>
      </c>
      <c r="D65" s="54">
        <f>=COUNTIFS(B1:B55,"测试",D1:D55,"7028")</f>
        <v>0</v>
      </c>
      <c r="E65" s="54">
        <f>=COUNTIFS(B1:B55,"测试",E1:E55,"7028")</f>
        <v>0</v>
      </c>
      <c r="F65" s="158">
        <f>=COUNTIFS(B1:B55,"测试",F1:F55,"7028")</f>
        <v>0</v>
      </c>
      <c r="G65" s="158">
        <f>=COUNTIFS(B1:B55,"测试",G1:G55,"7028")</f>
        <v>0</v>
      </c>
      <c r="H65" s="158">
        <f>=COUNTIFS(B1:B55,"测试",H1:H55,"7028")</f>
        <v>0</v>
      </c>
      <c r="I65" s="158">
        <f>=COUNTIFS(B1:B55,"测试",I1:I55,"7028")</f>
        <v>0</v>
      </c>
      <c r="J65" s="158">
        <f>=COUNTIFS(B1:B55,"测试",J1:J55,"7028")</f>
        <v>0</v>
      </c>
      <c r="K65" s="158">
        <f>=COUNTIFS(B1:B55,"测试",K1:K55,"7028")</f>
        <v>0</v>
      </c>
      <c r="L65" s="38" t="s"/>
      <c r="M65" s="38" t="s"/>
      <c r="N65" s="59" t="s"/>
      <c r="O65" s="57" t="s"/>
      <c r="P65" s="60" t="s"/>
      <c r="Q65" s="59" t="s"/>
      <c r="R65" s="59" t="s"/>
      <c r="S65" s="59" t="s"/>
      <c r="T65" s="59" t="s"/>
      <c r="U65" s="59" t="s"/>
      <c r="V65" s="59" t="s"/>
      <c r="W65" s="59" t="s"/>
      <c r="X65" s="59" t="s"/>
      <c r="Y65" s="60" t="s"/>
      <c r="Z65" s="59" t="s"/>
    </row>
    <row r="66" spans="1:26" ht="13.5">
      <c r="A66" s="54" t="s">
        <v>316</v>
      </c>
      <c r="B66" s="54" t="s">
        <v>78</v>
      </c>
      <c r="C66" s="113">
        <f>=E66/E72</f>
        <v>0.0357142857142857</v>
      </c>
      <c r="D66" s="164">
        <f>=COUNTIFS(B1:B55,"开发",D1:D55,"质量补丁")</f>
        <v>0</v>
      </c>
      <c r="E66" s="164">
        <f>=COUNTIFS(B1:B55,"开发",E1:E55,"质量补丁")</f>
        <v>1</v>
      </c>
      <c r="F66" s="164">
        <f>=COUNTIFS(B1:B55,"开发",F1:F55,"质量补丁")</f>
        <v>0</v>
      </c>
      <c r="G66" s="164">
        <f>=COUNTIFS(B1:B55,"开发",G1:G55,"质量补丁")</f>
        <v>0</v>
      </c>
      <c r="H66" s="164">
        <f>=COUNTIFS(B1:B55,"开发",H1:H55,"质量补丁")</f>
        <v>0</v>
      </c>
      <c r="I66" s="164">
        <f>=COUNTIFS(B1:B55,"开发",I1:I55,"质量补丁")</f>
        <v>0</v>
      </c>
      <c r="J66" s="164">
        <f>=COUNTIFS(B1:B55,"开发",J1:J55,"质量补丁")</f>
        <v>0</v>
      </c>
      <c r="K66" s="164">
        <f>=COUNTIFS(B1:B55,"开发",K1:K55,"质量补丁")</f>
        <v>0</v>
      </c>
      <c r="L66" s="38" t="s"/>
      <c r="M66" s="38" t="s"/>
      <c r="N66" s="59" t="s"/>
      <c r="O66" s="57" t="s"/>
      <c r="P66" s="60" t="s"/>
      <c r="Q66" s="59" t="s"/>
      <c r="R66" s="59" t="s"/>
      <c r="S66" s="59" t="s"/>
      <c r="T66" s="59" t="s"/>
      <c r="U66" s="59" t="s"/>
      <c r="V66" s="59" t="s"/>
      <c r="W66" s="59" t="s"/>
      <c r="X66" s="59" t="s"/>
      <c r="Y66" s="60" t="s"/>
      <c r="Z66" s="59" t="s"/>
    </row>
    <row r="67" spans="1:26" ht="13.5">
      <c r="A67" s="54" t="s"/>
      <c r="B67" s="54" t="s">
        <v>101</v>
      </c>
      <c r="C67" s="113">
        <f>=E67/E73</f>
        <v>0.111111111111111</v>
      </c>
      <c r="D67" s="164">
        <f>=COUNTIFS(B1:B55,"测试",D1:D55,"质量补丁")</f>
        <v>1</v>
      </c>
      <c r="E67" s="164">
        <f>=COUNTIFS(B1:B55,"测试",E1:E55,"质量补丁")</f>
        <v>1</v>
      </c>
      <c r="F67" s="164">
        <f>=COUNTIFS(B1:B55,"测试",F1:F55,"质量补丁")</f>
        <v>1</v>
      </c>
      <c r="G67" s="164">
        <f>=COUNTIFS(B1:B55,"测试",G1:G55,"质量补丁")</f>
        <v>1</v>
      </c>
      <c r="H67" s="164">
        <f>=COUNTIFS(B1:B55,"测试",H1:H55,"质量补丁")</f>
        <v>1</v>
      </c>
      <c r="I67" s="164">
        <f>=COUNTIFS(B1:B55,"测试",I1:I55,"质量补丁")</f>
        <v>1</v>
      </c>
      <c r="J67" s="164">
        <f>=COUNTIFS(B1:B55,"测试",J1:J55,"质量补丁")</f>
        <v>1</v>
      </c>
      <c r="K67" s="164">
        <f>=COUNTIFS(B1:B55,"测试",K1:K55,"质量补丁")</f>
        <v>0</v>
      </c>
      <c r="L67" s="38" t="s"/>
      <c r="M67" s="38" t="s"/>
      <c r="N67" s="59" t="s"/>
      <c r="O67" s="57" t="s"/>
      <c r="P67" s="60" t="s"/>
      <c r="Q67" s="59" t="s"/>
      <c r="R67" s="59" t="s"/>
      <c r="S67" s="59" t="s"/>
      <c r="T67" s="59" t="s"/>
      <c r="U67" s="59" t="s"/>
      <c r="V67" s="59" t="s"/>
      <c r="W67" s="59" t="s"/>
      <c r="X67" s="59" t="s"/>
      <c r="Y67" s="60" t="s"/>
      <c r="Z67" s="59" t="s"/>
    </row>
    <row r="68" spans="1:26" ht="13.5">
      <c r="A68" s="54" t="s">
        <v>297</v>
      </c>
      <c r="B68" s="54" t="s">
        <v>78</v>
      </c>
      <c r="C68" s="113">
        <f>=E68/E72</f>
        <v>0.214285714285714</v>
      </c>
      <c r="D68" s="87">
        <f>=COUNTIFS(B1:B55,"开发",D1:D55,"定制项目")</f>
        <v>5</v>
      </c>
      <c r="E68" s="87">
        <f>=COUNTIFS(B1:B55,"开发",E1:E55,"定制项目")</f>
        <v>6</v>
      </c>
      <c r="F68" s="87">
        <f>=COUNTIFS(B1:B55,"开发",F1:F55,"定制项目")</f>
        <v>6</v>
      </c>
      <c r="G68" s="87">
        <f>=COUNTIFS(B1:B55,"开发",G1:G55,"定制项目")</f>
        <v>6</v>
      </c>
      <c r="H68" s="87">
        <f>=COUNTIFS(B1:B55,"开发",H1:H55,"定制项目")</f>
        <v>4</v>
      </c>
      <c r="I68" s="87">
        <f>=COUNTIFS(B1:B55,"开发",I1:I55,"定制项目")</f>
        <v>17</v>
      </c>
      <c r="J68" s="87">
        <f>=COUNTIFS(B1:B55,"开发",J1:J55,"定制项目")</f>
        <v>12</v>
      </c>
      <c r="K68" s="87">
        <f>=COUNTIFS(B1:B55,"开发",K1:K55,"定制项目")</f>
        <v>12</v>
      </c>
      <c r="L68" s="38" t="s"/>
      <c r="M68" s="38" t="s"/>
      <c r="N68" s="59" t="s"/>
      <c r="O68" s="57" t="s"/>
      <c r="P68" s="60" t="s"/>
      <c r="Q68" s="59" t="s"/>
      <c r="R68" s="59" t="s"/>
      <c r="S68" s="59" t="s"/>
      <c r="T68" s="59" t="s"/>
      <c r="U68" s="59" t="s"/>
      <c r="V68" s="59" t="s"/>
      <c r="W68" s="59" t="s"/>
      <c r="X68" s="59" t="s"/>
      <c r="Y68" s="60" t="s"/>
      <c r="Z68" s="59" t="s"/>
    </row>
    <row r="69" spans="1:26" ht="13.5">
      <c r="A69" s="54" t="s"/>
      <c r="B69" s="54" t="s">
        <v>101</v>
      </c>
      <c r="C69" s="113">
        <f>=E69/E73</f>
        <v>0.222222222222222</v>
      </c>
      <c r="D69" s="87">
        <f>=COUNTIFS(B1:B55,"测试",D1:D55,"定制项目")</f>
        <v>1</v>
      </c>
      <c r="E69" s="87">
        <f>=COUNTIFS(B1:B55,"测试",E1:E55,"定制项目")</f>
        <v>2</v>
      </c>
      <c r="F69" s="87">
        <f>=COUNTIFS(B1:B55,"测试",F1:F55,"定制项目")</f>
        <v>1</v>
      </c>
      <c r="G69" s="87">
        <f>=COUNTIFS(B1:B55,"测试",G1:G55,"定制项目")</f>
        <v>1</v>
      </c>
      <c r="H69" s="87">
        <f>=COUNTIFS(B1:B55,"测试",H1:H55,"定制项目")</f>
        <v>1</v>
      </c>
      <c r="I69" s="87">
        <f>=COUNTIFS(B1:B55,"测试",I1:I55,"定制项目")</f>
        <v>0</v>
      </c>
      <c r="J69" s="87">
        <f>=COUNTIFS(B1:B55,"测试",J1:J55,"定制项目")</f>
        <v>1</v>
      </c>
      <c r="K69" s="87">
        <f>=COUNTIFS(B1:B55,"测试",K1:K55,"定制项目")</f>
        <v>7</v>
      </c>
      <c r="L69" s="38" t="s"/>
      <c r="M69" s="38" t="s"/>
      <c r="N69" s="59" t="s"/>
      <c r="O69" s="57" t="s"/>
      <c r="P69" s="60" t="s"/>
      <c r="Q69" s="59" t="s"/>
      <c r="R69" s="59" t="s"/>
      <c r="S69" s="59" t="s"/>
      <c r="T69" s="59" t="s"/>
      <c r="U69" s="59" t="s"/>
      <c r="V69" s="59" t="s"/>
      <c r="W69" s="59" t="s"/>
      <c r="X69" s="59" t="s"/>
      <c r="Y69" s="60" t="s"/>
      <c r="Z69" s="59" t="s"/>
    </row>
    <row r="70" spans="1:26" ht="13.5">
      <c r="A70" s="54" t="s">
        <v>160</v>
      </c>
      <c r="B70" s="54" t="s">
        <v>78</v>
      </c>
      <c r="C70" s="113">
        <f>=E70/E72</f>
        <v>0</v>
      </c>
      <c r="D70" s="89">
        <f>=COUNTIFS(B1:B55,"开发",D1:D55,"预研")</f>
        <v>0</v>
      </c>
      <c r="E70" s="89">
        <f>=COUNTIFS(B1:B55,"开发",E1:E55,"预研")</f>
        <v>0</v>
      </c>
      <c r="F70" s="89">
        <f>=COUNTIFS(B1:B55,"开发",F1:F55,"预研")</f>
        <v>1</v>
      </c>
      <c r="G70" s="89">
        <f>=COUNTIFS(B1:B55,"开发",G1:G55,"预研")</f>
        <v>1</v>
      </c>
      <c r="H70" s="89">
        <f>=COUNTIFS(B1:B55,"开发",H1:H55,"预研")</f>
        <v>1</v>
      </c>
      <c r="I70" s="89">
        <f>=COUNTIFS(B1:B55,"开发",I1:I55,"预研")</f>
        <v>0</v>
      </c>
      <c r="J70" s="89">
        <f>=COUNTIFS(B1:B55,"开发",J1:J55,"预研")</f>
        <v>3</v>
      </c>
      <c r="K70" s="89">
        <f>=COUNTIFS(B1:B55,"开发",K1:K55,"预研")</f>
        <v>4</v>
      </c>
      <c r="L70" s="38" t="s"/>
      <c r="M70" s="38" t="s"/>
      <c r="N70" s="59" t="s"/>
      <c r="O70" s="57" t="s"/>
      <c r="P70" s="60" t="s"/>
      <c r="Q70" s="59" t="s"/>
      <c r="R70" s="59" t="s"/>
      <c r="S70" s="59" t="s"/>
      <c r="T70" s="59" t="s"/>
      <c r="U70" s="59" t="s"/>
      <c r="V70" s="59" t="s"/>
      <c r="W70" s="59" t="s"/>
      <c r="X70" s="59" t="s"/>
      <c r="Y70" s="60" t="s"/>
      <c r="Z70" s="59" t="s"/>
    </row>
    <row r="71" spans="1:26" ht="13.5">
      <c r="A71" s="54" t="s">
        <v>178</v>
      </c>
      <c r="B71" s="54" t="s">
        <v>78</v>
      </c>
      <c r="C71" s="113">
        <f>=E71/E72</f>
        <v>0.107142857142857</v>
      </c>
      <c r="D71" s="89">
        <f>=COUNTIFS(B2:B56,"开发",D2:D56,"技术支持")</f>
        <v>3</v>
      </c>
      <c r="E71" s="89">
        <f>=COUNTIFS(B1:B55,"开发",E1:E55,"技术支持")</f>
        <v>3</v>
      </c>
      <c r="F71" s="89">
        <f>=COUNTIFS(B1:B55,"开发",F1:F55,"技术支持")</f>
        <v>3</v>
      </c>
      <c r="G71" s="89">
        <f>=COUNTIFS(B1:B55,"开发",G1:G55,"技术支持")</f>
        <v>3</v>
      </c>
      <c r="H71" s="89">
        <f>=COUNTIFS(B1:B55,"开发",H1:H55,"技术支持")</f>
        <v>3</v>
      </c>
      <c r="I71" s="89">
        <f>=COUNTIFS(B1:B55,"开发",I1:I55,"技术支持")</f>
        <v>3</v>
      </c>
      <c r="J71" s="89">
        <f>=COUNTIFS(B1:B55,"开发",J1:J55,"技术支持")</f>
        <v>3</v>
      </c>
      <c r="K71" s="89">
        <f>=COUNTIFS(B1:B55,"开发",K1:K55,"技术支持")</f>
        <v>3</v>
      </c>
      <c r="L71" s="38" t="s"/>
      <c r="M71" s="38" t="s"/>
      <c r="N71" s="59" t="s"/>
      <c r="O71" s="57" t="s"/>
      <c r="P71" s="60" t="s"/>
      <c r="Q71" s="59" t="s"/>
      <c r="R71" s="59" t="s"/>
      <c r="S71" s="59" t="s"/>
      <c r="T71" s="59" t="s"/>
      <c r="U71" s="59" t="s"/>
      <c r="V71" s="59" t="s"/>
      <c r="W71" s="59" t="s"/>
      <c r="X71" s="59" t="s"/>
      <c r="Y71" s="60" t="s"/>
      <c r="Z71" s="59" t="s"/>
    </row>
    <row r="72" spans="1:26" ht="13.5">
      <c r="A72" s="54" t="s">
        <v>220</v>
      </c>
      <c r="B72" s="63" t="s">
        <v>78</v>
      </c>
      <c r="C72" s="54">
        <f>=34-(2+1)</f>
        <v>31</v>
      </c>
      <c r="D72" s="54">
        <f>=SUBTOTAL(9,D60,D62,D64,D66,D68,D70,D71)</f>
        <v>28</v>
      </c>
      <c r="E72" s="54">
        <f>=SUBTOTAL(9,E60,E62,E64,E66,E68,E70,E71)</f>
        <v>28</v>
      </c>
      <c r="F72" s="54">
        <f>=SUBTOTAL(9,F60,F62,F64,F66,F68,F70,F71)</f>
        <v>30</v>
      </c>
      <c r="G72" s="54">
        <f>=SUBTOTAL(9,G60,G62,G64,G66,G68,G70,G71)</f>
        <v>31</v>
      </c>
      <c r="H72" s="54">
        <f>=SUBTOTAL(9,H60,H62,H64,H66,H68,H70,H71)</f>
        <v>31</v>
      </c>
      <c r="I72" s="54">
        <f>=SUBTOTAL(9,I60,I62,I64,I66,I68,I70,I71)</f>
        <v>31</v>
      </c>
      <c r="J72" s="54">
        <f>=SUBTOTAL(9,J60,J62,J64,J66,J68,J70,J71)</f>
        <v>31</v>
      </c>
      <c r="K72" s="54">
        <f>=SUBTOTAL(9,K60,K62,K64,K66,K68,K70,K71)</f>
        <v>31</v>
      </c>
      <c r="L72" s="38" t="s"/>
      <c r="M72" s="38" t="s"/>
      <c r="N72" s="59" t="s"/>
      <c r="O72" s="57" t="s"/>
      <c r="P72" s="60" t="s"/>
      <c r="Q72" s="59" t="s"/>
      <c r="R72" s="59" t="s"/>
      <c r="S72" s="59" t="s"/>
      <c r="T72" s="59" t="s"/>
      <c r="U72" s="59" t="s"/>
      <c r="V72" s="59" t="s"/>
      <c r="W72" s="59" t="s"/>
      <c r="X72" s="59" t="s"/>
      <c r="Y72" s="60" t="s"/>
      <c r="Z72" s="59" t="s"/>
    </row>
    <row r="73" spans="1:26" ht="13.5">
      <c r="A73" s="54" t="s"/>
      <c r="B73" s="54" t="s">
        <v>101</v>
      </c>
      <c r="C73" s="54">
        <f>=9-(1)</f>
        <v>8</v>
      </c>
      <c r="D73" s="54">
        <f>=SUBTOTAL(9,D61,D63,D65,D67,D69)</f>
        <v>9</v>
      </c>
      <c r="E73" s="54">
        <f>=SUBTOTAL(9,E61,E63,E65,E67,E69)</f>
        <v>9</v>
      </c>
      <c r="F73" s="54">
        <f>=SUBTOTAL(9,F61,F63,F65,F67,F69)</f>
        <v>8</v>
      </c>
      <c r="G73" s="54">
        <f>=SUBTOTAL(9,G61,G63,G65,G67,G69)</f>
        <v>9</v>
      </c>
      <c r="H73" s="54">
        <f>=SUBTOTAL(9,H61,H63,H65,H67,H69)</f>
        <v>9</v>
      </c>
      <c r="I73" s="54">
        <f>=SUBTOTAL(9,I61,I63,I65,I67,I69)</f>
        <v>8</v>
      </c>
      <c r="J73" s="54">
        <f>=SUBTOTAL(9,J61,J63,J65,J67,J69)</f>
        <v>8</v>
      </c>
      <c r="K73" s="54">
        <f>=SUBTOTAL(9,K61,K63,K65,K67,K69)</f>
        <v>8</v>
      </c>
      <c r="L73" s="38" t="s"/>
      <c r="M73" s="38" t="s"/>
      <c r="N73" s="59" t="s"/>
      <c r="O73" s="57" t="s"/>
      <c r="P73" s="60" t="s"/>
      <c r="Q73" s="59" t="s"/>
      <c r="R73" s="59" t="s"/>
      <c r="S73" s="59" t="s"/>
      <c r="T73" s="59" t="s"/>
      <c r="U73" s="59" t="s"/>
      <c r="V73" s="59" t="s"/>
      <c r="W73" s="59" t="s"/>
      <c r="X73" s="59" t="s"/>
      <c r="Y73" s="60" t="s"/>
      <c r="Z73" s="59" t="s"/>
    </row>
    <row r="74" spans="1:26" ht="13.5">
      <c r="A74" s="57" t="s"/>
      <c r="B74" s="57" t="s"/>
      <c r="C74" s="57" t="s"/>
      <c r="D74" s="38" t="s"/>
      <c r="E74" s="57" t="s"/>
      <c r="F74" s="57" t="s"/>
      <c r="G74" s="57" t="s"/>
      <c r="H74" s="57" t="s"/>
      <c r="I74" s="57" t="s"/>
      <c r="J74" s="57" t="s"/>
      <c r="K74" s="57" t="s"/>
      <c r="L74" s="38" t="s"/>
      <c r="M74" s="38" t="s"/>
      <c r="N74" s="59" t="s"/>
      <c r="O74" s="57" t="s"/>
      <c r="P74" s="60" t="s"/>
      <c r="Q74" s="59" t="s"/>
      <c r="R74" s="59" t="s"/>
      <c r="S74" s="59" t="s"/>
      <c r="T74" s="59" t="s"/>
      <c r="U74" s="59" t="s"/>
      <c r="V74" s="59" t="s"/>
      <c r="W74" s="59" t="s"/>
      <c r="X74" s="59" t="s"/>
      <c r="Y74" s="60" t="s"/>
      <c r="Z74" s="59" t="s"/>
    </row>
    <row r="75" spans="1:26" ht="13.5">
      <c r="A75" s="57" t="s"/>
      <c r="B75" s="57" t="s"/>
      <c r="C75" s="57" t="s"/>
      <c r="D75" s="38" t="s"/>
      <c r="E75" s="57" t="s"/>
      <c r="F75" s="57" t="s"/>
      <c r="G75" s="57" t="s"/>
      <c r="H75" s="57" t="s"/>
      <c r="I75" s="57" t="s"/>
      <c r="J75" s="57" t="s"/>
      <c r="K75" s="57" t="s"/>
      <c r="L75" s="38" t="s"/>
      <c r="M75" s="38" t="s"/>
      <c r="N75" s="59" t="s"/>
      <c r="O75" s="57" t="s"/>
      <c r="P75" s="60" t="s"/>
      <c r="Q75" s="59" t="s"/>
      <c r="R75" s="59" t="s"/>
      <c r="S75" s="59" t="s"/>
      <c r="T75" s="59" t="s"/>
      <c r="U75" s="59" t="s"/>
      <c r="V75" s="59" t="s"/>
      <c r="W75" s="59" t="s"/>
      <c r="X75" s="59" t="s"/>
      <c r="Y75" s="60" t="s"/>
      <c r="Z75" s="59" t="s"/>
    </row>
    <row r="76" spans="1:26" ht="13.5">
      <c r="A76" s="57" t="s"/>
      <c r="B76" s="57" t="s"/>
      <c r="C76" s="57" t="s"/>
      <c r="D76" s="38" t="s"/>
      <c r="E76" s="38" t="s"/>
      <c r="F76" s="57" t="s"/>
      <c r="G76" s="57" t="s"/>
      <c r="H76" s="57" t="s"/>
      <c r="I76" s="57" t="s"/>
      <c r="J76" s="57" t="s"/>
      <c r="K76" s="57" t="s"/>
      <c r="L76" s="38" t="s"/>
      <c r="M76" s="38" t="s"/>
      <c r="N76" s="59" t="s"/>
      <c r="O76" s="57" t="s"/>
      <c r="P76" s="60" t="s"/>
      <c r="Q76" s="59" t="s"/>
      <c r="R76" s="59" t="s"/>
      <c r="S76" s="59" t="s"/>
      <c r="T76" s="59" t="s"/>
      <c r="U76" s="59" t="s"/>
      <c r="V76" s="59" t="s"/>
      <c r="W76" s="59" t="s"/>
      <c r="X76" s="59" t="s"/>
      <c r="Y76" s="60" t="s"/>
      <c r="Z76" s="59" t="s"/>
    </row>
    <row r="77" spans="1:26" ht="13.5">
      <c r="A77" s="57" t="s"/>
      <c r="B77" s="57" t="s"/>
      <c r="C77" s="57" t="s"/>
      <c r="D77" s="38" t="s"/>
      <c r="E77" s="57" t="s"/>
      <c r="F77" s="57" t="s"/>
      <c r="G77" s="57" t="s"/>
      <c r="H77" s="57" t="s"/>
      <c r="I77" s="57" t="s"/>
      <c r="J77" s="57" t="s"/>
      <c r="K77" s="57" t="s"/>
      <c r="L77" s="38" t="s"/>
      <c r="M77" s="38" t="s"/>
      <c r="N77" s="59" t="s"/>
      <c r="O77" s="57" t="s"/>
      <c r="P77" s="60" t="s"/>
      <c r="Q77" s="59" t="s"/>
      <c r="R77" s="59" t="s"/>
      <c r="S77" s="59" t="s"/>
      <c r="T77" s="59" t="s"/>
      <c r="U77" s="59" t="s"/>
      <c r="V77" s="59" t="s"/>
      <c r="W77" s="59" t="s"/>
      <c r="X77" s="59" t="s"/>
      <c r="Y77" s="60" t="s"/>
      <c r="Z77" s="59" t="s"/>
    </row>
    <row r="78" spans="1:26" ht="13.5">
      <c r="A78" s="57" t="s"/>
      <c r="B78" s="57" t="s"/>
      <c r="C78" s="57" t="s"/>
      <c r="D78" s="38" t="s"/>
      <c r="E78" s="57" t="s"/>
      <c r="F78" s="57" t="s"/>
      <c r="G78" s="57" t="s"/>
      <c r="H78" s="57" t="s"/>
      <c r="I78" s="57" t="s"/>
      <c r="J78" s="57" t="s"/>
      <c r="K78" s="57" t="s"/>
      <c r="L78" s="38" t="s"/>
      <c r="M78" s="38" t="s"/>
      <c r="N78" s="59" t="s"/>
      <c r="O78" s="57" t="s"/>
      <c r="P78" s="60" t="s"/>
      <c r="Q78" s="59" t="s"/>
      <c r="R78" s="59" t="s"/>
      <c r="S78" s="59" t="s"/>
      <c r="T78" s="59" t="s"/>
      <c r="U78" s="59" t="s"/>
      <c r="V78" s="59" t="s"/>
      <c r="W78" s="59" t="s"/>
      <c r="X78" s="59" t="s"/>
      <c r="Y78" s="60" t="s"/>
      <c r="Z78" s="59" t="s"/>
    </row>
    <row r="79" spans="1:26" ht="13.5">
      <c r="A79" s="57" t="s"/>
      <c r="B79" s="57" t="s"/>
      <c r="C79" s="57" t="s"/>
      <c r="D79" s="38" t="s"/>
      <c r="E79" s="57" t="s"/>
      <c r="F79" s="57" t="s"/>
      <c r="G79" s="57" t="s"/>
      <c r="H79" s="57" t="s"/>
      <c r="I79" s="57" t="s"/>
      <c r="J79" s="57" t="s"/>
      <c r="K79" s="57" t="s"/>
      <c r="L79" s="38" t="s"/>
      <c r="M79" s="38" t="s"/>
      <c r="N79" s="59" t="s"/>
      <c r="O79" s="57" t="s"/>
      <c r="P79" s="60" t="s"/>
      <c r="Q79" s="59" t="s"/>
      <c r="R79" s="59" t="s"/>
      <c r="S79" s="59" t="s"/>
      <c r="T79" s="59" t="s"/>
      <c r="U79" s="59" t="s"/>
      <c r="V79" s="59" t="s"/>
      <c r="W79" s="59" t="s"/>
      <c r="X79" s="59" t="s"/>
      <c r="Y79" s="60" t="s"/>
      <c r="Z79" s="59" t="s"/>
    </row>
    <row r="80" spans="1:26" ht="13.5">
      <c r="A80" s="57" t="s"/>
      <c r="B80" s="57" t="s"/>
      <c r="C80" s="57" t="s"/>
      <c r="D80" s="38" t="s"/>
      <c r="E80" s="57" t="s"/>
      <c r="F80" s="57" t="s"/>
      <c r="G80" s="57" t="s"/>
      <c r="H80" s="57" t="s"/>
      <c r="I80" s="57" t="s"/>
      <c r="J80" s="57" t="s"/>
      <c r="K80" s="57" t="s"/>
      <c r="L80" s="38" t="s"/>
      <c r="M80" s="38" t="s"/>
      <c r="N80" s="59" t="s"/>
      <c r="O80" s="57" t="s"/>
      <c r="P80" s="60" t="s"/>
      <c r="Q80" s="59" t="s"/>
      <c r="R80" s="59" t="s"/>
      <c r="S80" s="59" t="s"/>
      <c r="T80" s="59" t="s"/>
      <c r="U80" s="59" t="s"/>
      <c r="V80" s="59" t="s"/>
      <c r="W80" s="59" t="s"/>
      <c r="X80" s="59" t="s"/>
      <c r="Y80" s="60" t="s"/>
      <c r="Z80" s="59" t="s"/>
    </row>
    <row r="81" spans="1:26" ht="13.5">
      <c r="A81" s="57" t="s"/>
      <c r="B81" s="57" t="s"/>
      <c r="C81" s="57" t="s"/>
      <c r="D81" s="38" t="s"/>
      <c r="E81" s="57" t="s"/>
      <c r="F81" s="57" t="s"/>
      <c r="G81" s="57" t="s"/>
      <c r="H81" s="57" t="s"/>
      <c r="I81" s="57" t="s"/>
      <c r="J81" s="57" t="s"/>
      <c r="K81" s="57" t="s"/>
      <c r="L81" s="38" t="s"/>
      <c r="M81" s="38" t="s"/>
      <c r="N81" s="59" t="s"/>
      <c r="O81" s="57" t="s"/>
      <c r="P81" s="60" t="s"/>
      <c r="Q81" s="59" t="s"/>
      <c r="R81" s="59" t="s"/>
      <c r="S81" s="59" t="s"/>
      <c r="T81" s="59" t="s"/>
      <c r="U81" s="59" t="s"/>
      <c r="V81" s="59" t="s"/>
      <c r="W81" s="59" t="s"/>
      <c r="X81" s="59" t="s"/>
      <c r="Y81" s="60" t="s"/>
      <c r="Z81" s="59" t="s"/>
    </row>
    <row r="82" spans="1:26" ht="13.5">
      <c r="A82" s="57" t="s"/>
      <c r="B82" s="57" t="s"/>
      <c r="C82" s="57" t="s"/>
      <c r="D82" s="38" t="s"/>
      <c r="E82" s="57" t="s"/>
      <c r="F82" s="57" t="s"/>
      <c r="G82" s="57" t="s"/>
      <c r="H82" s="57" t="s"/>
      <c r="I82" s="57" t="s"/>
      <c r="J82" s="57" t="s"/>
      <c r="K82" s="57" t="s"/>
      <c r="L82" s="38" t="s"/>
      <c r="M82" s="38" t="s"/>
      <c r="N82" s="59" t="s"/>
      <c r="O82" s="57" t="s"/>
      <c r="P82" s="60" t="s"/>
      <c r="Q82" s="59" t="s"/>
      <c r="R82" s="59" t="s"/>
      <c r="S82" s="59" t="s"/>
      <c r="T82" s="59" t="s"/>
      <c r="U82" s="59" t="s"/>
      <c r="V82" s="59" t="s"/>
      <c r="W82" s="59" t="s"/>
      <c r="X82" s="59" t="s"/>
      <c r="Y82" s="60" t="s"/>
      <c r="Z82" s="59" t="s"/>
    </row>
    <row r="83" spans="1:26" ht="13.5">
      <c r="A83" s="57" t="s"/>
      <c r="B83" s="57" t="s"/>
      <c r="C83" s="57" t="s"/>
      <c r="D83" s="38" t="s"/>
      <c r="E83" s="57" t="s"/>
      <c r="F83" s="57" t="s"/>
      <c r="G83" s="57" t="s"/>
      <c r="H83" s="57" t="s"/>
      <c r="I83" s="57" t="s"/>
      <c r="J83" s="57" t="s"/>
      <c r="K83" s="57" t="s"/>
      <c r="L83" s="38" t="s"/>
      <c r="M83" s="38" t="s"/>
      <c r="N83" s="59" t="s"/>
      <c r="O83" s="57" t="s"/>
      <c r="P83" s="60" t="s"/>
      <c r="Q83" s="59" t="s"/>
      <c r="R83" s="59" t="s"/>
      <c r="S83" s="59" t="s"/>
      <c r="T83" s="59" t="s"/>
      <c r="U83" s="59" t="s"/>
      <c r="V83" s="59" t="s"/>
      <c r="W83" s="59" t="s"/>
      <c r="X83" s="59" t="s"/>
      <c r="Y83" s="60" t="s"/>
      <c r="Z83" s="59" t="s"/>
    </row>
    <row r="84" spans="1:26" ht="13.5">
      <c r="A84" s="57" t="s"/>
      <c r="B84" s="57" t="s"/>
      <c r="C84" s="57" t="s"/>
      <c r="D84" s="38" t="s"/>
      <c r="E84" s="57" t="s"/>
      <c r="F84" s="57" t="s"/>
      <c r="G84" s="57" t="s"/>
      <c r="H84" s="57" t="s"/>
      <c r="I84" s="57" t="s"/>
      <c r="J84" s="57" t="s"/>
      <c r="K84" s="57" t="s"/>
      <c r="L84" s="38" t="s"/>
      <c r="M84" s="38" t="s"/>
      <c r="N84" s="59" t="s"/>
      <c r="O84" s="57" t="s"/>
      <c r="P84" s="60" t="s"/>
      <c r="Q84" s="59" t="s"/>
      <c r="R84" s="59" t="s"/>
      <c r="S84" s="59" t="s"/>
      <c r="T84" s="59" t="s"/>
      <c r="U84" s="59" t="s"/>
      <c r="V84" s="59" t="s"/>
      <c r="W84" s="59" t="s"/>
      <c r="X84" s="59" t="s"/>
      <c r="Y84" s="60" t="s"/>
      <c r="Z84" s="59" t="s"/>
    </row>
    <row r="85" spans="1:26" ht="13.5">
      <c r="A85" s="57" t="s"/>
      <c r="B85" s="57" t="s"/>
      <c r="C85" s="57" t="s"/>
      <c r="D85" s="38" t="s"/>
      <c r="E85" s="57" t="s"/>
      <c r="F85" s="57" t="s"/>
      <c r="G85" s="57" t="s"/>
      <c r="H85" s="57" t="s"/>
      <c r="I85" s="57" t="s"/>
      <c r="J85" s="57" t="s"/>
      <c r="K85" s="57" t="s"/>
      <c r="L85" s="38" t="s"/>
      <c r="M85" s="38" t="s"/>
      <c r="N85" s="59" t="s"/>
      <c r="O85" s="57" t="s"/>
      <c r="P85" s="60" t="s"/>
      <c r="Q85" s="59" t="s"/>
      <c r="R85" s="59" t="s"/>
      <c r="S85" s="59" t="s"/>
      <c r="T85" s="59" t="s"/>
      <c r="U85" s="59" t="s"/>
      <c r="V85" s="59" t="s"/>
      <c r="W85" s="59" t="s"/>
      <c r="X85" s="59" t="s"/>
      <c r="Y85" s="60" t="s"/>
      <c r="Z85" s="59" t="s"/>
    </row>
    <row r="86" spans="1:26" ht="13.5">
      <c r="A86" s="57" t="s"/>
      <c r="B86" s="57" t="s"/>
      <c r="C86" s="57" t="s"/>
      <c r="D86" s="38" t="s"/>
      <c r="E86" s="57" t="s"/>
      <c r="F86" s="57" t="s"/>
      <c r="G86" s="57" t="s"/>
      <c r="H86" s="57" t="s"/>
      <c r="I86" s="57" t="s"/>
      <c r="J86" s="57" t="s"/>
      <c r="K86" s="57" t="s"/>
      <c r="L86" s="38" t="s"/>
      <c r="M86" s="38" t="s"/>
      <c r="N86" s="59" t="s"/>
      <c r="O86" s="57" t="s"/>
      <c r="P86" s="60" t="s"/>
      <c r="Q86" s="59" t="s"/>
      <c r="R86" s="59" t="s"/>
      <c r="S86" s="59" t="s"/>
      <c r="T86" s="59" t="s"/>
      <c r="U86" s="59" t="s"/>
      <c r="V86" s="59" t="s"/>
      <c r="W86" s="59" t="s"/>
      <c r="X86" s="59" t="s"/>
      <c r="Y86" s="60" t="s"/>
      <c r="Z86" s="59" t="s"/>
    </row>
    <row r="87" spans="1:26" ht="13.5">
      <c r="A87" s="57" t="s"/>
      <c r="B87" s="57" t="s"/>
      <c r="C87" s="57" t="s"/>
      <c r="D87" s="38" t="s"/>
      <c r="E87" s="57" t="s"/>
      <c r="F87" s="57" t="s"/>
      <c r="G87" s="57" t="s"/>
      <c r="H87" s="57" t="s"/>
      <c r="I87" s="57" t="s"/>
      <c r="J87" s="57" t="s"/>
      <c r="K87" s="57" t="s"/>
      <c r="L87" s="38" t="s"/>
      <c r="M87" s="38" t="s"/>
      <c r="N87" s="59" t="s"/>
      <c r="O87" s="57" t="s"/>
      <c r="P87" s="60" t="s"/>
      <c r="Q87" s="59" t="s"/>
      <c r="R87" s="59" t="s"/>
      <c r="S87" s="59" t="s"/>
      <c r="T87" s="59" t="s"/>
      <c r="U87" s="59" t="s"/>
      <c r="V87" s="59" t="s"/>
      <c r="W87" s="59" t="s"/>
      <c r="X87" s="59" t="s"/>
      <c r="Y87" s="60" t="s"/>
      <c r="Z87" s="59" t="s"/>
    </row>
    <row r="88" spans="1:26" ht="13.5">
      <c r="A88" s="57" t="s"/>
      <c r="B88" s="57" t="s"/>
      <c r="C88" s="57" t="s"/>
      <c r="D88" s="38" t="s"/>
      <c r="E88" s="57" t="s"/>
      <c r="F88" s="57" t="s"/>
      <c r="G88" s="57" t="s"/>
      <c r="H88" s="57" t="s"/>
      <c r="I88" s="57" t="s"/>
      <c r="J88" s="57" t="s"/>
      <c r="K88" s="57" t="s"/>
      <c r="L88" s="38" t="s"/>
      <c r="M88" s="38" t="s"/>
      <c r="N88" s="59" t="s"/>
      <c r="O88" s="57" t="s"/>
      <c r="P88" s="60" t="s"/>
      <c r="Q88" s="59" t="s"/>
      <c r="R88" s="59" t="s"/>
      <c r="S88" s="59" t="s"/>
      <c r="T88" s="59" t="s"/>
      <c r="U88" s="59" t="s"/>
      <c r="V88" s="59" t="s"/>
      <c r="W88" s="59" t="s"/>
      <c r="X88" s="59" t="s"/>
      <c r="Y88" s="60" t="s"/>
      <c r="Z88" s="59" t="s"/>
    </row>
    <row r="89" spans="1:26" ht="13.5">
      <c r="A89" s="57" t="s"/>
      <c r="B89" s="57" t="s"/>
      <c r="C89" s="57" t="s"/>
      <c r="D89" s="38" t="s"/>
      <c r="E89" s="57" t="s"/>
      <c r="F89" s="57" t="s"/>
      <c r="G89" s="57" t="s"/>
      <c r="H89" s="57" t="s"/>
      <c r="I89" s="57" t="s"/>
      <c r="J89" s="57" t="s"/>
      <c r="K89" s="57" t="s"/>
      <c r="L89" s="38" t="s"/>
      <c r="M89" s="38" t="s"/>
      <c r="N89" s="59" t="s"/>
      <c r="O89" s="57" t="s"/>
      <c r="P89" s="60" t="s"/>
      <c r="Q89" s="59" t="s"/>
      <c r="R89" s="59" t="s"/>
      <c r="S89" s="59" t="s"/>
      <c r="T89" s="59" t="s"/>
      <c r="U89" s="59" t="s"/>
      <c r="V89" s="59" t="s"/>
      <c r="W89" s="59" t="s"/>
      <c r="X89" s="59" t="s"/>
      <c r="Y89" s="60" t="s"/>
      <c r="Z89" s="59" t="s"/>
    </row>
    <row r="90" spans="1:26" ht="13.5">
      <c r="A90" s="57" t="s"/>
      <c r="B90" s="57" t="s"/>
      <c r="C90" s="57" t="s"/>
      <c r="D90" s="38" t="s"/>
      <c r="E90" s="57" t="s"/>
      <c r="F90" s="57" t="s"/>
      <c r="G90" s="57" t="s"/>
      <c r="H90" s="57" t="s"/>
      <c r="I90" s="57" t="s"/>
      <c r="J90" s="57" t="s"/>
      <c r="K90" s="57" t="s"/>
      <c r="L90" s="38" t="s"/>
      <c r="M90" s="38" t="s"/>
      <c r="N90" s="59" t="s"/>
      <c r="O90" s="57" t="s"/>
      <c r="P90" s="60" t="s"/>
      <c r="Q90" s="59" t="s"/>
      <c r="R90" s="59" t="s"/>
      <c r="S90" s="59" t="s"/>
      <c r="T90" s="59" t="s"/>
      <c r="U90" s="59" t="s"/>
      <c r="V90" s="59" t="s"/>
      <c r="W90" s="59" t="s"/>
      <c r="X90" s="59" t="s"/>
      <c r="Y90" s="60" t="s"/>
      <c r="Z90" s="59" t="s"/>
    </row>
    <row r="91" spans="1:26" ht="13.5">
      <c r="A91" s="57" t="s"/>
      <c r="B91" s="57" t="s"/>
      <c r="C91" s="57" t="s"/>
      <c r="D91" s="38" t="s"/>
      <c r="E91" s="57" t="s"/>
      <c r="F91" s="57" t="s"/>
      <c r="G91" s="57" t="s"/>
      <c r="H91" s="57" t="s"/>
      <c r="I91" s="57" t="s"/>
      <c r="J91" s="57" t="s"/>
      <c r="K91" s="57" t="s"/>
      <c r="L91" s="38" t="s"/>
      <c r="M91" s="38" t="s"/>
      <c r="N91" s="59" t="s"/>
      <c r="O91" s="57" t="s"/>
      <c r="P91" s="60" t="s"/>
      <c r="Q91" s="59" t="s"/>
      <c r="R91" s="59" t="s"/>
      <c r="S91" s="59" t="s"/>
      <c r="T91" s="59" t="s"/>
      <c r="U91" s="59" t="s"/>
      <c r="V91" s="59" t="s"/>
      <c r="W91" s="59" t="s"/>
      <c r="X91" s="59" t="s"/>
      <c r="Y91" s="60" t="s"/>
      <c r="Z91" s="59" t="s"/>
    </row>
    <row r="92" spans="1:26" ht="13.5">
      <c r="A92" s="57" t="s"/>
      <c r="B92" s="57" t="s"/>
      <c r="C92" s="57" t="s"/>
      <c r="D92" s="38" t="s"/>
      <c r="E92" s="57" t="s"/>
      <c r="F92" s="57" t="s"/>
      <c r="G92" s="57" t="s"/>
      <c r="H92" s="57" t="s"/>
      <c r="I92" s="57" t="s"/>
      <c r="J92" s="57" t="s"/>
      <c r="K92" s="57" t="s"/>
      <c r="L92" s="38" t="s"/>
      <c r="M92" s="38" t="s"/>
      <c r="N92" s="59" t="s"/>
      <c r="O92" s="57" t="s"/>
      <c r="P92" s="60" t="s"/>
      <c r="Q92" s="59" t="s"/>
      <c r="R92" s="59" t="s"/>
      <c r="S92" s="59" t="s"/>
      <c r="T92" s="59" t="s"/>
      <c r="U92" s="59" t="s"/>
      <c r="V92" s="59" t="s"/>
      <c r="W92" s="59" t="s"/>
      <c r="X92" s="59" t="s"/>
      <c r="Y92" s="60" t="s"/>
      <c r="Z92" s="59" t="s"/>
    </row>
    <row r="93" spans="1:26" ht="13.5">
      <c r="A93" s="57" t="s"/>
      <c r="B93" s="57" t="s"/>
      <c r="C93" s="57" t="s"/>
      <c r="D93" s="38" t="s"/>
      <c r="E93" s="57" t="s"/>
      <c r="F93" s="57" t="s"/>
      <c r="G93" s="57" t="s"/>
      <c r="H93" s="57" t="s"/>
      <c r="I93" s="57" t="s"/>
      <c r="J93" s="57" t="s"/>
      <c r="K93" s="57" t="s"/>
      <c r="L93" s="38" t="s"/>
      <c r="M93" s="38" t="s"/>
      <c r="N93" s="59" t="s"/>
      <c r="O93" s="57" t="s"/>
      <c r="P93" s="60" t="s"/>
      <c r="Q93" s="59" t="s"/>
      <c r="R93" s="59" t="s"/>
      <c r="S93" s="59" t="s"/>
      <c r="T93" s="59" t="s"/>
      <c r="U93" s="59" t="s"/>
      <c r="V93" s="59" t="s"/>
      <c r="W93" s="59" t="s"/>
      <c r="X93" s="59" t="s"/>
      <c r="Y93" s="60" t="s"/>
      <c r="Z93" s="59" t="s"/>
    </row>
    <row r="94" spans="1:26" ht="13.5">
      <c r="A94" s="57" t="s"/>
      <c r="B94" s="57" t="s"/>
      <c r="C94" s="57" t="s"/>
      <c r="D94" s="38" t="s"/>
      <c r="E94" s="57" t="s"/>
      <c r="F94" s="57" t="s"/>
      <c r="G94" s="57" t="s"/>
      <c r="H94" s="57" t="s"/>
      <c r="I94" s="57" t="s"/>
      <c r="J94" s="57" t="s"/>
      <c r="K94" s="57" t="s"/>
      <c r="L94" s="38" t="s"/>
      <c r="M94" s="38" t="s"/>
      <c r="N94" s="59" t="s"/>
      <c r="O94" s="57" t="s"/>
      <c r="P94" s="60" t="s"/>
      <c r="Q94" s="59" t="s"/>
      <c r="R94" s="59" t="s"/>
      <c r="S94" s="59" t="s"/>
      <c r="T94" s="59" t="s"/>
      <c r="U94" s="59" t="s"/>
      <c r="V94" s="59" t="s"/>
      <c r="W94" s="59" t="s"/>
      <c r="X94" s="59" t="s"/>
      <c r="Y94" s="60" t="s"/>
      <c r="Z94" s="59" t="s"/>
    </row>
    <row r="95" spans="1:26" ht="13.5">
      <c r="A95" s="57" t="s"/>
      <c r="B95" s="57" t="s"/>
      <c r="C95" s="57" t="s"/>
      <c r="D95" s="38" t="s"/>
      <c r="E95" s="57" t="s"/>
      <c r="F95" s="57" t="s"/>
      <c r="G95" s="57" t="s"/>
      <c r="H95" s="57" t="s"/>
      <c r="I95" s="57" t="s"/>
      <c r="J95" s="57" t="s"/>
      <c r="K95" s="57" t="s"/>
      <c r="L95" s="38" t="s"/>
      <c r="M95" s="38" t="s"/>
      <c r="N95" s="59" t="s"/>
      <c r="O95" s="57" t="s"/>
      <c r="P95" s="60" t="s"/>
      <c r="Q95" s="59" t="s"/>
      <c r="R95" s="59" t="s"/>
      <c r="S95" s="59" t="s"/>
      <c r="T95" s="59" t="s"/>
      <c r="U95" s="59" t="s"/>
      <c r="V95" s="59" t="s"/>
      <c r="W95" s="59" t="s"/>
      <c r="X95" s="59" t="s"/>
      <c r="Y95" s="60" t="s"/>
      <c r="Z95" s="59" t="s"/>
    </row>
    <row r="96" spans="1:26" ht="13.5">
      <c r="A96" s="57" t="s"/>
      <c r="B96" s="57" t="s"/>
      <c r="C96" s="57" t="s"/>
      <c r="D96" s="38" t="s"/>
      <c r="E96" s="57" t="s"/>
      <c r="F96" s="57" t="s"/>
      <c r="G96" s="57" t="s"/>
      <c r="H96" s="57" t="s"/>
      <c r="I96" s="57" t="s"/>
      <c r="J96" s="57" t="s"/>
      <c r="K96" s="57" t="s"/>
      <c r="L96" s="38" t="s"/>
      <c r="M96" s="38" t="s"/>
      <c r="N96" s="59" t="s"/>
      <c r="O96" s="57" t="s"/>
      <c r="P96" s="60" t="s"/>
      <c r="Q96" s="59" t="s"/>
      <c r="R96" s="59" t="s"/>
      <c r="S96" s="59" t="s"/>
      <c r="T96" s="59" t="s"/>
      <c r="U96" s="59" t="s"/>
      <c r="V96" s="59" t="s"/>
      <c r="W96" s="59" t="s"/>
      <c r="X96" s="59" t="s"/>
      <c r="Y96" s="60" t="s"/>
      <c r="Z96" s="59" t="s"/>
    </row>
    <row r="97" spans="1:26" ht="13.5">
      <c r="A97" s="57" t="s"/>
      <c r="B97" s="57" t="s"/>
      <c r="C97" s="57" t="s"/>
      <c r="D97" s="38" t="s"/>
      <c r="E97" s="57" t="s"/>
      <c r="F97" s="57" t="s"/>
      <c r="G97" s="57" t="s"/>
      <c r="H97" s="57" t="s"/>
      <c r="I97" s="57" t="s"/>
      <c r="J97" s="57" t="s"/>
      <c r="K97" s="57" t="s"/>
      <c r="L97" s="38" t="s"/>
      <c r="M97" s="38" t="s"/>
      <c r="N97" s="59" t="s"/>
      <c r="O97" s="57" t="s"/>
      <c r="P97" s="60" t="s"/>
      <c r="Q97" s="59" t="s"/>
      <c r="R97" s="59" t="s"/>
      <c r="S97" s="59" t="s"/>
      <c r="T97" s="59" t="s"/>
      <c r="U97" s="59" t="s"/>
      <c r="V97" s="59" t="s"/>
      <c r="W97" s="59" t="s"/>
      <c r="X97" s="59" t="s"/>
      <c r="Y97" s="60" t="s"/>
      <c r="Z97" s="59" t="s"/>
    </row>
    <row r="98" spans="1:26" ht="13.5">
      <c r="A98" s="57" t="s"/>
      <c r="B98" s="57" t="s"/>
      <c r="C98" s="57" t="s"/>
      <c r="D98" s="38" t="s"/>
      <c r="E98" s="57" t="s"/>
      <c r="F98" s="57" t="s"/>
      <c r="G98" s="57" t="s"/>
      <c r="H98" s="57" t="s"/>
      <c r="I98" s="57" t="s"/>
      <c r="J98" s="57" t="s"/>
      <c r="K98" s="57" t="s"/>
      <c r="L98" s="38" t="s"/>
      <c r="M98" s="38" t="s"/>
      <c r="N98" s="59" t="s"/>
      <c r="O98" s="57" t="s"/>
      <c r="P98" s="60" t="s"/>
      <c r="Q98" s="59" t="s"/>
      <c r="R98" s="59" t="s"/>
      <c r="S98" s="59" t="s"/>
      <c r="T98" s="59" t="s"/>
      <c r="U98" s="59" t="s"/>
      <c r="V98" s="59" t="s"/>
      <c r="W98" s="59" t="s"/>
      <c r="X98" s="59" t="s"/>
      <c r="Y98" s="60" t="s"/>
      <c r="Z98" s="59" t="s"/>
    </row>
    <row r="99" spans="1:26" ht="13.5">
      <c r="A99" s="57" t="s"/>
      <c r="B99" s="57" t="s"/>
      <c r="C99" s="57" t="s"/>
      <c r="D99" s="38" t="s"/>
      <c r="E99" s="57" t="s"/>
      <c r="F99" s="57" t="s"/>
      <c r="G99" s="57" t="s"/>
      <c r="H99" s="57" t="s"/>
      <c r="I99" s="57" t="s"/>
      <c r="J99" s="57" t="s"/>
      <c r="K99" s="57" t="s"/>
      <c r="L99" s="38" t="s"/>
      <c r="M99" s="38" t="s"/>
      <c r="N99" s="59" t="s"/>
      <c r="O99" s="57" t="s"/>
      <c r="P99" s="60" t="s"/>
      <c r="Q99" s="59" t="s"/>
      <c r="R99" s="59" t="s"/>
      <c r="S99" s="59" t="s"/>
      <c r="T99" s="59" t="s"/>
      <c r="U99" s="59" t="s"/>
      <c r="V99" s="59" t="s"/>
      <c r="W99" s="59" t="s"/>
      <c r="X99" s="59" t="s"/>
      <c r="Y99" s="60" t="s"/>
      <c r="Z99" s="59" t="s"/>
    </row>
    <row r="100" spans="1:26" ht="13.5">
      <c r="A100" s="57" t="s"/>
      <c r="B100" s="57" t="s"/>
      <c r="C100" s="57" t="s"/>
      <c r="D100" s="38" t="s"/>
      <c r="E100" s="57" t="s"/>
      <c r="F100" s="57" t="s"/>
      <c r="G100" s="57" t="s"/>
      <c r="H100" s="57" t="s"/>
      <c r="I100" s="57" t="s"/>
      <c r="J100" s="57" t="s"/>
      <c r="K100" s="57" t="s"/>
      <c r="L100" s="38" t="s"/>
      <c r="M100" s="38" t="s"/>
      <c r="N100" s="59" t="s"/>
      <c r="O100" s="57" t="s"/>
      <c r="P100" s="60" t="s"/>
      <c r="Q100" s="59" t="s"/>
      <c r="R100" s="59" t="s"/>
      <c r="S100" s="59" t="s"/>
      <c r="T100" s="59" t="s"/>
      <c r="U100" s="59" t="s"/>
      <c r="V100" s="59" t="s"/>
      <c r="W100" s="59" t="s"/>
      <c r="X100" s="59" t="s"/>
      <c r="Y100" s="60" t="s"/>
      <c r="Z100" s="59" t="s"/>
    </row>
    <row r="101" spans="1:26" ht="13.5">
      <c r="A101" s="57" t="s"/>
      <c r="B101" s="57" t="s"/>
      <c r="C101" s="57" t="s"/>
      <c r="D101" s="38" t="s"/>
      <c r="E101" s="57" t="s"/>
      <c r="F101" s="57" t="s"/>
      <c r="G101" s="57" t="s"/>
      <c r="H101" s="57" t="s"/>
      <c r="I101" s="57" t="s"/>
      <c r="J101" s="57" t="s"/>
      <c r="K101" s="57" t="s"/>
      <c r="L101" s="38" t="s"/>
      <c r="M101" s="38" t="s"/>
      <c r="N101" s="59" t="s"/>
      <c r="O101" s="57" t="s"/>
      <c r="P101" s="60" t="s"/>
      <c r="Q101" s="59" t="s"/>
      <c r="R101" s="59" t="s"/>
      <c r="S101" s="59" t="s"/>
      <c r="T101" s="59" t="s"/>
      <c r="U101" s="59" t="s"/>
      <c r="V101" s="59" t="s"/>
      <c r="W101" s="59" t="s"/>
      <c r="X101" s="59" t="s"/>
      <c r="Y101" s="60" t="s"/>
      <c r="Z101" s="59" t="s"/>
    </row>
    <row r="102" spans="1:26" ht="13.5">
      <c r="A102" s="57" t="s"/>
      <c r="B102" s="57" t="s"/>
      <c r="C102" s="57" t="s"/>
      <c r="D102" s="38" t="s"/>
      <c r="E102" s="57" t="s"/>
      <c r="F102" s="57" t="s"/>
      <c r="G102" s="57" t="s"/>
      <c r="H102" s="57" t="s"/>
      <c r="I102" s="57" t="s"/>
      <c r="J102" s="57" t="s"/>
      <c r="K102" s="57" t="s"/>
      <c r="L102" s="38" t="s"/>
      <c r="M102" s="38" t="s"/>
      <c r="N102" s="59" t="s"/>
      <c r="O102" s="57" t="s"/>
      <c r="P102" s="60" t="s"/>
      <c r="Q102" s="59" t="s"/>
      <c r="R102" s="59" t="s"/>
      <c r="S102" s="59" t="s"/>
      <c r="T102" s="59" t="s"/>
      <c r="U102" s="59" t="s"/>
      <c r="V102" s="59" t="s"/>
      <c r="W102" s="59" t="s"/>
      <c r="X102" s="59" t="s"/>
      <c r="Y102" s="60" t="s"/>
      <c r="Z102" s="59" t="s"/>
    </row>
    <row r="103" spans="1:26" ht="13.5">
      <c r="A103" s="57" t="s"/>
      <c r="B103" s="57" t="s"/>
      <c r="C103" s="57" t="s"/>
      <c r="D103" s="38" t="s"/>
      <c r="E103" s="57" t="s"/>
      <c r="F103" s="57" t="s"/>
      <c r="G103" s="57" t="s"/>
      <c r="H103" s="57" t="s"/>
      <c r="I103" s="57" t="s"/>
      <c r="J103" s="57" t="s"/>
      <c r="K103" s="57" t="s"/>
      <c r="L103" s="38" t="s"/>
      <c r="M103" s="38" t="s"/>
      <c r="N103" s="59" t="s"/>
      <c r="O103" s="57" t="s"/>
      <c r="P103" s="60" t="s"/>
      <c r="Q103" s="59" t="s"/>
      <c r="R103" s="59" t="s"/>
      <c r="S103" s="59" t="s"/>
      <c r="T103" s="59" t="s"/>
      <c r="U103" s="59" t="s"/>
      <c r="V103" s="59" t="s"/>
      <c r="W103" s="59" t="s"/>
      <c r="X103" s="59" t="s"/>
      <c r="Y103" s="60" t="s"/>
      <c r="Z103" s="59" t="s"/>
    </row>
    <row r="104" spans="1:26" ht="13.5">
      <c r="A104" s="57" t="s"/>
      <c r="B104" s="57" t="s"/>
      <c r="C104" s="57" t="s"/>
      <c r="D104" s="38" t="s"/>
      <c r="E104" s="57" t="s"/>
      <c r="F104" s="57" t="s"/>
      <c r="G104" s="57" t="s"/>
      <c r="H104" s="57" t="s"/>
      <c r="I104" s="57" t="s"/>
      <c r="J104" s="57" t="s"/>
      <c r="K104" s="57" t="s"/>
      <c r="L104" s="38" t="s"/>
      <c r="M104" s="38" t="s"/>
      <c r="N104" s="59" t="s"/>
      <c r="O104" s="57" t="s"/>
      <c r="P104" s="60" t="s"/>
      <c r="Q104" s="59" t="s"/>
      <c r="R104" s="59" t="s"/>
      <c r="S104" s="59" t="s"/>
      <c r="T104" s="59" t="s"/>
      <c r="U104" s="59" t="s"/>
      <c r="V104" s="59" t="s"/>
      <c r="W104" s="59" t="s"/>
      <c r="X104" s="59" t="s"/>
      <c r="Y104" s="60" t="s"/>
      <c r="Z104" s="59" t="s"/>
    </row>
    <row r="105" spans="1:26" ht="13.5">
      <c r="A105" s="57" t="s"/>
      <c r="B105" s="57" t="s"/>
      <c r="C105" s="57" t="s"/>
      <c r="D105" s="38" t="s"/>
      <c r="E105" s="57" t="s"/>
      <c r="F105" s="57" t="s"/>
      <c r="G105" s="57" t="s"/>
      <c r="H105" s="57" t="s"/>
      <c r="I105" s="57" t="s"/>
      <c r="J105" s="57" t="s"/>
      <c r="K105" s="57" t="s"/>
      <c r="L105" s="38" t="s"/>
      <c r="M105" s="38" t="s"/>
      <c r="N105" s="59" t="s"/>
      <c r="O105" s="57" t="s"/>
      <c r="P105" s="60" t="s"/>
      <c r="Q105" s="59" t="s"/>
      <c r="R105" s="59" t="s"/>
      <c r="S105" s="59" t="s"/>
      <c r="T105" s="59" t="s"/>
      <c r="U105" s="59" t="s"/>
      <c r="V105" s="59" t="s"/>
      <c r="W105" s="59" t="s"/>
      <c r="X105" s="59" t="s"/>
      <c r="Y105" s="60" t="s"/>
      <c r="Z105" s="59" t="s"/>
    </row>
    <row r="106" spans="1:26" ht="13.5">
      <c r="A106" s="57" t="s"/>
      <c r="B106" s="57" t="s"/>
      <c r="C106" s="57" t="s"/>
      <c r="D106" s="38" t="s"/>
      <c r="E106" s="57" t="s"/>
      <c r="F106" s="57" t="s"/>
      <c r="G106" s="57" t="s"/>
      <c r="H106" s="57" t="s"/>
      <c r="I106" s="57" t="s"/>
      <c r="J106" s="57" t="s"/>
      <c r="K106" s="57" t="s"/>
      <c r="L106" s="38" t="s"/>
      <c r="M106" s="38" t="s"/>
      <c r="N106" s="59" t="s"/>
      <c r="O106" s="57" t="s"/>
      <c r="P106" s="60" t="s"/>
      <c r="Q106" s="59" t="s"/>
      <c r="R106" s="59" t="s"/>
      <c r="S106" s="59" t="s"/>
      <c r="T106" s="59" t="s"/>
      <c r="U106" s="59" t="s"/>
      <c r="V106" s="59" t="s"/>
      <c r="W106" s="59" t="s"/>
      <c r="X106" s="59" t="s"/>
      <c r="Y106" s="60" t="s"/>
      <c r="Z106" s="59" t="s"/>
    </row>
    <row r="107" spans="1:26" ht="13.5">
      <c r="A107" s="57" t="s"/>
      <c r="B107" s="57" t="s"/>
      <c r="C107" s="57" t="s"/>
      <c r="D107" s="38" t="s"/>
      <c r="E107" s="57" t="s"/>
      <c r="F107" s="57" t="s"/>
      <c r="G107" s="57" t="s"/>
      <c r="H107" s="57" t="s"/>
      <c r="I107" s="57" t="s"/>
      <c r="J107" s="57" t="s"/>
      <c r="K107" s="57" t="s"/>
      <c r="L107" s="38" t="s"/>
      <c r="M107" s="38" t="s"/>
      <c r="N107" s="59" t="s"/>
      <c r="O107" s="57" t="s"/>
      <c r="P107" s="60" t="s"/>
      <c r="Q107" s="59" t="s"/>
      <c r="R107" s="59" t="s"/>
      <c r="S107" s="59" t="s"/>
      <c r="T107" s="59" t="s"/>
      <c r="U107" s="59" t="s"/>
      <c r="V107" s="59" t="s"/>
      <c r="W107" s="59" t="s"/>
      <c r="X107" s="59" t="s"/>
      <c r="Y107" s="60" t="s"/>
      <c r="Z107" s="59" t="s"/>
    </row>
    <row r="108" spans="1:26" ht="13.5">
      <c r="A108" s="57" t="s"/>
      <c r="B108" s="57" t="s"/>
      <c r="C108" s="57" t="s"/>
      <c r="D108" s="38" t="s"/>
      <c r="E108" s="57" t="s"/>
      <c r="F108" s="57" t="s"/>
      <c r="G108" s="57" t="s"/>
      <c r="H108" s="57" t="s"/>
      <c r="I108" s="57" t="s"/>
      <c r="J108" s="57" t="s"/>
      <c r="K108" s="57" t="s"/>
      <c r="L108" s="38" t="s"/>
      <c r="M108" s="38" t="s"/>
      <c r="N108" s="59" t="s"/>
      <c r="O108" s="57" t="s"/>
      <c r="P108" s="60" t="s"/>
      <c r="Q108" s="59" t="s"/>
      <c r="R108" s="59" t="s"/>
      <c r="S108" s="59" t="s"/>
      <c r="T108" s="59" t="s"/>
      <c r="U108" s="59" t="s"/>
      <c r="V108" s="59" t="s"/>
      <c r="W108" s="59" t="s"/>
      <c r="X108" s="59" t="s"/>
      <c r="Y108" s="60" t="s"/>
      <c r="Z108" s="59" t="s"/>
    </row>
    <row r="109" spans="1:26" ht="13.5">
      <c r="A109" s="57" t="s"/>
      <c r="B109" s="57" t="s"/>
      <c r="C109" s="57" t="s"/>
      <c r="D109" s="38" t="s"/>
      <c r="E109" s="57" t="s"/>
      <c r="F109" s="57" t="s"/>
      <c r="G109" s="57" t="s"/>
      <c r="H109" s="57" t="s"/>
      <c r="I109" s="57" t="s"/>
      <c r="J109" s="57" t="s"/>
      <c r="K109" s="57" t="s"/>
      <c r="L109" s="38" t="s"/>
      <c r="M109" s="38" t="s"/>
      <c r="N109" s="59" t="s"/>
      <c r="O109" s="57" t="s"/>
      <c r="P109" s="60" t="s"/>
      <c r="Q109" s="59" t="s"/>
      <c r="R109" s="59" t="s"/>
      <c r="S109" s="59" t="s"/>
      <c r="T109" s="59" t="s"/>
      <c r="U109" s="59" t="s"/>
      <c r="V109" s="59" t="s"/>
      <c r="W109" s="59" t="s"/>
      <c r="X109" s="59" t="s"/>
      <c r="Y109" s="60" t="s"/>
      <c r="Z109" s="59" t="s"/>
    </row>
    <row r="110" spans="1:26" ht="13.5">
      <c r="A110" s="57" t="s"/>
      <c r="B110" s="57" t="s"/>
      <c r="C110" s="57" t="s"/>
      <c r="D110" s="38" t="s"/>
      <c r="E110" s="57" t="s"/>
      <c r="F110" s="57" t="s"/>
      <c r="G110" s="57" t="s"/>
      <c r="H110" s="57" t="s"/>
      <c r="I110" s="57" t="s"/>
      <c r="J110" s="57" t="s"/>
      <c r="K110" s="57" t="s"/>
      <c r="L110" s="38" t="s"/>
      <c r="M110" s="38" t="s"/>
      <c r="N110" s="59" t="s"/>
      <c r="O110" s="57" t="s"/>
      <c r="P110" s="60" t="s"/>
      <c r="Q110" s="59" t="s"/>
      <c r="R110" s="59" t="s"/>
      <c r="S110" s="59" t="s"/>
      <c r="T110" s="59" t="s"/>
      <c r="U110" s="59" t="s"/>
      <c r="V110" s="59" t="s"/>
      <c r="W110" s="59" t="s"/>
      <c r="X110" s="59" t="s"/>
      <c r="Y110" s="60" t="s"/>
      <c r="Z110" s="59" t="s"/>
    </row>
    <row r="111" spans="1:26" ht="13.5">
      <c r="A111" s="57" t="s"/>
      <c r="B111" s="57" t="s"/>
      <c r="C111" s="57" t="s"/>
      <c r="D111" s="38" t="s"/>
      <c r="E111" s="57" t="s"/>
      <c r="F111" s="57" t="s"/>
      <c r="G111" s="57" t="s"/>
      <c r="H111" s="57" t="s"/>
      <c r="I111" s="57" t="s"/>
      <c r="J111" s="57" t="s"/>
      <c r="K111" s="57" t="s"/>
      <c r="L111" s="38" t="s"/>
      <c r="M111" s="38" t="s"/>
      <c r="N111" s="59" t="s"/>
      <c r="O111" s="57" t="s"/>
      <c r="P111" s="60" t="s"/>
      <c r="Q111" s="59" t="s"/>
      <c r="R111" s="59" t="s"/>
      <c r="S111" s="59" t="s"/>
      <c r="T111" s="59" t="s"/>
      <c r="U111" s="59" t="s"/>
      <c r="V111" s="59" t="s"/>
      <c r="W111" s="59" t="s"/>
      <c r="X111" s="59" t="s"/>
      <c r="Y111" s="60" t="s"/>
      <c r="Z111" s="59" t="s"/>
    </row>
    <row r="112" spans="1:26" ht="13.5">
      <c r="A112" s="57" t="s"/>
      <c r="B112" s="57" t="s"/>
      <c r="C112" s="57" t="s"/>
      <c r="D112" s="38" t="s"/>
      <c r="E112" s="57" t="s"/>
      <c r="F112" s="57" t="s"/>
      <c r="G112" s="57" t="s"/>
      <c r="H112" s="57" t="s"/>
      <c r="I112" s="57" t="s"/>
      <c r="J112" s="57" t="s"/>
      <c r="K112" s="57" t="s"/>
      <c r="L112" s="38" t="s"/>
      <c r="M112" s="38" t="s"/>
      <c r="N112" s="59" t="s"/>
      <c r="O112" s="57" t="s"/>
      <c r="P112" s="60" t="s"/>
      <c r="Q112" s="59" t="s"/>
      <c r="R112" s="59" t="s"/>
      <c r="S112" s="59" t="s"/>
      <c r="T112" s="59" t="s"/>
      <c r="U112" s="59" t="s"/>
      <c r="V112" s="59" t="s"/>
      <c r="W112" s="59" t="s"/>
      <c r="X112" s="59" t="s"/>
      <c r="Y112" s="60" t="s"/>
      <c r="Z112" s="59" t="s"/>
    </row>
    <row r="113" spans="1:26" ht="13.5">
      <c r="A113" s="57" t="s"/>
      <c r="B113" s="57" t="s"/>
      <c r="C113" s="57" t="s"/>
      <c r="D113" s="38" t="s"/>
      <c r="E113" s="57" t="s"/>
      <c r="F113" s="57" t="s"/>
      <c r="G113" s="57" t="s"/>
      <c r="H113" s="57" t="s"/>
      <c r="I113" s="57" t="s"/>
      <c r="J113" s="57" t="s"/>
      <c r="K113" s="57" t="s"/>
      <c r="L113" s="38" t="s"/>
      <c r="M113" s="38" t="s"/>
      <c r="N113" s="59" t="s"/>
      <c r="O113" s="57" t="s"/>
      <c r="P113" s="60" t="s"/>
      <c r="Q113" s="59" t="s"/>
      <c r="R113" s="59" t="s"/>
      <c r="S113" s="59" t="s"/>
      <c r="T113" s="59" t="s"/>
      <c r="U113" s="59" t="s"/>
      <c r="V113" s="59" t="s"/>
      <c r="W113" s="59" t="s"/>
      <c r="X113" s="59" t="s"/>
      <c r="Y113" s="60" t="s"/>
      <c r="Z113" s="59" t="s"/>
    </row>
    <row r="114" spans="1:26" ht="13.5">
      <c r="A114" s="57" t="s"/>
      <c r="B114" s="57" t="s"/>
      <c r="C114" s="57" t="s"/>
      <c r="D114" s="38" t="s"/>
      <c r="E114" s="57" t="s"/>
      <c r="F114" s="57" t="s"/>
      <c r="G114" s="57" t="s"/>
      <c r="H114" s="57" t="s"/>
      <c r="I114" s="57" t="s"/>
      <c r="J114" s="57" t="s"/>
      <c r="K114" s="57" t="s"/>
      <c r="L114" s="38" t="s"/>
      <c r="M114" s="38" t="s"/>
      <c r="N114" s="59" t="s"/>
      <c r="O114" s="57" t="s"/>
      <c r="P114" s="60" t="s"/>
      <c r="Q114" s="59" t="s"/>
      <c r="R114" s="59" t="s"/>
      <c r="S114" s="59" t="s"/>
      <c r="T114" s="59" t="s"/>
      <c r="U114" s="59" t="s"/>
      <c r="V114" s="59" t="s"/>
      <c r="W114" s="59" t="s"/>
      <c r="X114" s="59" t="s"/>
      <c r="Y114" s="60" t="s"/>
      <c r="Z114" s="59" t="s"/>
    </row>
    <row r="115" spans="1:26" ht="13.5">
      <c r="A115" s="57" t="s"/>
      <c r="B115" s="57" t="s"/>
      <c r="C115" s="57" t="s"/>
      <c r="D115" s="38" t="s"/>
      <c r="E115" s="57" t="s"/>
      <c r="F115" s="57" t="s"/>
      <c r="G115" s="57" t="s"/>
      <c r="H115" s="57" t="s"/>
      <c r="I115" s="57" t="s"/>
      <c r="J115" s="57" t="s"/>
      <c r="K115" s="57" t="s"/>
      <c r="L115" s="38" t="s"/>
      <c r="M115" s="38" t="s"/>
      <c r="N115" s="59" t="s"/>
      <c r="O115" s="57" t="s"/>
      <c r="P115" s="60" t="s"/>
      <c r="Q115" s="59" t="s"/>
      <c r="R115" s="59" t="s"/>
      <c r="S115" s="59" t="s"/>
      <c r="T115" s="59" t="s"/>
      <c r="U115" s="59" t="s"/>
      <c r="V115" s="59" t="s"/>
      <c r="W115" s="59" t="s"/>
      <c r="X115" s="59" t="s"/>
      <c r="Y115" s="60" t="s"/>
      <c r="Z115" s="59" t="s"/>
    </row>
    <row r="116" spans="1:26" ht="13.5">
      <c r="A116" s="57" t="s"/>
      <c r="B116" s="57" t="s"/>
      <c r="C116" s="57" t="s"/>
      <c r="D116" s="38" t="s"/>
      <c r="E116" s="57" t="s"/>
      <c r="F116" s="57" t="s"/>
      <c r="G116" s="57" t="s"/>
      <c r="H116" s="57" t="s"/>
      <c r="I116" s="57" t="s"/>
      <c r="J116" s="57" t="s"/>
      <c r="K116" s="57" t="s"/>
      <c r="L116" s="38" t="s"/>
      <c r="M116" s="38" t="s"/>
      <c r="N116" s="59" t="s"/>
      <c r="O116" s="57" t="s"/>
      <c r="P116" s="60" t="s"/>
      <c r="Q116" s="59" t="s"/>
      <c r="R116" s="59" t="s"/>
      <c r="S116" s="59" t="s"/>
      <c r="T116" s="59" t="s"/>
      <c r="U116" s="59" t="s"/>
      <c r="V116" s="59" t="s"/>
      <c r="W116" s="59" t="s"/>
      <c r="X116" s="59" t="s"/>
      <c r="Y116" s="60" t="s"/>
      <c r="Z116" s="59" t="s"/>
    </row>
    <row r="117" spans="1:26" ht="13.5">
      <c r="A117" s="57" t="s"/>
      <c r="B117" s="57" t="s"/>
      <c r="C117" s="57" t="s"/>
      <c r="D117" s="38" t="s"/>
      <c r="E117" s="57" t="s"/>
      <c r="F117" s="57" t="s"/>
      <c r="G117" s="57" t="s"/>
      <c r="H117" s="57" t="s"/>
      <c r="I117" s="57" t="s"/>
      <c r="J117" s="57" t="s"/>
      <c r="K117" s="57" t="s"/>
      <c r="L117" s="38" t="s"/>
      <c r="M117" s="38" t="s"/>
      <c r="N117" s="59" t="s"/>
      <c r="O117" s="57" t="s"/>
      <c r="P117" s="60" t="s"/>
      <c r="Q117" s="59" t="s"/>
      <c r="R117" s="59" t="s"/>
      <c r="S117" s="59" t="s"/>
      <c r="T117" s="59" t="s"/>
      <c r="U117" s="59" t="s"/>
      <c r="V117" s="59" t="s"/>
      <c r="W117" s="59" t="s"/>
      <c r="X117" s="59" t="s"/>
      <c r="Y117" s="60" t="s"/>
      <c r="Z117" s="59" t="s"/>
    </row>
    <row r="118" spans="1:26" ht="13.5">
      <c r="A118" s="57" t="s"/>
      <c r="B118" s="57" t="s"/>
      <c r="C118" s="57" t="s"/>
      <c r="D118" s="38" t="s"/>
      <c r="E118" s="57" t="s"/>
      <c r="F118" s="57" t="s"/>
      <c r="G118" s="57" t="s"/>
      <c r="H118" s="57" t="s"/>
      <c r="I118" s="57" t="s"/>
      <c r="J118" s="57" t="s"/>
      <c r="K118" s="57" t="s"/>
      <c r="L118" s="38" t="s"/>
      <c r="M118" s="38" t="s"/>
      <c r="N118" s="59" t="s"/>
      <c r="O118" s="57" t="s"/>
      <c r="P118" s="60" t="s"/>
      <c r="Q118" s="59" t="s"/>
      <c r="R118" s="59" t="s"/>
      <c r="S118" s="59" t="s"/>
      <c r="T118" s="59" t="s"/>
      <c r="U118" s="59" t="s"/>
      <c r="V118" s="59" t="s"/>
      <c r="W118" s="59" t="s"/>
      <c r="X118" s="59" t="s"/>
      <c r="Y118" s="60" t="s"/>
      <c r="Z118" s="59" t="s"/>
    </row>
    <row r="119" spans="1:26" ht="13.5">
      <c r="A119" s="57" t="s"/>
      <c r="B119" s="57" t="s"/>
      <c r="C119" s="57" t="s"/>
      <c r="D119" s="38" t="s"/>
      <c r="E119" s="57" t="s"/>
      <c r="F119" s="57" t="s"/>
      <c r="G119" s="57" t="s"/>
      <c r="H119" s="57" t="s"/>
      <c r="I119" s="57" t="s"/>
      <c r="J119" s="57" t="s"/>
      <c r="K119" s="57" t="s"/>
      <c r="L119" s="38" t="s"/>
      <c r="M119" s="38" t="s"/>
      <c r="N119" s="59" t="s"/>
      <c r="O119" s="57" t="s"/>
      <c r="P119" s="60" t="s"/>
      <c r="Q119" s="59" t="s"/>
      <c r="R119" s="59" t="s"/>
      <c r="S119" s="59" t="s"/>
      <c r="T119" s="59" t="s"/>
      <c r="U119" s="59" t="s"/>
      <c r="V119" s="59" t="s"/>
      <c r="W119" s="59" t="s"/>
      <c r="X119" s="59" t="s"/>
      <c r="Y119" s="60" t="s"/>
      <c r="Z119" s="59" t="s"/>
    </row>
    <row r="120" spans="1:26" ht="13.5">
      <c r="A120" s="57" t="s"/>
      <c r="B120" s="57" t="s"/>
      <c r="C120" s="57" t="s"/>
      <c r="D120" s="38" t="s"/>
      <c r="E120" s="57" t="s"/>
      <c r="F120" s="57" t="s"/>
      <c r="G120" s="57" t="s"/>
      <c r="H120" s="57" t="s"/>
      <c r="I120" s="57" t="s"/>
      <c r="J120" s="57" t="s"/>
      <c r="K120" s="57" t="s"/>
      <c r="L120" s="38" t="s"/>
      <c r="M120" s="38" t="s"/>
      <c r="N120" s="59" t="s"/>
      <c r="O120" s="57" t="s"/>
      <c r="P120" s="60" t="s"/>
      <c r="Q120" s="59" t="s"/>
      <c r="R120" s="59" t="s"/>
      <c r="S120" s="59" t="s"/>
      <c r="T120" s="59" t="s"/>
      <c r="U120" s="59" t="s"/>
      <c r="V120" s="59" t="s"/>
      <c r="W120" s="59" t="s"/>
      <c r="X120" s="59" t="s"/>
      <c r="Y120" s="60" t="s"/>
      <c r="Z120" s="59" t="s"/>
    </row>
    <row r="121" spans="1:26" ht="13.5">
      <c r="A121" s="57" t="s"/>
      <c r="B121" s="57" t="s"/>
      <c r="C121" s="57" t="s"/>
      <c r="D121" s="38" t="s"/>
      <c r="E121" s="57" t="s"/>
      <c r="F121" s="57" t="s"/>
      <c r="G121" s="57" t="s"/>
      <c r="H121" s="57" t="s"/>
      <c r="I121" s="57" t="s"/>
      <c r="J121" s="57" t="s"/>
      <c r="K121" s="57" t="s"/>
      <c r="L121" s="38" t="s"/>
      <c r="M121" s="38" t="s"/>
      <c r="N121" s="59" t="s"/>
      <c r="O121" s="57" t="s"/>
      <c r="P121" s="60" t="s"/>
      <c r="Q121" s="59" t="s"/>
      <c r="R121" s="59" t="s"/>
      <c r="S121" s="59" t="s"/>
      <c r="T121" s="59" t="s"/>
      <c r="U121" s="59" t="s"/>
      <c r="V121" s="59" t="s"/>
      <c r="W121" s="59" t="s"/>
      <c r="X121" s="59" t="s"/>
      <c r="Y121" s="60" t="s"/>
      <c r="Z121" s="59" t="s"/>
    </row>
    <row r="122" spans="1:26" ht="13.5">
      <c r="A122" s="57" t="s"/>
      <c r="B122" s="57" t="s"/>
      <c r="C122" s="57" t="s"/>
      <c r="D122" s="38" t="s"/>
      <c r="E122" s="57" t="s"/>
      <c r="F122" s="57" t="s"/>
      <c r="G122" s="57" t="s"/>
      <c r="H122" s="57" t="s"/>
      <c r="I122" s="57" t="s"/>
      <c r="J122" s="57" t="s"/>
      <c r="K122" s="57" t="s"/>
      <c r="L122" s="38" t="s"/>
      <c r="M122" s="38" t="s"/>
      <c r="N122" s="59" t="s"/>
      <c r="O122" s="57" t="s"/>
      <c r="P122" s="60" t="s"/>
      <c r="Q122" s="59" t="s"/>
      <c r="R122" s="59" t="s"/>
      <c r="S122" s="59" t="s"/>
      <c r="T122" s="59" t="s"/>
      <c r="U122" s="59" t="s"/>
      <c r="V122" s="59" t="s"/>
      <c r="W122" s="59" t="s"/>
      <c r="X122" s="59" t="s"/>
      <c r="Y122" s="60" t="s"/>
      <c r="Z122" s="59" t="s"/>
    </row>
    <row r="123" spans="1:26" ht="13.5">
      <c r="A123" s="57" t="s"/>
      <c r="B123" s="57" t="s"/>
      <c r="C123" s="57" t="s"/>
      <c r="D123" s="38" t="s"/>
      <c r="E123" s="57" t="s"/>
      <c r="F123" s="57" t="s"/>
      <c r="G123" s="57" t="s"/>
      <c r="H123" s="57" t="s"/>
      <c r="I123" s="57" t="s"/>
      <c r="J123" s="57" t="s"/>
      <c r="K123" s="57" t="s"/>
      <c r="L123" s="38" t="s"/>
      <c r="M123" s="38" t="s"/>
      <c r="N123" s="59" t="s"/>
      <c r="O123" s="57" t="s"/>
      <c r="P123" s="60" t="s"/>
      <c r="Q123" s="59" t="s"/>
      <c r="R123" s="59" t="s"/>
      <c r="S123" s="59" t="s"/>
      <c r="T123" s="59" t="s"/>
      <c r="U123" s="59" t="s"/>
      <c r="V123" s="59" t="s"/>
      <c r="W123" s="59" t="s"/>
      <c r="X123" s="59" t="s"/>
      <c r="Y123" s="60" t="s"/>
      <c r="Z123" s="59" t="s"/>
    </row>
    <row r="124" spans="1:26" ht="13.5">
      <c r="A124" s="57" t="s"/>
      <c r="B124" s="57" t="s"/>
      <c r="C124" s="57" t="s"/>
      <c r="D124" s="38" t="s"/>
      <c r="E124" s="57" t="s"/>
      <c r="F124" s="57" t="s"/>
      <c r="G124" s="57" t="s"/>
      <c r="H124" s="57" t="s"/>
      <c r="I124" s="57" t="s"/>
      <c r="J124" s="57" t="s"/>
      <c r="K124" s="57" t="s"/>
      <c r="L124" s="38" t="s"/>
      <c r="M124" s="38" t="s"/>
      <c r="N124" s="59" t="s"/>
      <c r="O124" s="57" t="s"/>
      <c r="P124" s="60" t="s"/>
      <c r="Q124" s="59" t="s"/>
      <c r="R124" s="59" t="s"/>
      <c r="S124" s="59" t="s"/>
      <c r="T124" s="59" t="s"/>
      <c r="U124" s="59" t="s"/>
      <c r="V124" s="59" t="s"/>
      <c r="W124" s="59" t="s"/>
      <c r="X124" s="59" t="s"/>
      <c r="Y124" s="60" t="s"/>
      <c r="Z124" s="59" t="s"/>
    </row>
    <row r="125" spans="1:26" ht="13.5">
      <c r="A125" s="57" t="s"/>
      <c r="B125" s="57" t="s"/>
      <c r="C125" s="57" t="s"/>
      <c r="D125" s="38" t="s"/>
      <c r="E125" s="57" t="s"/>
      <c r="F125" s="57" t="s"/>
      <c r="G125" s="57" t="s"/>
      <c r="H125" s="57" t="s"/>
      <c r="I125" s="57" t="s"/>
      <c r="J125" s="57" t="s"/>
      <c r="K125" s="57" t="s"/>
      <c r="L125" s="38" t="s"/>
      <c r="M125" s="38" t="s"/>
      <c r="N125" s="59" t="s"/>
      <c r="O125" s="57" t="s"/>
      <c r="P125" s="60" t="s"/>
      <c r="Q125" s="59" t="s"/>
      <c r="R125" s="59" t="s"/>
      <c r="S125" s="59" t="s"/>
      <c r="T125" s="59" t="s"/>
      <c r="U125" s="59" t="s"/>
      <c r="V125" s="59" t="s"/>
      <c r="W125" s="59" t="s"/>
      <c r="X125" s="59" t="s"/>
      <c r="Y125" s="60" t="s"/>
      <c r="Z125" s="59" t="s"/>
    </row>
    <row r="126" spans="1:26" ht="13.5">
      <c r="A126" s="57" t="s"/>
      <c r="B126" s="57" t="s"/>
      <c r="C126" s="57" t="s"/>
      <c r="D126" s="38" t="s"/>
      <c r="E126" s="57" t="s"/>
      <c r="F126" s="57" t="s"/>
      <c r="G126" s="57" t="s"/>
      <c r="H126" s="57" t="s"/>
      <c r="I126" s="57" t="s"/>
      <c r="J126" s="57" t="s"/>
      <c r="K126" s="57" t="s"/>
      <c r="L126" s="38" t="s"/>
      <c r="M126" s="38" t="s"/>
      <c r="N126" s="59" t="s"/>
      <c r="O126" s="57" t="s"/>
      <c r="P126" s="60" t="s"/>
      <c r="Q126" s="59" t="s"/>
      <c r="R126" s="59" t="s"/>
      <c r="S126" s="59" t="s"/>
      <c r="T126" s="59" t="s"/>
      <c r="U126" s="59" t="s"/>
      <c r="V126" s="59" t="s"/>
      <c r="W126" s="59" t="s"/>
      <c r="X126" s="59" t="s"/>
      <c r="Y126" s="60" t="s"/>
      <c r="Z126" s="59" t="s"/>
    </row>
    <row r="127" spans="1:26" ht="13.5">
      <c r="A127" s="57" t="s"/>
      <c r="B127" s="57" t="s"/>
      <c r="C127" s="57" t="s"/>
      <c r="D127" s="38" t="s"/>
      <c r="E127" s="57" t="s"/>
      <c r="F127" s="57" t="s"/>
      <c r="G127" s="57" t="s"/>
      <c r="H127" s="57" t="s"/>
      <c r="I127" s="57" t="s"/>
      <c r="J127" s="57" t="s"/>
      <c r="K127" s="57" t="s"/>
      <c r="L127" s="38" t="s"/>
      <c r="M127" s="38" t="s"/>
      <c r="N127" s="59" t="s"/>
      <c r="O127" s="57" t="s"/>
      <c r="P127" s="60" t="s"/>
      <c r="Q127" s="59" t="s"/>
      <c r="R127" s="59" t="s"/>
      <c r="S127" s="59" t="s"/>
      <c r="T127" s="59" t="s"/>
      <c r="U127" s="59" t="s"/>
      <c r="V127" s="59" t="s"/>
      <c r="W127" s="59" t="s"/>
      <c r="X127" s="59" t="s"/>
      <c r="Y127" s="60" t="s"/>
      <c r="Z127" s="59" t="s"/>
    </row>
    <row r="128" spans="1:26" ht="13.5">
      <c r="A128" s="57" t="s"/>
      <c r="B128" s="57" t="s"/>
      <c r="C128" s="57" t="s"/>
      <c r="D128" s="38" t="s"/>
      <c r="E128" s="57" t="s"/>
      <c r="F128" s="57" t="s"/>
      <c r="G128" s="57" t="s"/>
      <c r="H128" s="57" t="s"/>
      <c r="I128" s="57" t="s"/>
      <c r="J128" s="57" t="s"/>
      <c r="K128" s="57" t="s"/>
      <c r="L128" s="38" t="s"/>
      <c r="M128" s="38" t="s"/>
      <c r="N128" s="59" t="s"/>
      <c r="O128" s="57" t="s"/>
      <c r="P128" s="60" t="s"/>
      <c r="Q128" s="59" t="s"/>
      <c r="R128" s="59" t="s"/>
      <c r="S128" s="59" t="s"/>
      <c r="T128" s="59" t="s"/>
      <c r="U128" s="59" t="s"/>
      <c r="V128" s="59" t="s"/>
      <c r="W128" s="59" t="s"/>
      <c r="X128" s="59" t="s"/>
      <c r="Y128" s="60" t="s"/>
      <c r="Z128" s="59" t="s"/>
    </row>
    <row r="129" spans="1:26" ht="13.5">
      <c r="A129" s="57" t="s"/>
      <c r="B129" s="57" t="s"/>
      <c r="C129" s="57" t="s"/>
      <c r="D129" s="38" t="s"/>
      <c r="E129" s="57" t="s"/>
      <c r="F129" s="57" t="s"/>
      <c r="G129" s="57" t="s"/>
      <c r="H129" s="57" t="s"/>
      <c r="I129" s="57" t="s"/>
      <c r="J129" s="57" t="s"/>
      <c r="K129" s="57" t="s"/>
      <c r="L129" s="38" t="s"/>
      <c r="M129" s="38" t="s"/>
      <c r="N129" s="59" t="s"/>
      <c r="O129" s="57" t="s"/>
      <c r="P129" s="60" t="s"/>
      <c r="Q129" s="59" t="s"/>
      <c r="R129" s="59" t="s"/>
      <c r="S129" s="59" t="s"/>
      <c r="T129" s="59" t="s"/>
      <c r="U129" s="59" t="s"/>
      <c r="V129" s="59" t="s"/>
      <c r="W129" s="59" t="s"/>
      <c r="X129" s="59" t="s"/>
      <c r="Y129" s="60" t="s"/>
      <c r="Z129" s="59" t="s"/>
    </row>
    <row r="130" spans="1:26" ht="13.5">
      <c r="A130" s="57" t="s"/>
      <c r="B130" s="57" t="s"/>
      <c r="C130" s="57" t="s"/>
      <c r="D130" s="38" t="s"/>
      <c r="E130" s="57" t="s"/>
      <c r="F130" s="57" t="s"/>
      <c r="G130" s="57" t="s"/>
      <c r="H130" s="57" t="s"/>
      <c r="I130" s="57" t="s"/>
      <c r="J130" s="57" t="s"/>
      <c r="K130" s="57" t="s"/>
      <c r="L130" s="38" t="s"/>
      <c r="M130" s="38" t="s"/>
      <c r="N130" s="59" t="s"/>
      <c r="O130" s="57" t="s"/>
      <c r="P130" s="60" t="s"/>
      <c r="Q130" s="59" t="s"/>
      <c r="R130" s="59" t="s"/>
      <c r="S130" s="59" t="s"/>
      <c r="T130" s="59" t="s"/>
      <c r="U130" s="59" t="s"/>
      <c r="V130" s="59" t="s"/>
      <c r="W130" s="59" t="s"/>
      <c r="X130" s="59" t="s"/>
      <c r="Y130" s="60" t="s"/>
      <c r="Z130" s="59" t="s"/>
    </row>
    <row r="131" spans="1:26" ht="13.5">
      <c r="A131" s="57" t="s"/>
      <c r="B131" s="57" t="s"/>
      <c r="C131" s="57" t="s"/>
      <c r="D131" s="38" t="s"/>
      <c r="E131" s="57" t="s"/>
      <c r="F131" s="57" t="s"/>
      <c r="G131" s="57" t="s"/>
      <c r="H131" s="57" t="s"/>
      <c r="I131" s="57" t="s"/>
      <c r="J131" s="57" t="s"/>
      <c r="K131" s="57" t="s"/>
      <c r="L131" s="38" t="s"/>
      <c r="M131" s="38" t="s"/>
      <c r="N131" s="59" t="s"/>
      <c r="O131" s="57" t="s"/>
      <c r="P131" s="60" t="s"/>
      <c r="Q131" s="59" t="s"/>
      <c r="R131" s="59" t="s"/>
      <c r="S131" s="59" t="s"/>
      <c r="T131" s="59" t="s"/>
      <c r="U131" s="59" t="s"/>
      <c r="V131" s="59" t="s"/>
      <c r="W131" s="59" t="s"/>
      <c r="X131" s="59" t="s"/>
      <c r="Y131" s="60" t="s"/>
      <c r="Z131" s="59" t="s"/>
    </row>
    <row r="132" spans="1:26" ht="13.5">
      <c r="A132" s="57" t="s"/>
      <c r="B132" s="57" t="s"/>
      <c r="C132" s="57" t="s"/>
      <c r="D132" s="38" t="s"/>
      <c r="E132" s="57" t="s"/>
      <c r="F132" s="57" t="s"/>
      <c r="G132" s="57" t="s"/>
      <c r="H132" s="57" t="s"/>
      <c r="I132" s="57" t="s"/>
      <c r="J132" s="57" t="s"/>
      <c r="K132" s="57" t="s"/>
      <c r="L132" s="38" t="s"/>
      <c r="M132" s="38" t="s"/>
      <c r="N132" s="59" t="s"/>
      <c r="O132" s="57" t="s"/>
      <c r="P132" s="60" t="s"/>
      <c r="Q132" s="59" t="s"/>
      <c r="R132" s="59" t="s"/>
      <c r="S132" s="59" t="s"/>
      <c r="T132" s="59" t="s"/>
      <c r="U132" s="59" t="s"/>
      <c r="V132" s="59" t="s"/>
      <c r="W132" s="59" t="s"/>
      <c r="X132" s="59" t="s"/>
      <c r="Y132" s="60" t="s"/>
      <c r="Z132" s="59" t="s"/>
    </row>
    <row r="133" spans="1:26" ht="13.5">
      <c r="A133" s="57" t="s"/>
      <c r="B133" s="57" t="s"/>
      <c r="C133" s="57" t="s"/>
      <c r="D133" s="38" t="s"/>
      <c r="E133" s="57" t="s"/>
      <c r="F133" s="57" t="s"/>
      <c r="G133" s="57" t="s"/>
      <c r="H133" s="57" t="s"/>
      <c r="I133" s="57" t="s"/>
      <c r="J133" s="57" t="s"/>
      <c r="K133" s="57" t="s"/>
      <c r="L133" s="38" t="s"/>
      <c r="M133" s="38" t="s"/>
      <c r="N133" s="59" t="s"/>
      <c r="O133" s="57" t="s"/>
      <c r="P133" s="60" t="s"/>
      <c r="Q133" s="59" t="s"/>
      <c r="R133" s="59" t="s"/>
      <c r="S133" s="59" t="s"/>
      <c r="T133" s="59" t="s"/>
      <c r="U133" s="59" t="s"/>
      <c r="V133" s="59" t="s"/>
      <c r="W133" s="59" t="s"/>
      <c r="X133" s="59" t="s"/>
      <c r="Y133" s="60" t="s"/>
      <c r="Z133" s="59" t="s"/>
    </row>
    <row r="134" spans="1:26" ht="13.5">
      <c r="A134" s="57" t="s"/>
      <c r="B134" s="57" t="s"/>
      <c r="C134" s="57" t="s"/>
      <c r="D134" s="38" t="s"/>
      <c r="E134" s="57" t="s"/>
      <c r="F134" s="57" t="s"/>
      <c r="G134" s="57" t="s"/>
      <c r="H134" s="57" t="s"/>
      <c r="I134" s="57" t="s"/>
      <c r="J134" s="57" t="s"/>
      <c r="K134" s="57" t="s"/>
      <c r="L134" s="38" t="s"/>
      <c r="M134" s="38" t="s"/>
      <c r="N134" s="59" t="s"/>
      <c r="O134" s="57" t="s"/>
      <c r="P134" s="60" t="s"/>
      <c r="Q134" s="59" t="s"/>
      <c r="R134" s="59" t="s"/>
      <c r="S134" s="59" t="s"/>
      <c r="T134" s="59" t="s"/>
      <c r="U134" s="59" t="s"/>
      <c r="V134" s="59" t="s"/>
      <c r="W134" s="59" t="s"/>
      <c r="X134" s="59" t="s"/>
      <c r="Y134" s="60" t="s"/>
      <c r="Z134" s="59" t="s"/>
    </row>
    <row r="135" spans="1:26" ht="13.5">
      <c r="A135" s="57" t="s"/>
      <c r="B135" s="57" t="s"/>
      <c r="C135" s="57" t="s"/>
      <c r="D135" s="38" t="s"/>
      <c r="E135" s="57" t="s"/>
      <c r="F135" s="57" t="s"/>
      <c r="G135" s="57" t="s"/>
      <c r="H135" s="57" t="s"/>
      <c r="I135" s="57" t="s"/>
      <c r="J135" s="57" t="s"/>
      <c r="K135" s="57" t="s"/>
      <c r="L135" s="38" t="s"/>
      <c r="M135" s="38" t="s"/>
      <c r="N135" s="59" t="s"/>
      <c r="O135" s="57" t="s"/>
      <c r="P135" s="60" t="s"/>
      <c r="Q135" s="59" t="s"/>
      <c r="R135" s="59" t="s"/>
      <c r="S135" s="59" t="s"/>
      <c r="T135" s="59" t="s"/>
      <c r="U135" s="59" t="s"/>
      <c r="V135" s="59" t="s"/>
      <c r="W135" s="59" t="s"/>
      <c r="X135" s="59" t="s"/>
      <c r="Y135" s="60" t="s"/>
      <c r="Z135" s="59" t="s"/>
    </row>
    <row r="136" spans="1:26" ht="13.5">
      <c r="A136" s="57" t="s"/>
      <c r="B136" s="57" t="s"/>
      <c r="C136" s="57" t="s"/>
      <c r="D136" s="38" t="s"/>
      <c r="E136" s="57" t="s"/>
      <c r="F136" s="57" t="s"/>
      <c r="G136" s="57" t="s"/>
      <c r="H136" s="57" t="s"/>
      <c r="I136" s="57" t="s"/>
      <c r="J136" s="57" t="s"/>
      <c r="K136" s="57" t="s"/>
      <c r="L136" s="38" t="s"/>
      <c r="M136" s="38" t="s"/>
      <c r="N136" s="59" t="s"/>
      <c r="O136" s="57" t="s"/>
      <c r="P136" s="60" t="s"/>
      <c r="Q136" s="59" t="s"/>
      <c r="R136" s="59" t="s"/>
      <c r="S136" s="59" t="s"/>
      <c r="T136" s="59" t="s"/>
      <c r="U136" s="59" t="s"/>
      <c r="V136" s="59" t="s"/>
      <c r="W136" s="59" t="s"/>
      <c r="X136" s="59" t="s"/>
      <c r="Y136" s="60" t="s"/>
      <c r="Z136" s="59" t="s"/>
    </row>
    <row r="137" spans="1:26" ht="13.5">
      <c r="A137" s="57" t="s"/>
      <c r="B137" s="57" t="s"/>
      <c r="C137" s="57" t="s"/>
      <c r="D137" s="38" t="s"/>
      <c r="E137" s="57" t="s"/>
      <c r="F137" s="57" t="s"/>
      <c r="G137" s="57" t="s"/>
      <c r="H137" s="57" t="s"/>
      <c r="I137" s="57" t="s"/>
      <c r="J137" s="57" t="s"/>
      <c r="K137" s="57" t="s"/>
      <c r="L137" s="38" t="s"/>
      <c r="M137" s="38" t="s"/>
      <c r="N137" s="59" t="s"/>
      <c r="O137" s="57" t="s"/>
      <c r="P137" s="60" t="s"/>
      <c r="Q137" s="59" t="s"/>
      <c r="R137" s="59" t="s"/>
      <c r="S137" s="59" t="s"/>
      <c r="T137" s="59" t="s"/>
      <c r="U137" s="59" t="s"/>
      <c r="V137" s="59" t="s"/>
      <c r="W137" s="59" t="s"/>
      <c r="X137" s="59" t="s"/>
      <c r="Y137" s="60" t="s"/>
      <c r="Z137" s="59" t="s"/>
    </row>
    <row r="138" spans="1:26" ht="13.5">
      <c r="A138" s="57" t="s"/>
      <c r="B138" s="57" t="s"/>
      <c r="C138" s="57" t="s"/>
      <c r="D138" s="38" t="s"/>
      <c r="E138" s="57" t="s"/>
      <c r="F138" s="57" t="s"/>
      <c r="G138" s="57" t="s"/>
      <c r="H138" s="57" t="s"/>
      <c r="I138" s="57" t="s"/>
      <c r="J138" s="57" t="s"/>
      <c r="K138" s="57" t="s"/>
      <c r="L138" s="38" t="s"/>
      <c r="M138" s="38" t="s"/>
      <c r="N138" s="59" t="s"/>
      <c r="O138" s="57" t="s"/>
      <c r="P138" s="60" t="s"/>
      <c r="Q138" s="59" t="s"/>
      <c r="R138" s="59" t="s"/>
      <c r="S138" s="59" t="s"/>
      <c r="T138" s="59" t="s"/>
      <c r="U138" s="59" t="s"/>
      <c r="V138" s="59" t="s"/>
      <c r="W138" s="59" t="s"/>
      <c r="X138" s="59" t="s"/>
      <c r="Y138" s="60" t="s"/>
      <c r="Z138" s="59" t="s"/>
    </row>
    <row r="139" spans="1:26" ht="13.5">
      <c r="A139" s="57" t="s"/>
      <c r="B139" s="57" t="s"/>
      <c r="C139" s="57" t="s"/>
      <c r="D139" s="38" t="s"/>
      <c r="E139" s="57" t="s"/>
      <c r="F139" s="57" t="s"/>
      <c r="G139" s="57" t="s"/>
      <c r="H139" s="57" t="s"/>
      <c r="I139" s="57" t="s"/>
      <c r="J139" s="57" t="s"/>
      <c r="K139" s="57" t="s"/>
      <c r="L139" s="38" t="s"/>
      <c r="M139" s="38" t="s"/>
      <c r="N139" s="59" t="s"/>
      <c r="O139" s="57" t="s"/>
      <c r="P139" s="60" t="s"/>
      <c r="Q139" s="59" t="s"/>
      <c r="R139" s="59" t="s"/>
      <c r="S139" s="59" t="s"/>
      <c r="T139" s="59" t="s"/>
      <c r="U139" s="59" t="s"/>
      <c r="V139" s="59" t="s"/>
      <c r="W139" s="59" t="s"/>
      <c r="X139" s="59" t="s"/>
      <c r="Y139" s="60" t="s"/>
      <c r="Z139" s="59" t="s"/>
    </row>
    <row r="140" spans="1:26" ht="13.5">
      <c r="A140" s="57" t="s"/>
      <c r="B140" s="57" t="s"/>
      <c r="C140" s="57" t="s"/>
      <c r="D140" s="38" t="s"/>
      <c r="E140" s="57" t="s"/>
      <c r="F140" s="57" t="s"/>
      <c r="G140" s="57" t="s"/>
      <c r="H140" s="57" t="s"/>
      <c r="I140" s="57" t="s"/>
      <c r="J140" s="57" t="s"/>
      <c r="K140" s="57" t="s"/>
      <c r="L140" s="38" t="s"/>
      <c r="M140" s="38" t="s"/>
      <c r="N140" s="59" t="s"/>
      <c r="O140" s="57" t="s"/>
      <c r="P140" s="60" t="s"/>
      <c r="Q140" s="59" t="s"/>
      <c r="R140" s="59" t="s"/>
      <c r="S140" s="59" t="s"/>
      <c r="T140" s="59" t="s"/>
      <c r="U140" s="59" t="s"/>
      <c r="V140" s="59" t="s"/>
      <c r="W140" s="59" t="s"/>
      <c r="X140" s="59" t="s"/>
      <c r="Y140" s="60" t="s"/>
      <c r="Z140" s="59" t="s"/>
    </row>
    <row r="141" spans="1:26" ht="13.5">
      <c r="A141" s="57" t="s"/>
      <c r="B141" s="57" t="s"/>
      <c r="C141" s="57" t="s"/>
      <c r="D141" s="38" t="s"/>
      <c r="E141" s="57" t="s"/>
      <c r="F141" s="57" t="s"/>
      <c r="G141" s="57" t="s"/>
      <c r="H141" s="57" t="s"/>
      <c r="I141" s="57" t="s"/>
      <c r="J141" s="57" t="s"/>
      <c r="K141" s="57" t="s"/>
      <c r="L141" s="38" t="s"/>
      <c r="M141" s="38" t="s"/>
      <c r="N141" s="59" t="s"/>
      <c r="O141" s="57" t="s"/>
      <c r="P141" s="60" t="s"/>
      <c r="Q141" s="59" t="s"/>
      <c r="R141" s="59" t="s"/>
      <c r="S141" s="59" t="s"/>
      <c r="T141" s="59" t="s"/>
      <c r="U141" s="59" t="s"/>
      <c r="V141" s="59" t="s"/>
      <c r="W141" s="59" t="s"/>
      <c r="X141" s="59" t="s"/>
      <c r="Y141" s="60" t="s"/>
      <c r="Z141" s="59" t="s"/>
    </row>
    <row r="142" spans="1:26" ht="13.5">
      <c r="A142" s="57" t="s"/>
      <c r="B142" s="57" t="s"/>
      <c r="C142" s="57" t="s"/>
      <c r="D142" s="38" t="s"/>
      <c r="E142" s="57" t="s"/>
      <c r="F142" s="57" t="s"/>
      <c r="G142" s="57" t="s"/>
      <c r="H142" s="57" t="s"/>
      <c r="I142" s="57" t="s"/>
      <c r="J142" s="57" t="s"/>
      <c r="K142" s="57" t="s"/>
      <c r="L142" s="38" t="s"/>
      <c r="M142" s="38" t="s"/>
      <c r="N142" s="59" t="s"/>
      <c r="O142" s="57" t="s"/>
      <c r="P142" s="60" t="s"/>
      <c r="Q142" s="59" t="s"/>
      <c r="R142" s="59" t="s"/>
      <c r="S142" s="59" t="s"/>
      <c r="T142" s="59" t="s"/>
      <c r="U142" s="59" t="s"/>
      <c r="V142" s="59" t="s"/>
      <c r="W142" s="59" t="s"/>
      <c r="X142" s="59" t="s"/>
      <c r="Y142" s="60" t="s"/>
      <c r="Z142" s="59" t="s"/>
    </row>
    <row r="143" spans="1:26" ht="13.5">
      <c r="A143" s="57" t="s"/>
      <c r="B143" s="57" t="s"/>
      <c r="C143" s="57" t="s"/>
      <c r="D143" s="38" t="s"/>
      <c r="E143" s="57" t="s"/>
      <c r="F143" s="57" t="s"/>
      <c r="G143" s="57" t="s"/>
      <c r="H143" s="57" t="s"/>
      <c r="I143" s="57" t="s"/>
      <c r="J143" s="57" t="s"/>
      <c r="K143" s="57" t="s"/>
      <c r="L143" s="38" t="s"/>
      <c r="M143" s="38" t="s"/>
      <c r="N143" s="59" t="s"/>
      <c r="O143" s="57" t="s"/>
      <c r="P143" s="60" t="s"/>
      <c r="Q143" s="59" t="s"/>
      <c r="R143" s="59" t="s"/>
      <c r="S143" s="59" t="s"/>
      <c r="T143" s="59" t="s"/>
      <c r="U143" s="59" t="s"/>
      <c r="V143" s="59" t="s"/>
      <c r="W143" s="59" t="s"/>
      <c r="X143" s="59" t="s"/>
      <c r="Y143" s="60" t="s"/>
      <c r="Z143" s="59" t="s"/>
    </row>
    <row r="144" spans="1:26" ht="13.5">
      <c r="A144" s="57" t="s"/>
      <c r="B144" s="57" t="s"/>
      <c r="C144" s="57" t="s"/>
      <c r="D144" s="38" t="s"/>
      <c r="E144" s="57" t="s"/>
      <c r="F144" s="57" t="s"/>
      <c r="G144" s="57" t="s"/>
      <c r="H144" s="57" t="s"/>
      <c r="I144" s="57" t="s"/>
      <c r="J144" s="57" t="s"/>
      <c r="K144" s="57" t="s"/>
      <c r="L144" s="38" t="s"/>
      <c r="M144" s="38" t="s"/>
      <c r="N144" s="59" t="s"/>
      <c r="O144" s="57" t="s"/>
      <c r="P144" s="60" t="s"/>
      <c r="Q144" s="59" t="s"/>
      <c r="R144" s="59" t="s"/>
      <c r="S144" s="59" t="s"/>
      <c r="T144" s="59" t="s"/>
      <c r="U144" s="59" t="s"/>
      <c r="V144" s="59" t="s"/>
      <c r="W144" s="59" t="s"/>
      <c r="X144" s="59" t="s"/>
      <c r="Y144" s="60" t="s"/>
      <c r="Z144" s="59" t="s"/>
    </row>
    <row r="145" spans="1:26" ht="13.5">
      <c r="A145" s="57" t="s"/>
      <c r="B145" s="57" t="s"/>
      <c r="C145" s="57" t="s"/>
      <c r="D145" s="38" t="s"/>
      <c r="E145" s="57" t="s"/>
      <c r="F145" s="57" t="s"/>
      <c r="G145" s="57" t="s"/>
      <c r="H145" s="57" t="s"/>
      <c r="I145" s="57" t="s"/>
      <c r="J145" s="57" t="s"/>
      <c r="K145" s="57" t="s"/>
      <c r="L145" s="38" t="s"/>
      <c r="M145" s="38" t="s"/>
      <c r="N145" s="59" t="s"/>
      <c r="O145" s="57" t="s"/>
      <c r="P145" s="60" t="s"/>
      <c r="Q145" s="59" t="s"/>
      <c r="R145" s="59" t="s"/>
      <c r="S145" s="59" t="s"/>
      <c r="T145" s="59" t="s"/>
      <c r="U145" s="59" t="s"/>
      <c r="V145" s="59" t="s"/>
      <c r="W145" s="59" t="s"/>
      <c r="X145" s="59" t="s"/>
      <c r="Y145" s="60" t="s"/>
      <c r="Z145" s="59" t="s"/>
    </row>
    <row r="146" spans="1:26" ht="13.5">
      <c r="A146" s="57" t="s"/>
      <c r="B146" s="57" t="s"/>
      <c r="C146" s="57" t="s"/>
      <c r="D146" s="38" t="s"/>
      <c r="E146" s="57" t="s"/>
      <c r="F146" s="57" t="s"/>
      <c r="G146" s="57" t="s"/>
      <c r="H146" s="57" t="s"/>
      <c r="I146" s="57" t="s"/>
      <c r="J146" s="57" t="s"/>
      <c r="K146" s="57" t="s"/>
      <c r="L146" s="38" t="s"/>
      <c r="M146" s="38" t="s"/>
      <c r="N146" s="59" t="s"/>
      <c r="O146" s="57" t="s"/>
      <c r="P146" s="60" t="s"/>
      <c r="Q146" s="59" t="s"/>
      <c r="R146" s="59" t="s"/>
      <c r="S146" s="59" t="s"/>
      <c r="T146" s="59" t="s"/>
      <c r="U146" s="59" t="s"/>
      <c r="V146" s="59" t="s"/>
      <c r="W146" s="59" t="s"/>
      <c r="X146" s="59" t="s"/>
      <c r="Y146" s="60" t="s"/>
      <c r="Z146" s="59" t="s"/>
    </row>
    <row r="147" spans="1:26" ht="13.5">
      <c r="A147" s="57" t="s"/>
      <c r="B147" s="57" t="s"/>
      <c r="C147" s="57" t="s"/>
      <c r="D147" s="38" t="s"/>
      <c r="E147" s="57" t="s"/>
      <c r="F147" s="57" t="s"/>
      <c r="G147" s="57" t="s"/>
      <c r="H147" s="57" t="s"/>
      <c r="I147" s="57" t="s"/>
      <c r="J147" s="57" t="s"/>
      <c r="K147" s="57" t="s"/>
      <c r="L147" s="38" t="s"/>
      <c r="M147" s="38" t="s"/>
      <c r="N147" s="59" t="s"/>
      <c r="O147" s="57" t="s"/>
      <c r="P147" s="60" t="s"/>
      <c r="Q147" s="59" t="s"/>
      <c r="R147" s="59" t="s"/>
      <c r="S147" s="59" t="s"/>
      <c r="T147" s="59" t="s"/>
      <c r="U147" s="59" t="s"/>
      <c r="V147" s="59" t="s"/>
      <c r="W147" s="59" t="s"/>
      <c r="X147" s="59" t="s"/>
      <c r="Y147" s="60" t="s"/>
      <c r="Z147" s="59" t="s"/>
    </row>
    <row r="148" spans="1:26" ht="13.5">
      <c r="A148" s="57" t="s"/>
      <c r="B148" s="57" t="s"/>
      <c r="C148" s="57" t="s"/>
      <c r="D148" s="38" t="s"/>
      <c r="E148" s="57" t="s"/>
      <c r="F148" s="57" t="s"/>
      <c r="G148" s="57" t="s"/>
      <c r="H148" s="57" t="s"/>
      <c r="I148" s="57" t="s"/>
      <c r="J148" s="57" t="s"/>
      <c r="K148" s="57" t="s"/>
      <c r="L148" s="38" t="s"/>
      <c r="M148" s="38" t="s"/>
      <c r="N148" s="59" t="s"/>
      <c r="O148" s="57" t="s"/>
      <c r="P148" s="60" t="s"/>
      <c r="Q148" s="59" t="s"/>
      <c r="R148" s="59" t="s"/>
      <c r="S148" s="59" t="s"/>
      <c r="T148" s="59" t="s"/>
      <c r="U148" s="59" t="s"/>
      <c r="V148" s="59" t="s"/>
      <c r="W148" s="59" t="s"/>
      <c r="X148" s="59" t="s"/>
      <c r="Y148" s="60" t="s"/>
      <c r="Z148" s="59" t="s"/>
    </row>
    <row r="149" spans="1:26" ht="13.5">
      <c r="A149" s="57" t="s"/>
      <c r="B149" s="57" t="s"/>
      <c r="C149" s="57" t="s"/>
      <c r="D149" s="38" t="s"/>
      <c r="E149" s="57" t="s"/>
      <c r="F149" s="57" t="s"/>
      <c r="G149" s="57" t="s"/>
      <c r="H149" s="57" t="s"/>
      <c r="I149" s="57" t="s"/>
      <c r="J149" s="57" t="s"/>
      <c r="K149" s="57" t="s"/>
      <c r="L149" s="38" t="s"/>
      <c r="M149" s="38" t="s"/>
      <c r="N149" s="59" t="s"/>
      <c r="O149" s="57" t="s"/>
      <c r="P149" s="60" t="s"/>
      <c r="Q149" s="59" t="s"/>
      <c r="R149" s="59" t="s"/>
      <c r="S149" s="59" t="s"/>
      <c r="T149" s="59" t="s"/>
      <c r="U149" s="59" t="s"/>
      <c r="V149" s="59" t="s"/>
      <c r="W149" s="59" t="s"/>
      <c r="X149" s="59" t="s"/>
      <c r="Y149" s="60" t="s"/>
      <c r="Z149" s="59" t="s"/>
    </row>
    <row r="150" spans="1:26" ht="13.5">
      <c r="A150" s="57" t="s"/>
      <c r="B150" s="57" t="s"/>
      <c r="C150" s="57" t="s"/>
      <c r="D150" s="38" t="s"/>
      <c r="E150" s="57" t="s"/>
      <c r="F150" s="57" t="s"/>
      <c r="G150" s="57" t="s"/>
      <c r="H150" s="57" t="s"/>
      <c r="I150" s="57" t="s"/>
      <c r="J150" s="57" t="s"/>
      <c r="K150" s="57" t="s"/>
      <c r="L150" s="38" t="s"/>
      <c r="M150" s="38" t="s"/>
      <c r="N150" s="59" t="s"/>
      <c r="O150" s="57" t="s"/>
      <c r="P150" s="60" t="s"/>
      <c r="Q150" s="59" t="s"/>
      <c r="R150" s="59" t="s"/>
      <c r="S150" s="59" t="s"/>
      <c r="T150" s="59" t="s"/>
      <c r="U150" s="59" t="s"/>
      <c r="V150" s="59" t="s"/>
      <c r="W150" s="59" t="s"/>
      <c r="X150" s="59" t="s"/>
      <c r="Y150" s="60" t="s"/>
      <c r="Z150" s="59" t="s"/>
    </row>
    <row r="151" spans="1:26" ht="13.5">
      <c r="A151" s="57" t="s"/>
      <c r="B151" s="57" t="s"/>
      <c r="C151" s="57" t="s"/>
      <c r="D151" s="38" t="s"/>
      <c r="E151" s="57" t="s"/>
      <c r="F151" s="57" t="s"/>
      <c r="G151" s="57" t="s"/>
      <c r="H151" s="57" t="s"/>
      <c r="I151" s="57" t="s"/>
      <c r="J151" s="57" t="s"/>
      <c r="K151" s="57" t="s"/>
      <c r="L151" s="38" t="s"/>
      <c r="M151" s="38" t="s"/>
      <c r="N151" s="59" t="s"/>
      <c r="O151" s="57" t="s"/>
      <c r="P151" s="60" t="s"/>
      <c r="Q151" s="59" t="s"/>
      <c r="R151" s="59" t="s"/>
      <c r="S151" s="59" t="s"/>
      <c r="T151" s="59" t="s"/>
      <c r="U151" s="59" t="s"/>
      <c r="V151" s="59" t="s"/>
      <c r="W151" s="59" t="s"/>
      <c r="X151" s="59" t="s"/>
      <c r="Y151" s="60" t="s"/>
      <c r="Z151" s="59" t="s"/>
    </row>
    <row r="152" spans="1:26" ht="13.5">
      <c r="A152" s="57" t="s"/>
      <c r="B152" s="57" t="s"/>
      <c r="C152" s="57" t="s"/>
      <c r="D152" s="38" t="s"/>
      <c r="E152" s="57" t="s"/>
      <c r="F152" s="57" t="s"/>
      <c r="G152" s="57" t="s"/>
      <c r="H152" s="57" t="s"/>
      <c r="I152" s="57" t="s"/>
      <c r="J152" s="57" t="s"/>
      <c r="K152" s="57" t="s"/>
      <c r="L152" s="38" t="s"/>
      <c r="M152" s="38" t="s"/>
      <c r="N152" s="59" t="s"/>
      <c r="O152" s="57" t="s"/>
      <c r="P152" s="60" t="s"/>
      <c r="Q152" s="59" t="s"/>
      <c r="R152" s="59" t="s"/>
      <c r="S152" s="59" t="s"/>
      <c r="T152" s="59" t="s"/>
      <c r="U152" s="59" t="s"/>
      <c r="V152" s="59" t="s"/>
      <c r="W152" s="59" t="s"/>
      <c r="X152" s="59" t="s"/>
      <c r="Y152" s="60" t="s"/>
      <c r="Z152" s="59" t="s"/>
    </row>
    <row r="153" spans="1:26" ht="13.5">
      <c r="A153" s="57" t="s"/>
      <c r="B153" s="57" t="s"/>
      <c r="C153" s="57" t="s"/>
      <c r="D153" s="38" t="s"/>
      <c r="E153" s="57" t="s"/>
      <c r="F153" s="57" t="s"/>
      <c r="G153" s="57" t="s"/>
      <c r="H153" s="57" t="s"/>
      <c r="I153" s="57" t="s"/>
      <c r="J153" s="57" t="s"/>
      <c r="K153" s="57" t="s"/>
      <c r="L153" s="38" t="s"/>
      <c r="M153" s="38" t="s"/>
      <c r="N153" s="59" t="s"/>
      <c r="O153" s="57" t="s"/>
      <c r="P153" s="60" t="s"/>
      <c r="Q153" s="59" t="s"/>
      <c r="R153" s="59" t="s"/>
      <c r="S153" s="59" t="s"/>
      <c r="T153" s="59" t="s"/>
      <c r="U153" s="59" t="s"/>
      <c r="V153" s="59" t="s"/>
      <c r="W153" s="59" t="s"/>
      <c r="X153" s="59" t="s"/>
      <c r="Y153" s="60" t="s"/>
      <c r="Z153" s="59" t="s"/>
    </row>
    <row r="154" spans="1:26" ht="13.5">
      <c r="A154" s="57" t="s"/>
      <c r="B154" s="57" t="s"/>
      <c r="C154" s="57" t="s"/>
      <c r="D154" s="38" t="s"/>
      <c r="E154" s="57" t="s"/>
      <c r="F154" s="57" t="s"/>
      <c r="G154" s="57" t="s"/>
      <c r="H154" s="57" t="s"/>
      <c r="I154" s="57" t="s"/>
      <c r="J154" s="57" t="s"/>
      <c r="K154" s="57" t="s"/>
      <c r="L154" s="38" t="s"/>
      <c r="M154" s="38" t="s"/>
      <c r="N154" s="59" t="s"/>
      <c r="O154" s="57" t="s"/>
      <c r="P154" s="60" t="s"/>
      <c r="Q154" s="59" t="s"/>
      <c r="R154" s="59" t="s"/>
      <c r="S154" s="59" t="s"/>
      <c r="T154" s="59" t="s"/>
      <c r="U154" s="59" t="s"/>
      <c r="V154" s="59" t="s"/>
      <c r="W154" s="59" t="s"/>
      <c r="X154" s="59" t="s"/>
      <c r="Y154" s="60" t="s"/>
      <c r="Z154" s="59" t="s"/>
    </row>
    <row r="155" spans="1:26" ht="13.5">
      <c r="A155" s="57" t="s"/>
      <c r="B155" s="57" t="s"/>
      <c r="C155" s="57" t="s"/>
      <c r="D155" s="38" t="s"/>
      <c r="E155" s="57" t="s"/>
      <c r="F155" s="57" t="s"/>
      <c r="G155" s="57" t="s"/>
      <c r="H155" s="57" t="s"/>
      <c r="I155" s="57" t="s"/>
      <c r="J155" s="57" t="s"/>
      <c r="K155" s="57" t="s"/>
      <c r="L155" s="38" t="s"/>
      <c r="M155" s="38" t="s"/>
      <c r="N155" s="59" t="s"/>
      <c r="O155" s="57" t="s"/>
      <c r="P155" s="60" t="s"/>
      <c r="Q155" s="59" t="s"/>
      <c r="R155" s="59" t="s"/>
      <c r="S155" s="59" t="s"/>
      <c r="T155" s="59" t="s"/>
      <c r="U155" s="59" t="s"/>
      <c r="V155" s="59" t="s"/>
      <c r="W155" s="59" t="s"/>
      <c r="X155" s="59" t="s"/>
      <c r="Y155" s="60" t="s"/>
      <c r="Z155" s="59" t="s"/>
    </row>
    <row r="156" spans="1:26" ht="13.5">
      <c r="A156" s="57" t="s"/>
      <c r="B156" s="57" t="s"/>
      <c r="C156" s="57" t="s"/>
      <c r="D156" s="38" t="s"/>
      <c r="E156" s="57" t="s"/>
      <c r="F156" s="57" t="s"/>
      <c r="G156" s="57" t="s"/>
      <c r="H156" s="57" t="s"/>
      <c r="I156" s="57" t="s"/>
      <c r="J156" s="57" t="s"/>
      <c r="K156" s="57" t="s"/>
      <c r="L156" s="38" t="s"/>
      <c r="M156" s="38" t="s"/>
      <c r="N156" s="59" t="s"/>
      <c r="O156" s="57" t="s"/>
      <c r="P156" s="60" t="s"/>
      <c r="Q156" s="59" t="s"/>
      <c r="R156" s="59" t="s"/>
      <c r="S156" s="59" t="s"/>
      <c r="T156" s="59" t="s"/>
      <c r="U156" s="59" t="s"/>
      <c r="V156" s="59" t="s"/>
      <c r="W156" s="59" t="s"/>
      <c r="X156" s="59" t="s"/>
      <c r="Y156" s="60" t="s"/>
      <c r="Z156" s="59" t="s"/>
    </row>
    <row r="157" spans="1:26" ht="13.5">
      <c r="A157" s="57" t="s"/>
      <c r="B157" s="57" t="s"/>
      <c r="C157" s="57" t="s"/>
      <c r="D157" s="38" t="s"/>
      <c r="E157" s="57" t="s"/>
      <c r="F157" s="57" t="s"/>
      <c r="G157" s="57" t="s"/>
      <c r="H157" s="57" t="s"/>
      <c r="I157" s="57" t="s"/>
      <c r="J157" s="57" t="s"/>
      <c r="K157" s="57" t="s"/>
      <c r="L157" s="38" t="s"/>
      <c r="M157" s="38" t="s"/>
      <c r="N157" s="59" t="s"/>
      <c r="O157" s="57" t="s"/>
      <c r="P157" s="60" t="s"/>
      <c r="Q157" s="59" t="s"/>
      <c r="R157" s="59" t="s"/>
      <c r="S157" s="59" t="s"/>
      <c r="T157" s="59" t="s"/>
      <c r="U157" s="59" t="s"/>
      <c r="V157" s="59" t="s"/>
      <c r="W157" s="59" t="s"/>
      <c r="X157" s="59" t="s"/>
      <c r="Y157" s="60" t="s"/>
      <c r="Z157" s="59" t="s"/>
    </row>
    <row r="158" spans="1:26" ht="13.5">
      <c r="A158" s="57" t="s"/>
      <c r="B158" s="57" t="s"/>
      <c r="C158" s="57" t="s"/>
      <c r="D158" s="38" t="s"/>
      <c r="E158" s="57" t="s"/>
      <c r="F158" s="57" t="s"/>
      <c r="G158" s="57" t="s"/>
      <c r="H158" s="57" t="s"/>
      <c r="I158" s="57" t="s"/>
      <c r="J158" s="57" t="s"/>
      <c r="K158" s="57" t="s"/>
      <c r="L158" s="38" t="s"/>
      <c r="M158" s="38" t="s"/>
      <c r="N158" s="59" t="s"/>
      <c r="O158" s="57" t="s"/>
      <c r="P158" s="60" t="s"/>
      <c r="Q158" s="59" t="s"/>
      <c r="R158" s="59" t="s"/>
      <c r="S158" s="59" t="s"/>
      <c r="T158" s="59" t="s"/>
      <c r="U158" s="59" t="s"/>
      <c r="V158" s="59" t="s"/>
      <c r="W158" s="59" t="s"/>
      <c r="X158" s="59" t="s"/>
      <c r="Y158" s="60" t="s"/>
      <c r="Z158" s="59" t="s"/>
    </row>
    <row r="159" spans="1:26" ht="13.5">
      <c r="A159" s="57" t="s"/>
      <c r="B159" s="57" t="s"/>
      <c r="C159" s="57" t="s"/>
      <c r="D159" s="38" t="s"/>
      <c r="E159" s="57" t="s"/>
      <c r="F159" s="57" t="s"/>
      <c r="G159" s="57" t="s"/>
      <c r="H159" s="57" t="s"/>
      <c r="I159" s="57" t="s"/>
      <c r="J159" s="57" t="s"/>
      <c r="K159" s="57" t="s"/>
      <c r="L159" s="38" t="s"/>
      <c r="M159" s="38" t="s"/>
      <c r="N159" s="59" t="s"/>
      <c r="O159" s="57" t="s"/>
      <c r="P159" s="60" t="s"/>
      <c r="Q159" s="59" t="s"/>
      <c r="R159" s="59" t="s"/>
      <c r="S159" s="59" t="s"/>
      <c r="T159" s="59" t="s"/>
      <c r="U159" s="59" t="s"/>
      <c r="V159" s="59" t="s"/>
      <c r="W159" s="59" t="s"/>
      <c r="X159" s="59" t="s"/>
      <c r="Y159" s="60" t="s"/>
      <c r="Z159" s="59" t="s"/>
    </row>
    <row r="160" spans="1:26" ht="13.5">
      <c r="A160" s="57" t="s"/>
      <c r="B160" s="57" t="s"/>
      <c r="C160" s="57" t="s"/>
      <c r="D160" s="38" t="s"/>
      <c r="E160" s="57" t="s"/>
      <c r="F160" s="57" t="s"/>
      <c r="G160" s="57" t="s"/>
      <c r="H160" s="57" t="s"/>
      <c r="I160" s="57" t="s"/>
      <c r="J160" s="57" t="s"/>
      <c r="K160" s="57" t="s"/>
      <c r="L160" s="38" t="s"/>
      <c r="M160" s="38" t="s"/>
      <c r="N160" s="59" t="s"/>
      <c r="O160" s="57" t="s"/>
      <c r="P160" s="60" t="s"/>
      <c r="Q160" s="59" t="s"/>
      <c r="R160" s="59" t="s"/>
      <c r="S160" s="59" t="s"/>
      <c r="T160" s="59" t="s"/>
      <c r="U160" s="59" t="s"/>
      <c r="V160" s="59" t="s"/>
      <c r="W160" s="59" t="s"/>
      <c r="X160" s="59" t="s"/>
      <c r="Y160" s="60" t="s"/>
      <c r="Z160" s="59" t="s"/>
    </row>
    <row r="161" spans="1:26" ht="13.5">
      <c r="A161" s="57" t="s"/>
      <c r="B161" s="57" t="s"/>
      <c r="C161" s="57" t="s"/>
      <c r="D161" s="38" t="s"/>
      <c r="E161" s="57" t="s"/>
      <c r="F161" s="57" t="s"/>
      <c r="G161" s="57" t="s"/>
      <c r="H161" s="57" t="s"/>
      <c r="I161" s="57" t="s"/>
      <c r="J161" s="57" t="s"/>
      <c r="K161" s="57" t="s"/>
      <c r="L161" s="38" t="s"/>
      <c r="M161" s="38" t="s"/>
      <c r="N161" s="59" t="s"/>
      <c r="O161" s="57" t="s"/>
      <c r="P161" s="60" t="s"/>
      <c r="Q161" s="59" t="s"/>
      <c r="R161" s="59" t="s"/>
      <c r="S161" s="59" t="s"/>
      <c r="T161" s="59" t="s"/>
      <c r="U161" s="59" t="s"/>
      <c r="V161" s="59" t="s"/>
      <c r="W161" s="59" t="s"/>
      <c r="X161" s="59" t="s"/>
      <c r="Y161" s="60" t="s"/>
      <c r="Z161" s="59" t="s"/>
    </row>
    <row r="162" spans="1:26" ht="13.5">
      <c r="A162" s="57" t="s"/>
      <c r="B162" s="57" t="s"/>
      <c r="C162" s="57" t="s"/>
      <c r="D162" s="38" t="s"/>
      <c r="E162" s="57" t="s"/>
      <c r="F162" s="57" t="s"/>
      <c r="G162" s="57" t="s"/>
      <c r="H162" s="57" t="s"/>
      <c r="I162" s="57" t="s"/>
      <c r="J162" s="57" t="s"/>
      <c r="K162" s="57" t="s"/>
      <c r="L162" s="38" t="s"/>
      <c r="M162" s="38" t="s"/>
      <c r="N162" s="59" t="s"/>
      <c r="O162" s="57" t="s"/>
      <c r="P162" s="60" t="s"/>
      <c r="Q162" s="59" t="s"/>
      <c r="R162" s="59" t="s"/>
      <c r="S162" s="59" t="s"/>
      <c r="T162" s="59" t="s"/>
      <c r="U162" s="59" t="s"/>
      <c r="V162" s="59" t="s"/>
      <c r="W162" s="59" t="s"/>
      <c r="X162" s="59" t="s"/>
      <c r="Y162" s="60" t="s"/>
      <c r="Z162" s="59" t="s"/>
    </row>
    <row r="163" spans="1:26" ht="13.5">
      <c r="A163" s="57" t="s"/>
      <c r="B163" s="57" t="s"/>
      <c r="C163" s="57" t="s"/>
      <c r="D163" s="38" t="s"/>
      <c r="E163" s="57" t="s"/>
      <c r="F163" s="57" t="s"/>
      <c r="G163" s="57" t="s"/>
      <c r="H163" s="57" t="s"/>
      <c r="I163" s="57" t="s"/>
      <c r="J163" s="57" t="s"/>
      <c r="K163" s="57" t="s"/>
      <c r="L163" s="38" t="s"/>
      <c r="M163" s="38" t="s"/>
      <c r="N163" s="59" t="s"/>
      <c r="O163" s="57" t="s"/>
      <c r="P163" s="60" t="s"/>
      <c r="Q163" s="59" t="s"/>
      <c r="R163" s="59" t="s"/>
      <c r="S163" s="59" t="s"/>
      <c r="T163" s="59" t="s"/>
      <c r="U163" s="59" t="s"/>
      <c r="V163" s="59" t="s"/>
      <c r="W163" s="59" t="s"/>
      <c r="X163" s="59" t="s"/>
      <c r="Y163" s="60" t="s"/>
      <c r="Z163" s="59" t="s"/>
    </row>
    <row r="164" spans="1:26" ht="13.5">
      <c r="A164" s="57" t="s"/>
      <c r="B164" s="57" t="s"/>
      <c r="C164" s="57" t="s"/>
      <c r="D164" s="38" t="s"/>
      <c r="E164" s="57" t="s"/>
      <c r="F164" s="57" t="s"/>
      <c r="G164" s="57" t="s"/>
      <c r="H164" s="57" t="s"/>
      <c r="I164" s="57" t="s"/>
      <c r="J164" s="57" t="s"/>
      <c r="K164" s="57" t="s"/>
      <c r="L164" s="38" t="s"/>
      <c r="M164" s="38" t="s"/>
      <c r="N164" s="59" t="s"/>
      <c r="O164" s="57" t="s"/>
      <c r="P164" s="60" t="s"/>
      <c r="Q164" s="59" t="s"/>
      <c r="R164" s="59" t="s"/>
      <c r="S164" s="59" t="s"/>
      <c r="T164" s="59" t="s"/>
      <c r="U164" s="59" t="s"/>
      <c r="V164" s="59" t="s"/>
      <c r="W164" s="59" t="s"/>
      <c r="X164" s="59" t="s"/>
      <c r="Y164" s="60" t="s"/>
      <c r="Z164" s="59" t="s"/>
    </row>
    <row r="165" spans="1:26" ht="13.5">
      <c r="A165" s="57" t="s"/>
      <c r="B165" s="57" t="s"/>
      <c r="C165" s="57" t="s"/>
      <c r="D165" s="38" t="s"/>
      <c r="E165" s="57" t="s"/>
      <c r="F165" s="57" t="s"/>
      <c r="G165" s="57" t="s"/>
      <c r="H165" s="57" t="s"/>
      <c r="I165" s="57" t="s"/>
      <c r="J165" s="57" t="s"/>
      <c r="K165" s="57" t="s"/>
      <c r="L165" s="38" t="s"/>
      <c r="M165" s="38" t="s"/>
      <c r="N165" s="59" t="s"/>
      <c r="O165" s="57" t="s"/>
      <c r="P165" s="60" t="s"/>
      <c r="Q165" s="59" t="s"/>
      <c r="R165" s="59" t="s"/>
      <c r="S165" s="59" t="s"/>
      <c r="T165" s="59" t="s"/>
      <c r="U165" s="59" t="s"/>
      <c r="V165" s="59" t="s"/>
      <c r="W165" s="59" t="s"/>
      <c r="X165" s="59" t="s"/>
      <c r="Y165" s="60" t="s"/>
      <c r="Z165" s="59" t="s"/>
    </row>
    <row r="166" spans="1:26" ht="13.5">
      <c r="A166" s="57" t="s"/>
      <c r="B166" s="57" t="s"/>
      <c r="C166" s="57" t="s"/>
      <c r="D166" s="38" t="s"/>
      <c r="E166" s="57" t="s"/>
      <c r="F166" s="57" t="s"/>
      <c r="G166" s="57" t="s"/>
      <c r="H166" s="57" t="s"/>
      <c r="I166" s="57" t="s"/>
      <c r="J166" s="57" t="s"/>
      <c r="K166" s="57" t="s"/>
      <c r="L166" s="38" t="s"/>
      <c r="M166" s="38" t="s"/>
      <c r="N166" s="59" t="s"/>
      <c r="O166" s="57" t="s"/>
      <c r="P166" s="60" t="s"/>
      <c r="Q166" s="59" t="s"/>
      <c r="R166" s="59" t="s"/>
      <c r="S166" s="59" t="s"/>
      <c r="T166" s="59" t="s"/>
      <c r="U166" s="59" t="s"/>
      <c r="V166" s="59" t="s"/>
      <c r="W166" s="59" t="s"/>
      <c r="X166" s="59" t="s"/>
      <c r="Y166" s="60" t="s"/>
      <c r="Z166" s="59" t="s"/>
    </row>
    <row r="167" spans="1:26" ht="13.5">
      <c r="A167" s="57" t="s"/>
      <c r="B167" s="57" t="s"/>
      <c r="C167" s="57" t="s"/>
      <c r="D167" s="38" t="s"/>
      <c r="E167" s="57" t="s"/>
      <c r="F167" s="57" t="s"/>
      <c r="G167" s="57" t="s"/>
      <c r="H167" s="57" t="s"/>
      <c r="I167" s="57" t="s"/>
      <c r="J167" s="57" t="s"/>
      <c r="K167" s="57" t="s"/>
      <c r="L167" s="38" t="s"/>
      <c r="M167" s="38" t="s"/>
      <c r="N167" s="59" t="s"/>
      <c r="O167" s="57" t="s"/>
      <c r="P167" s="60" t="s"/>
      <c r="Q167" s="59" t="s"/>
      <c r="R167" s="59" t="s"/>
      <c r="S167" s="59" t="s"/>
      <c r="T167" s="59" t="s"/>
      <c r="U167" s="59" t="s"/>
      <c r="V167" s="59" t="s"/>
      <c r="W167" s="59" t="s"/>
      <c r="X167" s="59" t="s"/>
      <c r="Y167" s="60" t="s"/>
      <c r="Z167" s="59" t="s"/>
    </row>
    <row r="168" spans="1:26" ht="13.5">
      <c r="A168" s="57" t="s"/>
      <c r="B168" s="57" t="s"/>
      <c r="C168" s="57" t="s"/>
      <c r="D168" s="38" t="s"/>
      <c r="E168" s="57" t="s"/>
      <c r="F168" s="57" t="s"/>
      <c r="G168" s="57" t="s"/>
      <c r="H168" s="57" t="s"/>
      <c r="I168" s="57" t="s"/>
      <c r="J168" s="57" t="s"/>
      <c r="K168" s="57" t="s"/>
      <c r="L168" s="38" t="s"/>
      <c r="M168" s="38" t="s"/>
      <c r="N168" s="59" t="s"/>
      <c r="O168" s="57" t="s"/>
      <c r="P168" s="60" t="s"/>
      <c r="Q168" s="59" t="s"/>
      <c r="R168" s="59" t="s"/>
      <c r="S168" s="59" t="s"/>
      <c r="T168" s="59" t="s"/>
      <c r="U168" s="59" t="s"/>
      <c r="V168" s="59" t="s"/>
      <c r="W168" s="59" t="s"/>
      <c r="X168" s="59" t="s"/>
      <c r="Y168" s="60" t="s"/>
      <c r="Z168" s="59" t="s"/>
    </row>
    <row r="169" spans="1:26" ht="13.5">
      <c r="A169" s="57" t="s"/>
      <c r="B169" s="57" t="s"/>
      <c r="C169" s="57" t="s"/>
      <c r="D169" s="38" t="s"/>
      <c r="E169" s="57" t="s"/>
      <c r="F169" s="57" t="s"/>
      <c r="G169" s="57" t="s"/>
      <c r="H169" s="57" t="s"/>
      <c r="I169" s="57" t="s"/>
      <c r="J169" s="57" t="s"/>
      <c r="K169" s="57" t="s"/>
      <c r="L169" s="38" t="s"/>
      <c r="M169" s="38" t="s"/>
      <c r="N169" s="59" t="s"/>
      <c r="O169" s="57" t="s"/>
      <c r="P169" s="60" t="s"/>
      <c r="Q169" s="59" t="s"/>
      <c r="R169" s="59" t="s"/>
      <c r="S169" s="59" t="s"/>
      <c r="T169" s="59" t="s"/>
      <c r="U169" s="59" t="s"/>
      <c r="V169" s="59" t="s"/>
      <c r="W169" s="59" t="s"/>
      <c r="X169" s="59" t="s"/>
      <c r="Y169" s="60" t="s"/>
      <c r="Z169" s="59" t="s"/>
    </row>
    <row r="170" spans="1:26" ht="13.5">
      <c r="A170" s="57" t="s"/>
      <c r="B170" s="57" t="s"/>
      <c r="C170" s="57" t="s"/>
      <c r="D170" s="38" t="s"/>
      <c r="E170" s="57" t="s"/>
      <c r="F170" s="57" t="s"/>
      <c r="G170" s="57" t="s"/>
      <c r="H170" s="57" t="s"/>
      <c r="I170" s="57" t="s"/>
      <c r="J170" s="57" t="s"/>
      <c r="K170" s="57" t="s"/>
      <c r="L170" s="38" t="s"/>
      <c r="M170" s="38" t="s"/>
      <c r="N170" s="59" t="s"/>
      <c r="O170" s="57" t="s"/>
      <c r="P170" s="60" t="s"/>
      <c r="Q170" s="59" t="s"/>
      <c r="R170" s="59" t="s"/>
      <c r="S170" s="59" t="s"/>
      <c r="T170" s="59" t="s"/>
      <c r="U170" s="59" t="s"/>
      <c r="V170" s="59" t="s"/>
      <c r="W170" s="59" t="s"/>
      <c r="X170" s="59" t="s"/>
      <c r="Y170" s="60" t="s"/>
      <c r="Z170" s="59" t="s"/>
    </row>
    <row r="171" spans="1:26" ht="13.5">
      <c r="A171" s="57" t="s"/>
      <c r="B171" s="57" t="s"/>
      <c r="C171" s="57" t="s"/>
      <c r="D171" s="38" t="s"/>
      <c r="E171" s="57" t="s"/>
      <c r="F171" s="57" t="s"/>
      <c r="G171" s="57" t="s"/>
      <c r="H171" s="57" t="s"/>
      <c r="I171" s="57" t="s"/>
      <c r="J171" s="57" t="s"/>
      <c r="K171" s="57" t="s"/>
      <c r="L171" s="38" t="s"/>
      <c r="M171" s="38" t="s"/>
      <c r="N171" s="59" t="s"/>
      <c r="O171" s="57" t="s"/>
      <c r="P171" s="60" t="s"/>
      <c r="Q171" s="59" t="s"/>
      <c r="R171" s="59" t="s"/>
      <c r="S171" s="59" t="s"/>
      <c r="T171" s="59" t="s"/>
      <c r="U171" s="59" t="s"/>
      <c r="V171" s="59" t="s"/>
      <c r="W171" s="59" t="s"/>
      <c r="X171" s="59" t="s"/>
      <c r="Y171" s="60" t="s"/>
      <c r="Z171" s="59" t="s"/>
    </row>
    <row r="172" spans="1:26" ht="13.5">
      <c r="A172" s="57" t="s"/>
      <c r="B172" s="57" t="s"/>
      <c r="C172" s="57" t="s"/>
      <c r="D172" s="38" t="s"/>
      <c r="E172" s="57" t="s"/>
      <c r="F172" s="57" t="s"/>
      <c r="G172" s="57" t="s"/>
      <c r="H172" s="57" t="s"/>
      <c r="I172" s="57" t="s"/>
      <c r="J172" s="57" t="s"/>
      <c r="K172" s="57" t="s"/>
      <c r="L172" s="38" t="s"/>
      <c r="M172" s="38" t="s"/>
      <c r="N172" s="59" t="s"/>
      <c r="O172" s="57" t="s"/>
      <c r="P172" s="60" t="s"/>
      <c r="Q172" s="59" t="s"/>
      <c r="R172" s="59" t="s"/>
      <c r="S172" s="59" t="s"/>
      <c r="T172" s="59" t="s"/>
      <c r="U172" s="59" t="s"/>
      <c r="V172" s="59" t="s"/>
      <c r="W172" s="59" t="s"/>
      <c r="X172" s="59" t="s"/>
      <c r="Y172" s="60" t="s"/>
      <c r="Z172" s="59" t="s"/>
    </row>
    <row r="173" spans="1:26" ht="13.5">
      <c r="A173" s="57" t="s"/>
      <c r="B173" s="57" t="s"/>
      <c r="C173" s="57" t="s"/>
      <c r="D173" s="38" t="s"/>
      <c r="E173" s="57" t="s"/>
      <c r="F173" s="57" t="s"/>
      <c r="G173" s="57" t="s"/>
      <c r="H173" s="57" t="s"/>
      <c r="I173" s="57" t="s"/>
      <c r="J173" s="57" t="s"/>
      <c r="K173" s="57" t="s"/>
      <c r="L173" s="38" t="s"/>
      <c r="M173" s="38" t="s"/>
      <c r="N173" s="59" t="s"/>
      <c r="O173" s="57" t="s"/>
      <c r="P173" s="60" t="s"/>
      <c r="Q173" s="59" t="s"/>
      <c r="R173" s="59" t="s"/>
      <c r="S173" s="59" t="s"/>
      <c r="T173" s="59" t="s"/>
      <c r="U173" s="59" t="s"/>
      <c r="V173" s="59" t="s"/>
      <c r="W173" s="59" t="s"/>
      <c r="X173" s="59" t="s"/>
      <c r="Y173" s="60" t="s"/>
      <c r="Z173" s="59" t="s"/>
    </row>
    <row r="174" spans="1:26" ht="13.5">
      <c r="A174" s="57" t="s"/>
      <c r="B174" s="57" t="s"/>
      <c r="C174" s="57" t="s"/>
      <c r="D174" s="38" t="s"/>
      <c r="E174" s="57" t="s"/>
      <c r="F174" s="57" t="s"/>
      <c r="G174" s="57" t="s"/>
      <c r="H174" s="57" t="s"/>
      <c r="I174" s="57" t="s"/>
      <c r="J174" s="57" t="s"/>
      <c r="K174" s="57" t="s"/>
      <c r="L174" s="38" t="s"/>
      <c r="M174" s="38" t="s"/>
      <c r="N174" s="59" t="s"/>
      <c r="O174" s="57" t="s"/>
      <c r="P174" s="60" t="s"/>
      <c r="Q174" s="59" t="s"/>
      <c r="R174" s="59" t="s"/>
      <c r="S174" s="59" t="s"/>
      <c r="T174" s="59" t="s"/>
      <c r="U174" s="59" t="s"/>
      <c r="V174" s="59" t="s"/>
      <c r="W174" s="59" t="s"/>
      <c r="X174" s="59" t="s"/>
      <c r="Y174" s="60" t="s"/>
      <c r="Z174" s="59" t="s"/>
    </row>
    <row r="175" spans="1:26" ht="13.5">
      <c r="A175" s="57" t="s"/>
      <c r="B175" s="57" t="s"/>
      <c r="C175" s="57" t="s"/>
      <c r="D175" s="38" t="s"/>
      <c r="E175" s="57" t="s"/>
      <c r="F175" s="57" t="s"/>
      <c r="G175" s="57" t="s"/>
      <c r="H175" s="57" t="s"/>
      <c r="I175" s="57" t="s"/>
      <c r="J175" s="57" t="s"/>
      <c r="K175" s="57" t="s"/>
      <c r="L175" s="38" t="s"/>
      <c r="M175" s="38" t="s"/>
      <c r="N175" s="59" t="s"/>
      <c r="O175" s="57" t="s"/>
      <c r="P175" s="60" t="s"/>
      <c r="Q175" s="59" t="s"/>
      <c r="R175" s="59" t="s"/>
      <c r="S175" s="59" t="s"/>
      <c r="T175" s="59" t="s"/>
      <c r="U175" s="59" t="s"/>
      <c r="V175" s="59" t="s"/>
      <c r="W175" s="59" t="s"/>
      <c r="X175" s="59" t="s"/>
      <c r="Y175" s="60" t="s"/>
      <c r="Z175" s="59" t="s"/>
    </row>
    <row r="176" spans="1:26" ht="13.5">
      <c r="A176" s="57" t="s"/>
      <c r="B176" s="57" t="s"/>
      <c r="C176" s="57" t="s"/>
      <c r="D176" s="38" t="s"/>
      <c r="E176" s="57" t="s"/>
      <c r="F176" s="57" t="s"/>
      <c r="G176" s="57" t="s"/>
      <c r="H176" s="57" t="s"/>
      <c r="I176" s="57" t="s"/>
      <c r="J176" s="57" t="s"/>
      <c r="K176" s="57" t="s"/>
      <c r="L176" s="38" t="s"/>
      <c r="M176" s="38" t="s"/>
      <c r="N176" s="59" t="s"/>
      <c r="O176" s="57" t="s"/>
      <c r="P176" s="60" t="s"/>
      <c r="Q176" s="59" t="s"/>
      <c r="R176" s="59" t="s"/>
      <c r="S176" s="59" t="s"/>
      <c r="T176" s="59" t="s"/>
      <c r="U176" s="59" t="s"/>
      <c r="V176" s="59" t="s"/>
      <c r="W176" s="59" t="s"/>
      <c r="X176" s="59" t="s"/>
      <c r="Y176" s="60" t="s"/>
      <c r="Z176" s="59" t="s"/>
    </row>
    <row r="177" spans="1:26" ht="13.5">
      <c r="A177" s="57" t="s"/>
      <c r="B177" s="57" t="s"/>
      <c r="C177" s="57" t="s"/>
      <c r="D177" s="38" t="s"/>
      <c r="E177" s="57" t="s"/>
      <c r="F177" s="57" t="s"/>
      <c r="G177" s="57" t="s"/>
      <c r="H177" s="57" t="s"/>
      <c r="I177" s="57" t="s"/>
      <c r="J177" s="57" t="s"/>
      <c r="K177" s="57" t="s"/>
      <c r="L177" s="38" t="s"/>
      <c r="M177" s="38" t="s"/>
      <c r="N177" s="59" t="s"/>
      <c r="O177" s="57" t="s"/>
      <c r="P177" s="60" t="s"/>
      <c r="Q177" s="59" t="s"/>
      <c r="R177" s="59" t="s"/>
      <c r="S177" s="59" t="s"/>
      <c r="T177" s="59" t="s"/>
      <c r="U177" s="59" t="s"/>
      <c r="V177" s="59" t="s"/>
      <c r="W177" s="59" t="s"/>
      <c r="X177" s="59" t="s"/>
      <c r="Y177" s="60" t="s"/>
      <c r="Z177" s="59" t="s"/>
    </row>
    <row r="178" spans="1:26" ht="13.5">
      <c r="A178" s="57" t="s"/>
      <c r="B178" s="57" t="s"/>
      <c r="C178" s="57" t="s"/>
      <c r="D178" s="38" t="s"/>
      <c r="E178" s="57" t="s"/>
      <c r="F178" s="57" t="s"/>
      <c r="G178" s="57" t="s"/>
      <c r="H178" s="57" t="s"/>
      <c r="I178" s="57" t="s"/>
      <c r="J178" s="57" t="s"/>
      <c r="K178" s="57" t="s"/>
      <c r="L178" s="38" t="s"/>
      <c r="M178" s="38" t="s"/>
      <c r="N178" s="59" t="s"/>
      <c r="O178" s="57" t="s"/>
      <c r="P178" s="60" t="s"/>
      <c r="Q178" s="59" t="s"/>
      <c r="R178" s="59" t="s"/>
      <c r="S178" s="59" t="s"/>
      <c r="T178" s="59" t="s"/>
      <c r="U178" s="59" t="s"/>
      <c r="V178" s="59" t="s"/>
      <c r="W178" s="59" t="s"/>
      <c r="X178" s="59" t="s"/>
      <c r="Y178" s="60" t="s"/>
      <c r="Z178" s="59" t="s"/>
    </row>
    <row r="179" spans="1:26" ht="13.5">
      <c r="A179" s="57" t="s"/>
      <c r="B179" s="57" t="s"/>
      <c r="C179" s="57" t="s"/>
      <c r="D179" s="38" t="s"/>
      <c r="E179" s="57" t="s"/>
      <c r="F179" s="57" t="s"/>
      <c r="G179" s="57" t="s"/>
      <c r="H179" s="57" t="s"/>
      <c r="I179" s="57" t="s"/>
      <c r="J179" s="57" t="s"/>
      <c r="K179" s="57" t="s"/>
      <c r="L179" s="38" t="s"/>
      <c r="M179" s="38" t="s"/>
      <c r="N179" s="59" t="s"/>
      <c r="O179" s="57" t="s"/>
      <c r="P179" s="60" t="s"/>
      <c r="Q179" s="59" t="s"/>
      <c r="R179" s="59" t="s"/>
      <c r="S179" s="59" t="s"/>
      <c r="T179" s="59" t="s"/>
      <c r="U179" s="59" t="s"/>
      <c r="V179" s="59" t="s"/>
      <c r="W179" s="59" t="s"/>
      <c r="X179" s="59" t="s"/>
      <c r="Y179" s="60" t="s"/>
      <c r="Z179" s="59" t="s"/>
    </row>
    <row r="180" spans="1:26" ht="13.5">
      <c r="A180" s="57" t="s"/>
      <c r="B180" s="57" t="s"/>
      <c r="C180" s="57" t="s"/>
      <c r="D180" s="38" t="s"/>
      <c r="E180" s="57" t="s"/>
      <c r="F180" s="57" t="s"/>
      <c r="G180" s="57" t="s"/>
      <c r="H180" s="57" t="s"/>
      <c r="I180" s="57" t="s"/>
      <c r="J180" s="57" t="s"/>
      <c r="K180" s="57" t="s"/>
      <c r="L180" s="38" t="s"/>
      <c r="M180" s="38" t="s"/>
      <c r="N180" s="59" t="s"/>
      <c r="O180" s="57" t="s"/>
      <c r="P180" s="60" t="s"/>
      <c r="Q180" s="59" t="s"/>
      <c r="R180" s="59" t="s"/>
      <c r="S180" s="59" t="s"/>
      <c r="T180" s="59" t="s"/>
      <c r="U180" s="59" t="s"/>
      <c r="V180" s="59" t="s"/>
      <c r="W180" s="59" t="s"/>
      <c r="X180" s="59" t="s"/>
      <c r="Y180" s="60" t="s"/>
      <c r="Z180" s="59" t="s"/>
    </row>
    <row r="181" spans="1:26" ht="13.5">
      <c r="A181" s="57" t="s"/>
      <c r="B181" s="57" t="s"/>
      <c r="C181" s="57" t="s"/>
      <c r="D181" s="38" t="s"/>
      <c r="E181" s="57" t="s"/>
      <c r="F181" s="57" t="s"/>
      <c r="G181" s="57" t="s"/>
      <c r="H181" s="57" t="s"/>
      <c r="I181" s="57" t="s"/>
      <c r="J181" s="57" t="s"/>
      <c r="K181" s="57" t="s"/>
      <c r="L181" s="38" t="s"/>
      <c r="M181" s="38" t="s"/>
      <c r="N181" s="59" t="s"/>
      <c r="O181" s="57" t="s"/>
      <c r="P181" s="60" t="s"/>
      <c r="Q181" s="59" t="s"/>
      <c r="R181" s="59" t="s"/>
      <c r="S181" s="59" t="s"/>
      <c r="T181" s="59" t="s"/>
      <c r="U181" s="59" t="s"/>
      <c r="V181" s="59" t="s"/>
      <c r="W181" s="59" t="s"/>
      <c r="X181" s="59" t="s"/>
      <c r="Y181" s="60" t="s"/>
      <c r="Z181" s="59" t="s"/>
    </row>
    <row r="182" spans="1:26" ht="13.5">
      <c r="A182" s="57" t="s"/>
      <c r="B182" s="57" t="s"/>
      <c r="C182" s="57" t="s"/>
      <c r="D182" s="38" t="s"/>
      <c r="E182" s="57" t="s"/>
      <c r="F182" s="57" t="s"/>
      <c r="G182" s="57" t="s"/>
      <c r="H182" s="57" t="s"/>
      <c r="I182" s="57" t="s"/>
      <c r="J182" s="57" t="s"/>
      <c r="K182" s="57" t="s"/>
      <c r="L182" s="38" t="s"/>
      <c r="M182" s="38" t="s"/>
      <c r="N182" s="59" t="s"/>
      <c r="O182" s="57" t="s"/>
      <c r="P182" s="60" t="s"/>
      <c r="Q182" s="59" t="s"/>
      <c r="R182" s="59" t="s"/>
      <c r="S182" s="59" t="s"/>
      <c r="T182" s="59" t="s"/>
      <c r="U182" s="59" t="s"/>
      <c r="V182" s="59" t="s"/>
      <c r="W182" s="59" t="s"/>
      <c r="X182" s="59" t="s"/>
      <c r="Y182" s="60" t="s"/>
      <c r="Z182" s="59" t="s"/>
    </row>
    <row r="183" spans="1:26" ht="13.5">
      <c r="A183" s="57" t="s"/>
      <c r="B183" s="57" t="s"/>
      <c r="C183" s="57" t="s"/>
      <c r="D183" s="38" t="s"/>
      <c r="E183" s="57" t="s"/>
      <c r="F183" s="57" t="s"/>
      <c r="G183" s="57" t="s"/>
      <c r="H183" s="57" t="s"/>
      <c r="I183" s="57" t="s"/>
      <c r="J183" s="57" t="s"/>
      <c r="K183" s="57" t="s"/>
      <c r="L183" s="38" t="s"/>
      <c r="M183" s="38" t="s"/>
      <c r="N183" s="59" t="s"/>
      <c r="O183" s="57" t="s"/>
      <c r="P183" s="60" t="s"/>
      <c r="Q183" s="59" t="s"/>
      <c r="R183" s="59" t="s"/>
      <c r="S183" s="59" t="s"/>
      <c r="T183" s="59" t="s"/>
      <c r="U183" s="59" t="s"/>
      <c r="V183" s="59" t="s"/>
      <c r="W183" s="59" t="s"/>
      <c r="X183" s="59" t="s"/>
      <c r="Y183" s="60" t="s"/>
      <c r="Z183" s="59" t="s"/>
    </row>
    <row r="184" spans="1:26" ht="13.5">
      <c r="A184" s="57" t="s"/>
      <c r="B184" s="57" t="s"/>
      <c r="C184" s="57" t="s"/>
      <c r="D184" s="38" t="s"/>
      <c r="E184" s="57" t="s"/>
      <c r="F184" s="57" t="s"/>
      <c r="G184" s="57" t="s"/>
      <c r="H184" s="57" t="s"/>
      <c r="I184" s="57" t="s"/>
      <c r="J184" s="57" t="s"/>
      <c r="K184" s="57" t="s"/>
      <c r="L184" s="38" t="s"/>
      <c r="M184" s="38" t="s"/>
      <c r="N184" s="59" t="s"/>
      <c r="O184" s="57" t="s"/>
      <c r="P184" s="60" t="s"/>
      <c r="Q184" s="59" t="s"/>
      <c r="R184" s="59" t="s"/>
      <c r="S184" s="59" t="s"/>
      <c r="T184" s="59" t="s"/>
      <c r="U184" s="59" t="s"/>
      <c r="V184" s="59" t="s"/>
      <c r="W184" s="59" t="s"/>
      <c r="X184" s="59" t="s"/>
      <c r="Y184" s="60" t="s"/>
      <c r="Z184" s="59" t="s"/>
    </row>
    <row r="185" spans="1:26" ht="13.5">
      <c r="A185" s="57" t="s"/>
      <c r="B185" s="57" t="s"/>
      <c r="C185" s="57" t="s"/>
      <c r="D185" s="38" t="s"/>
      <c r="E185" s="57" t="s"/>
      <c r="F185" s="57" t="s"/>
      <c r="G185" s="57" t="s"/>
      <c r="H185" s="57" t="s"/>
      <c r="I185" s="57" t="s"/>
      <c r="J185" s="57" t="s"/>
      <c r="K185" s="57" t="s"/>
      <c r="L185" s="38" t="s"/>
      <c r="M185" s="38" t="s"/>
      <c r="N185" s="59" t="s"/>
      <c r="O185" s="57" t="s"/>
      <c r="P185" s="60" t="s"/>
      <c r="Q185" s="59" t="s"/>
      <c r="R185" s="59" t="s"/>
      <c r="S185" s="59" t="s"/>
      <c r="T185" s="59" t="s"/>
      <c r="U185" s="59" t="s"/>
      <c r="V185" s="59" t="s"/>
      <c r="W185" s="59" t="s"/>
      <c r="X185" s="59" t="s"/>
      <c r="Y185" s="60" t="s"/>
      <c r="Z185" s="59" t="s"/>
    </row>
    <row r="186" spans="1:26" ht="13.5">
      <c r="A186" s="57" t="s"/>
      <c r="B186" s="57" t="s"/>
      <c r="C186" s="57" t="s"/>
      <c r="D186" s="38" t="s"/>
      <c r="E186" s="57" t="s"/>
      <c r="F186" s="57" t="s"/>
      <c r="G186" s="57" t="s"/>
      <c r="H186" s="57" t="s"/>
      <c r="I186" s="57" t="s"/>
      <c r="J186" s="57" t="s"/>
      <c r="K186" s="57" t="s"/>
      <c r="L186" s="38" t="s"/>
      <c r="M186" s="38" t="s"/>
      <c r="N186" s="59" t="s"/>
      <c r="O186" s="57" t="s"/>
      <c r="P186" s="60" t="s"/>
      <c r="Q186" s="59" t="s"/>
      <c r="R186" s="59" t="s"/>
      <c r="S186" s="59" t="s"/>
      <c r="T186" s="59" t="s"/>
      <c r="U186" s="59" t="s"/>
      <c r="V186" s="59" t="s"/>
      <c r="W186" s="59" t="s"/>
      <c r="X186" s="59" t="s"/>
      <c r="Y186" s="60" t="s"/>
      <c r="Z186" s="59" t="s"/>
    </row>
    <row r="187" spans="1:26" ht="13.5">
      <c r="A187" s="57" t="s"/>
      <c r="B187" s="57" t="s"/>
      <c r="C187" s="57" t="s"/>
      <c r="D187" s="38" t="s"/>
      <c r="E187" s="57" t="s"/>
      <c r="F187" s="57" t="s"/>
      <c r="G187" s="57" t="s"/>
      <c r="H187" s="57" t="s"/>
      <c r="I187" s="57" t="s"/>
      <c r="J187" s="57" t="s"/>
      <c r="K187" s="57" t="s"/>
      <c r="L187" s="38" t="s"/>
      <c r="M187" s="38" t="s"/>
      <c r="N187" s="59" t="s"/>
      <c r="O187" s="57" t="s"/>
      <c r="P187" s="60" t="s"/>
      <c r="Q187" s="59" t="s"/>
      <c r="R187" s="59" t="s"/>
      <c r="S187" s="59" t="s"/>
      <c r="T187" s="59" t="s"/>
      <c r="U187" s="59" t="s"/>
      <c r="V187" s="59" t="s"/>
      <c r="W187" s="59" t="s"/>
      <c r="X187" s="59" t="s"/>
      <c r="Y187" s="60" t="s"/>
      <c r="Z187" s="59" t="s"/>
    </row>
    <row r="188" spans="1:26" ht="13.5">
      <c r="A188" s="57" t="s"/>
      <c r="B188" s="57" t="s"/>
      <c r="C188" s="57" t="s"/>
      <c r="D188" s="38" t="s"/>
      <c r="E188" s="57" t="s"/>
      <c r="F188" s="57" t="s"/>
      <c r="G188" s="57" t="s"/>
      <c r="H188" s="57" t="s"/>
      <c r="I188" s="57" t="s"/>
      <c r="J188" s="57" t="s"/>
      <c r="K188" s="57" t="s"/>
      <c r="L188" s="38" t="s"/>
      <c r="M188" s="38" t="s"/>
      <c r="N188" s="59" t="s"/>
      <c r="O188" s="57" t="s"/>
      <c r="P188" s="60" t="s"/>
      <c r="Q188" s="59" t="s"/>
      <c r="R188" s="59" t="s"/>
      <c r="S188" s="59" t="s"/>
      <c r="T188" s="59" t="s"/>
      <c r="U188" s="59" t="s"/>
      <c r="V188" s="59" t="s"/>
      <c r="W188" s="59" t="s"/>
      <c r="X188" s="59" t="s"/>
      <c r="Y188" s="60" t="s"/>
      <c r="Z188" s="59" t="s"/>
    </row>
    <row r="189" spans="1:26" ht="13.5">
      <c r="A189" s="57" t="s"/>
      <c r="B189" s="57" t="s"/>
      <c r="C189" s="57" t="s"/>
      <c r="D189" s="38" t="s"/>
      <c r="E189" s="57" t="s"/>
      <c r="F189" s="57" t="s"/>
      <c r="G189" s="57" t="s"/>
      <c r="H189" s="57" t="s"/>
      <c r="I189" s="57" t="s"/>
      <c r="J189" s="57" t="s"/>
      <c r="K189" s="57" t="s"/>
      <c r="L189" s="38" t="s"/>
      <c r="M189" s="38" t="s"/>
      <c r="N189" s="59" t="s"/>
      <c r="O189" s="57" t="s"/>
      <c r="P189" s="60" t="s"/>
      <c r="Q189" s="59" t="s"/>
      <c r="R189" s="59" t="s"/>
      <c r="S189" s="59" t="s"/>
      <c r="T189" s="59" t="s"/>
      <c r="U189" s="59" t="s"/>
      <c r="V189" s="59" t="s"/>
      <c r="W189" s="59" t="s"/>
      <c r="X189" s="59" t="s"/>
      <c r="Y189" s="60" t="s"/>
      <c r="Z189" s="59" t="s"/>
    </row>
    <row r="190" spans="1:26" ht="13.5">
      <c r="A190" s="57" t="s"/>
      <c r="B190" s="57" t="s"/>
      <c r="C190" s="57" t="s"/>
      <c r="D190" s="38" t="s"/>
      <c r="E190" s="57" t="s"/>
      <c r="F190" s="57" t="s"/>
      <c r="G190" s="57" t="s"/>
      <c r="H190" s="57" t="s"/>
      <c r="I190" s="57" t="s"/>
      <c r="J190" s="57" t="s"/>
      <c r="K190" s="57" t="s"/>
      <c r="L190" s="38" t="s"/>
      <c r="M190" s="38" t="s"/>
      <c r="N190" s="59" t="s"/>
      <c r="O190" s="57" t="s"/>
      <c r="P190" s="60" t="s"/>
      <c r="Q190" s="59" t="s"/>
      <c r="R190" s="59" t="s"/>
      <c r="S190" s="59" t="s"/>
      <c r="T190" s="59" t="s"/>
      <c r="U190" s="59" t="s"/>
      <c r="V190" s="59" t="s"/>
      <c r="W190" s="59" t="s"/>
      <c r="X190" s="59" t="s"/>
      <c r="Y190" s="60" t="s"/>
      <c r="Z190" s="59" t="s"/>
    </row>
    <row r="191" spans="1:26" ht="13.5">
      <c r="A191" s="57" t="s"/>
      <c r="B191" s="57" t="s"/>
      <c r="C191" s="57" t="s"/>
      <c r="D191" s="38" t="s"/>
      <c r="E191" s="57" t="s"/>
      <c r="F191" s="57" t="s"/>
      <c r="G191" s="57" t="s"/>
      <c r="H191" s="57" t="s"/>
      <c r="I191" s="57" t="s"/>
      <c r="J191" s="57" t="s"/>
      <c r="K191" s="57" t="s"/>
      <c r="L191" s="38" t="s"/>
      <c r="M191" s="38" t="s"/>
      <c r="N191" s="59" t="s"/>
      <c r="O191" s="57" t="s"/>
      <c r="P191" s="60" t="s"/>
      <c r="Q191" s="59" t="s"/>
      <c r="R191" s="59" t="s"/>
      <c r="S191" s="59" t="s"/>
      <c r="T191" s="59" t="s"/>
      <c r="U191" s="59" t="s"/>
      <c r="V191" s="59" t="s"/>
      <c r="W191" s="59" t="s"/>
      <c r="X191" s="59" t="s"/>
      <c r="Y191" s="60" t="s"/>
      <c r="Z191" s="59" t="s"/>
    </row>
    <row r="192" spans="1:26" ht="13.5">
      <c r="A192" s="57" t="s"/>
      <c r="B192" s="57" t="s"/>
      <c r="C192" s="57" t="s"/>
      <c r="D192" s="38" t="s"/>
      <c r="E192" s="57" t="s"/>
      <c r="F192" s="57" t="s"/>
      <c r="G192" s="57" t="s"/>
      <c r="H192" s="57" t="s"/>
      <c r="I192" s="57" t="s"/>
      <c r="J192" s="57" t="s"/>
      <c r="K192" s="57" t="s"/>
      <c r="L192" s="38" t="s"/>
      <c r="M192" s="38" t="s"/>
      <c r="N192" s="59" t="s"/>
      <c r="O192" s="57" t="s"/>
      <c r="P192" s="60" t="s"/>
      <c r="Q192" s="59" t="s"/>
      <c r="R192" s="59" t="s"/>
      <c r="S192" s="59" t="s"/>
      <c r="T192" s="59" t="s"/>
      <c r="U192" s="59" t="s"/>
      <c r="V192" s="59" t="s"/>
      <c r="W192" s="59" t="s"/>
      <c r="X192" s="59" t="s"/>
      <c r="Y192" s="60" t="s"/>
      <c r="Z192" s="59" t="s"/>
    </row>
    <row r="193" spans="1:26" ht="13.5">
      <c r="A193" s="57" t="s"/>
      <c r="B193" s="57" t="s"/>
      <c r="C193" s="57" t="s"/>
      <c r="D193" s="38" t="s"/>
      <c r="E193" s="57" t="s"/>
      <c r="F193" s="57" t="s"/>
      <c r="G193" s="57" t="s"/>
      <c r="H193" s="57" t="s"/>
      <c r="I193" s="57" t="s"/>
      <c r="J193" s="57" t="s"/>
      <c r="K193" s="57" t="s"/>
      <c r="L193" s="38" t="s"/>
      <c r="M193" s="38" t="s"/>
      <c r="N193" s="59" t="s"/>
      <c r="O193" s="57" t="s"/>
      <c r="P193" s="60" t="s"/>
      <c r="Q193" s="59" t="s"/>
      <c r="R193" s="59" t="s"/>
      <c r="S193" s="59" t="s"/>
      <c r="T193" s="59" t="s"/>
      <c r="U193" s="59" t="s"/>
      <c r="V193" s="59" t="s"/>
      <c r="W193" s="59" t="s"/>
      <c r="X193" s="59" t="s"/>
      <c r="Y193" s="60" t="s"/>
      <c r="Z193" s="59" t="s"/>
    </row>
    <row r="194" spans="1:26" ht="13.5">
      <c r="A194" s="57" t="s"/>
      <c r="B194" s="57" t="s"/>
      <c r="C194" s="57" t="s"/>
      <c r="D194" s="38" t="s"/>
      <c r="E194" s="57" t="s"/>
      <c r="F194" s="57" t="s"/>
      <c r="G194" s="57" t="s"/>
      <c r="H194" s="57" t="s"/>
      <c r="I194" s="57" t="s"/>
      <c r="J194" s="57" t="s"/>
      <c r="K194" s="57" t="s"/>
      <c r="L194" s="38" t="s"/>
      <c r="M194" s="38" t="s"/>
      <c r="N194" s="59" t="s"/>
      <c r="O194" s="57" t="s"/>
      <c r="P194" s="60" t="s"/>
      <c r="Q194" s="59" t="s"/>
      <c r="R194" s="59" t="s"/>
      <c r="S194" s="59" t="s"/>
      <c r="T194" s="59" t="s"/>
      <c r="U194" s="59" t="s"/>
      <c r="V194" s="59" t="s"/>
      <c r="W194" s="59" t="s"/>
      <c r="X194" s="59" t="s"/>
      <c r="Y194" s="60" t="s"/>
      <c r="Z194" s="59" t="s"/>
    </row>
    <row r="195" spans="1:26" ht="13.5">
      <c r="A195" s="57" t="s"/>
      <c r="B195" s="57" t="s"/>
      <c r="C195" s="57" t="s"/>
      <c r="D195" s="38" t="s"/>
      <c r="E195" s="57" t="s"/>
      <c r="F195" s="57" t="s"/>
      <c r="G195" s="57" t="s"/>
      <c r="H195" s="57" t="s"/>
      <c r="I195" s="57" t="s"/>
      <c r="J195" s="57" t="s"/>
      <c r="K195" s="57" t="s"/>
      <c r="L195" s="38" t="s"/>
      <c r="M195" s="38" t="s"/>
      <c r="N195" s="59" t="s"/>
      <c r="O195" s="57" t="s"/>
      <c r="P195" s="60" t="s"/>
      <c r="Q195" s="59" t="s"/>
      <c r="R195" s="59" t="s"/>
      <c r="S195" s="59" t="s"/>
      <c r="T195" s="59" t="s"/>
      <c r="U195" s="59" t="s"/>
      <c r="V195" s="59" t="s"/>
      <c r="W195" s="59" t="s"/>
      <c r="X195" s="59" t="s"/>
      <c r="Y195" s="60" t="s"/>
      <c r="Z195" s="59" t="s"/>
    </row>
    <row r="196" spans="1:26" ht="13.5">
      <c r="A196" s="57" t="s"/>
      <c r="B196" s="57" t="s"/>
      <c r="C196" s="57" t="s"/>
      <c r="D196" s="38" t="s"/>
      <c r="E196" s="57" t="s"/>
      <c r="F196" s="57" t="s"/>
      <c r="G196" s="57" t="s"/>
      <c r="H196" s="57" t="s"/>
      <c r="I196" s="57" t="s"/>
      <c r="J196" s="57" t="s"/>
      <c r="K196" s="57" t="s"/>
      <c r="L196" s="38" t="s"/>
      <c r="M196" s="38" t="s"/>
      <c r="N196" s="59" t="s"/>
      <c r="O196" s="57" t="s"/>
      <c r="P196" s="60" t="s"/>
      <c r="Q196" s="59" t="s"/>
      <c r="R196" s="59" t="s"/>
      <c r="S196" s="59" t="s"/>
      <c r="T196" s="59" t="s"/>
      <c r="U196" s="59" t="s"/>
      <c r="V196" s="59" t="s"/>
      <c r="W196" s="59" t="s"/>
      <c r="X196" s="59" t="s"/>
      <c r="Y196" s="60" t="s"/>
      <c r="Z196" s="59" t="s"/>
    </row>
    <row r="197" spans="1:26" ht="13.5">
      <c r="A197" s="57" t="s"/>
      <c r="B197" s="57" t="s"/>
      <c r="C197" s="57" t="s"/>
      <c r="D197" s="38" t="s"/>
      <c r="E197" s="57" t="s"/>
      <c r="F197" s="57" t="s"/>
      <c r="G197" s="57" t="s"/>
      <c r="H197" s="57" t="s"/>
      <c r="I197" s="57" t="s"/>
      <c r="J197" s="57" t="s"/>
      <c r="K197" s="57" t="s"/>
      <c r="L197" s="38" t="s"/>
      <c r="M197" s="38" t="s"/>
      <c r="N197" s="59" t="s"/>
      <c r="O197" s="57" t="s"/>
      <c r="P197" s="60" t="s"/>
      <c r="Q197" s="59" t="s"/>
      <c r="R197" s="59" t="s"/>
      <c r="S197" s="59" t="s"/>
      <c r="T197" s="59" t="s"/>
      <c r="U197" s="59" t="s"/>
      <c r="V197" s="59" t="s"/>
      <c r="W197" s="59" t="s"/>
      <c r="X197" s="59" t="s"/>
      <c r="Y197" s="60" t="s"/>
      <c r="Z197" s="59" t="s"/>
    </row>
    <row r="198" spans="1:26" ht="13.5">
      <c r="A198" s="57" t="s"/>
      <c r="B198" s="57" t="s"/>
      <c r="C198" s="57" t="s"/>
      <c r="D198" s="38" t="s"/>
      <c r="E198" s="57" t="s"/>
      <c r="F198" s="57" t="s"/>
      <c r="G198" s="57" t="s"/>
      <c r="H198" s="57" t="s"/>
      <c r="I198" s="57" t="s"/>
      <c r="J198" s="57" t="s"/>
      <c r="K198" s="57" t="s"/>
      <c r="L198" s="38" t="s"/>
      <c r="M198" s="38" t="s"/>
      <c r="N198" s="59" t="s"/>
      <c r="O198" s="57" t="s"/>
      <c r="P198" s="60" t="s"/>
      <c r="Q198" s="59" t="s"/>
      <c r="R198" s="59" t="s"/>
      <c r="S198" s="59" t="s"/>
      <c r="T198" s="59" t="s"/>
      <c r="U198" s="59" t="s"/>
      <c r="V198" s="59" t="s"/>
      <c r="W198" s="59" t="s"/>
      <c r="X198" s="59" t="s"/>
      <c r="Y198" s="60" t="s"/>
      <c r="Z198" s="59" t="s"/>
    </row>
    <row r="199" spans="1:26" ht="13.5">
      <c r="A199" s="57" t="s"/>
      <c r="B199" s="57" t="s"/>
      <c r="C199" s="57" t="s"/>
      <c r="D199" s="38" t="s"/>
      <c r="E199" s="57" t="s"/>
      <c r="F199" s="57" t="s"/>
      <c r="G199" s="57" t="s"/>
      <c r="H199" s="57" t="s"/>
      <c r="I199" s="57" t="s"/>
      <c r="J199" s="57" t="s"/>
      <c r="K199" s="57" t="s"/>
      <c r="L199" s="38" t="s"/>
      <c r="M199" s="38" t="s"/>
      <c r="N199" s="59" t="s"/>
      <c r="O199" s="57" t="s"/>
      <c r="P199" s="60" t="s"/>
      <c r="Q199" s="59" t="s"/>
      <c r="R199" s="59" t="s"/>
      <c r="S199" s="59" t="s"/>
      <c r="T199" s="59" t="s"/>
      <c r="U199" s="59" t="s"/>
      <c r="V199" s="59" t="s"/>
      <c r="W199" s="59" t="s"/>
      <c r="X199" s="59" t="s"/>
      <c r="Y199" s="60" t="s"/>
      <c r="Z199" s="59" t="s"/>
    </row>
    <row r="200" spans="1:26" ht="13.5">
      <c r="A200" s="57" t="s"/>
      <c r="B200" s="57" t="s"/>
      <c r="C200" s="57" t="s"/>
      <c r="D200" s="38" t="s"/>
      <c r="E200" s="57" t="s"/>
      <c r="F200" s="57" t="s"/>
      <c r="G200" s="57" t="s"/>
      <c r="H200" s="57" t="s"/>
      <c r="I200" s="57" t="s"/>
      <c r="J200" s="57" t="s"/>
      <c r="K200" s="57" t="s"/>
      <c r="L200" s="38" t="s"/>
      <c r="M200" s="38" t="s"/>
      <c r="N200" s="59" t="s"/>
      <c r="O200" s="57" t="s"/>
      <c r="P200" s="60" t="s"/>
      <c r="Q200" s="59" t="s"/>
      <c r="R200" s="59" t="s"/>
      <c r="S200" s="59" t="s"/>
      <c r="T200" s="59" t="s"/>
      <c r="U200" s="59" t="s"/>
      <c r="V200" s="59" t="s"/>
      <c r="W200" s="59" t="s"/>
      <c r="X200" s="59" t="s"/>
      <c r="Y200" s="60" t="s"/>
      <c r="Z200" s="59" t="s"/>
    </row>
  </sheetData>
  <autoFilter ref="A4:U48">
    <extLst/>
  </autoFilter>
  <mergeCells count="12">
    <mergeCell ref="A3:C3"/>
    <mergeCell ref="D3:K3"/>
    <mergeCell ref="A58:C58"/>
    <mergeCell ref="D58:K58"/>
    <mergeCell ref="A60:A61"/>
    <mergeCell ref="A62:A63"/>
    <mergeCell ref="A64:A65"/>
    <mergeCell ref="A66:A67"/>
    <mergeCell ref="A68:A69"/>
    <mergeCell ref="A72:A73"/>
    <mergeCell ref="A56:K57"/>
    <mergeCell ref="A1:K2"/>
  </mergeCells>
  <pageMargins left="0.75" right="0.75" top="1" bottom="1" header="0.5" footer="0.5"/>
  <headerFooter/>
</worksheet>
</file>

<file path=xl/worksheets/sheet4.xml><?xml version="1.0" encoding="utf-8"?>
<worksheet xmlns="http://schemas.openxmlformats.org/spreadsheetml/2006/main">
  <sheetPr>
    <tabColor rgb="FFFFFFFF"/>
  </sheetPr>
  <dimension ref="AE200"/>
  <sheetViews>
    <sheetView showGridLines="true" workbookViewId="0">
      <pane xSplit="3" ySplit="2" topLeftCell="D3" activePane="bottomRight" state="frozen"/>
    </sheetView>
  </sheetViews>
  <sheetFormatPr defaultColWidth="10.2857" defaultRowHeight="12.75"/>
  <cols>
    <col min="1" max="1" width="28.581" customWidth="true"/>
    <col min="2" max="2" width="5.84762" customWidth="true"/>
    <col min="3" max="3" width="6.71429" customWidth="true"/>
    <col min="4" max="4" width="11.4381" customWidth="true"/>
    <col min="5" max="5" width="11.5714" customWidth="true"/>
    <col min="6" max="15" width="4.14286" hidden="true" customWidth="true"/>
    <col min="16" max="27" width="4.14286" customWidth="true"/>
    <col min="28" max="28" width="9" customWidth="true"/>
    <col min="29" max="29" width="24.7238" customWidth="true"/>
    <col min="30" max="30" width="47.8667" customWidth="true"/>
    <col min="31" max="31" width="41.8667" customWidth="true"/>
  </cols>
  <sheetData>
    <row r="1" spans="1:31" ht="40" customHeight="true">
      <c r="A1" s="642" t="s">
        <v>197</v>
      </c>
      <c r="B1" s="642" t="s">
        <v>605</v>
      </c>
      <c r="C1" s="642" t="s">
        <v>827</v>
      </c>
      <c r="D1" s="643" t="s">
        <v>828</v>
      </c>
      <c r="E1" s="644" t="s">
        <v>829</v>
      </c>
      <c r="F1" s="643" t="s">
        <v>830</v>
      </c>
      <c r="G1" s="645" t="s"/>
      <c r="H1" s="643" t="s">
        <v>831</v>
      </c>
      <c r="I1" s="645" t="s"/>
      <c r="J1" s="643" t="s">
        <v>832</v>
      </c>
      <c r="K1" s="645" t="s"/>
      <c r="L1" s="643" t="s">
        <v>833</v>
      </c>
      <c r="M1" s="645" t="s"/>
      <c r="N1" s="643" t="s">
        <v>834</v>
      </c>
      <c r="O1" s="645" t="s"/>
      <c r="P1" s="643" t="s">
        <v>835</v>
      </c>
      <c r="Q1" s="645" t="s"/>
      <c r="R1" s="643" t="s">
        <v>836</v>
      </c>
      <c r="S1" s="645" t="s"/>
      <c r="T1" s="643" t="s">
        <v>837</v>
      </c>
      <c r="U1" s="645" t="s"/>
      <c r="V1" s="643" t="s">
        <v>838</v>
      </c>
      <c r="W1" s="645" t="s"/>
      <c r="X1" s="643" t="s">
        <v>839</v>
      </c>
      <c r="Y1" s="645" t="s"/>
      <c r="Z1" s="643" t="s">
        <v>840</v>
      </c>
      <c r="AA1" s="645" t="s"/>
      <c r="AB1" s="645" t="s">
        <v>841</v>
      </c>
      <c r="AC1" s="646" t="s">
        <v>842</v>
      </c>
      <c r="AD1" s="647" t="s">
        <v>843</v>
      </c>
      <c r="AE1" s="647" t="s">
        <v>844</v>
      </c>
    </row>
    <row r="2" spans="1:31" ht="44" customHeight="true">
      <c r="A2" s="519" t="s"/>
      <c r="B2" s="519" t="s"/>
      <c r="C2" s="519" t="s"/>
      <c r="D2" s="644" t="s"/>
      <c r="E2" s="644" t="s"/>
      <c r="F2" s="648" t="s">
        <v>78</v>
      </c>
      <c r="G2" s="649" t="s">
        <v>101</v>
      </c>
      <c r="H2" s="648" t="s">
        <v>78</v>
      </c>
      <c r="I2" s="649" t="s">
        <v>101</v>
      </c>
      <c r="J2" s="648" t="s">
        <v>78</v>
      </c>
      <c r="K2" s="649" t="s">
        <v>101</v>
      </c>
      <c r="L2" s="648" t="s">
        <v>78</v>
      </c>
      <c r="M2" s="649" t="s">
        <v>101</v>
      </c>
      <c r="N2" s="648" t="s">
        <v>78</v>
      </c>
      <c r="O2" s="649" t="s">
        <v>101</v>
      </c>
      <c r="P2" s="648" t="s">
        <v>78</v>
      </c>
      <c r="Q2" s="650" t="s">
        <v>101</v>
      </c>
      <c r="R2" s="648" t="s">
        <v>78</v>
      </c>
      <c r="S2" s="650" t="s">
        <v>101</v>
      </c>
      <c r="T2" s="648" t="s">
        <v>78</v>
      </c>
      <c r="U2" s="650" t="s">
        <v>101</v>
      </c>
      <c r="V2" s="648" t="s">
        <v>78</v>
      </c>
      <c r="W2" s="650" t="s">
        <v>101</v>
      </c>
      <c r="X2" s="648" t="s">
        <v>78</v>
      </c>
      <c r="Y2" s="649" t="s">
        <v>101</v>
      </c>
      <c r="Z2" s="648" t="s">
        <v>78</v>
      </c>
      <c r="AA2" s="650" t="s">
        <v>101</v>
      </c>
      <c r="AB2" s="650" t="s"/>
      <c r="AC2" s="651" t="s"/>
      <c r="AD2" s="652" t="s"/>
      <c r="AE2" s="652" t="s"/>
    </row>
    <row r="3" spans="1:31" ht="22" customHeight="true">
      <c r="A3" s="653" t="s">
        <v>845</v>
      </c>
      <c r="B3" s="654" t="s">
        <v>846</v>
      </c>
      <c r="C3" s="655" t="s">
        <v>847</v>
      </c>
      <c r="D3" s="643" t="s">
        <v>848</v>
      </c>
      <c r="E3" s="644" t="s">
        <v>849</v>
      </c>
      <c r="F3" s="656">
        <v>4</v>
      </c>
      <c r="G3" s="656">
        <v>1</v>
      </c>
      <c r="H3" s="656">
        <v>2</v>
      </c>
      <c r="I3" s="656">
        <v>1</v>
      </c>
      <c r="J3" s="656">
        <v>2</v>
      </c>
      <c r="K3" s="656">
        <v>1</v>
      </c>
      <c r="L3" s="656">
        <v>2</v>
      </c>
      <c r="M3" s="656">
        <v>1</v>
      </c>
      <c r="N3" s="657" t="s"/>
      <c r="O3" s="657" t="s"/>
      <c r="P3" s="657" t="s"/>
      <c r="Q3" s="657" t="s"/>
      <c r="R3" s="657" t="s"/>
      <c r="S3" s="657" t="s"/>
      <c r="T3" s="657" t="s"/>
      <c r="U3" s="657" t="s"/>
      <c r="V3" s="657" t="s"/>
      <c r="W3" s="657" t="s"/>
      <c r="X3" s="657" t="s"/>
      <c r="Y3" s="657" t="s"/>
      <c r="Z3" s="657" t="s"/>
      <c r="AA3" s="657" t="s"/>
      <c r="AB3" s="644" t="s">
        <v>329</v>
      </c>
      <c r="AC3" s="652" t="s">
        <v>850</v>
      </c>
      <c r="AD3" s="652" t="s"/>
      <c r="AE3" s="652" t="s"/>
    </row>
    <row r="4" spans="1:31" ht="22" customHeight="true">
      <c r="A4" s="653" t="s">
        <v>488</v>
      </c>
      <c r="B4" s="654" t="s">
        <v>846</v>
      </c>
      <c r="C4" s="655" t="s">
        <v>851</v>
      </c>
      <c r="D4" s="643" t="s">
        <v>852</v>
      </c>
      <c r="E4" s="644" t="s">
        <v>853</v>
      </c>
      <c r="F4" s="656">
        <v>4</v>
      </c>
      <c r="G4" s="656">
        <v>1</v>
      </c>
      <c r="H4" s="656">
        <v>2</v>
      </c>
      <c r="I4" s="656">
        <v>1</v>
      </c>
      <c r="J4" s="656">
        <v>2</v>
      </c>
      <c r="K4" s="656">
        <v>1</v>
      </c>
      <c r="L4" s="656">
        <v>2</v>
      </c>
      <c r="M4" s="656">
        <v>1</v>
      </c>
      <c r="N4" s="657" t="s"/>
      <c r="O4" s="657" t="s"/>
      <c r="P4" s="656" t="s"/>
      <c r="Q4" s="656" t="s"/>
      <c r="R4" s="656" t="s"/>
      <c r="S4" s="656" t="s"/>
      <c r="T4" s="656" t="s"/>
      <c r="U4" s="656" t="s"/>
      <c r="V4" s="657" t="s"/>
      <c r="W4" s="657" t="s"/>
      <c r="X4" s="657" t="s"/>
      <c r="Y4" s="657" t="s"/>
      <c r="Z4" s="657" t="s"/>
      <c r="AA4" s="657" t="s"/>
      <c r="AB4" s="644" t="s">
        <v>329</v>
      </c>
      <c r="AC4" s="652" t="s">
        <v>854</v>
      </c>
      <c r="AD4" s="652" t="s">
        <v>855</v>
      </c>
      <c r="AE4" s="652" t="s"/>
    </row>
    <row r="5" spans="1:31" ht="191" customHeight="true">
      <c r="A5" s="653" t="s">
        <v>413</v>
      </c>
      <c r="B5" s="654" t="s">
        <v>846</v>
      </c>
      <c r="C5" s="655" t="s">
        <v>847</v>
      </c>
      <c r="D5" s="643" t="s">
        <v>856</v>
      </c>
      <c r="E5" s="644" t="s">
        <v>857</v>
      </c>
      <c r="F5" s="656">
        <v>4</v>
      </c>
      <c r="G5" s="656">
        <v>3</v>
      </c>
      <c r="H5" s="656">
        <v>4</v>
      </c>
      <c r="I5" s="656">
        <v>3</v>
      </c>
      <c r="J5" s="656">
        <v>5</v>
      </c>
      <c r="K5" s="656">
        <v>3</v>
      </c>
      <c r="L5" s="656">
        <v>2</v>
      </c>
      <c r="M5" s="656">
        <v>1</v>
      </c>
      <c r="N5" s="656">
        <v>4</v>
      </c>
      <c r="O5" s="656">
        <v>3</v>
      </c>
      <c r="P5" s="656">
        <v>3</v>
      </c>
      <c r="Q5" s="656">
        <v>3</v>
      </c>
      <c r="R5" s="656">
        <v>2</v>
      </c>
      <c r="S5" s="656">
        <v>2</v>
      </c>
      <c r="T5" s="656">
        <v>1</v>
      </c>
      <c r="U5" s="656">
        <v>2</v>
      </c>
      <c r="V5" s="657" t="s"/>
      <c r="W5" s="657" t="s"/>
      <c r="X5" s="657" t="s"/>
      <c r="Y5" s="657" t="s"/>
      <c r="Z5" s="657" t="s"/>
      <c r="AA5" s="657" t="s"/>
      <c r="AB5" s="644" t="s">
        <v>295</v>
      </c>
      <c r="AC5" s="658" t="s">
        <v>858</v>
      </c>
      <c r="AD5" s="658" t="s">
        <v>859</v>
      </c>
      <c r="AE5" s="652" t="s">
        <v>860</v>
      </c>
    </row>
    <row r="6" spans="1:31" ht="124" customHeight="true">
      <c r="A6" s="653" t="s"/>
      <c r="B6" s="654" t="s">
        <v>846</v>
      </c>
      <c r="C6" s="659" t="s"/>
      <c r="D6" s="643" t="s">
        <v>856</v>
      </c>
      <c r="E6" s="644" t="s">
        <v>857</v>
      </c>
      <c r="F6" s="656">
        <v>5</v>
      </c>
      <c r="G6" s="656">
        <v>2</v>
      </c>
      <c r="H6" s="656">
        <v>2</v>
      </c>
      <c r="I6" s="656">
        <v>2</v>
      </c>
      <c r="J6" s="656">
        <v>3</v>
      </c>
      <c r="K6" s="656">
        <v>2</v>
      </c>
      <c r="L6" s="656">
        <v>5</v>
      </c>
      <c r="M6" s="656">
        <v>0</v>
      </c>
      <c r="N6" s="656">
        <v>2</v>
      </c>
      <c r="O6" s="656">
        <v>2</v>
      </c>
      <c r="P6" s="656">
        <v>5</v>
      </c>
      <c r="Q6" s="656">
        <v>2</v>
      </c>
      <c r="R6" s="656">
        <v>4</v>
      </c>
      <c r="S6" s="656">
        <v>2</v>
      </c>
      <c r="T6" s="656">
        <v>2</v>
      </c>
      <c r="U6" s="656">
        <v>2</v>
      </c>
      <c r="V6" s="657" t="s"/>
      <c r="W6" s="657" t="s"/>
      <c r="X6" s="657" t="s"/>
      <c r="Y6" s="657" t="s"/>
      <c r="Z6" s="657" t="s"/>
      <c r="AA6" s="657" t="s"/>
      <c r="AB6" s="644" t="s">
        <v>400</v>
      </c>
      <c r="AC6" s="660" t="s"/>
      <c r="AD6" s="660" t="s"/>
      <c r="AE6" s="660" t="s"/>
    </row>
    <row r="7" spans="1:31" ht="86" customHeight="true">
      <c r="A7" s="653" t="s"/>
      <c r="B7" s="654" t="s">
        <v>846</v>
      </c>
      <c r="C7" s="659" t="s"/>
      <c r="D7" s="643" t="s">
        <v>856</v>
      </c>
      <c r="E7" s="644" t="s">
        <v>857</v>
      </c>
      <c r="F7" s="656">
        <v>4</v>
      </c>
      <c r="G7" s="656">
        <v>1</v>
      </c>
      <c r="H7" s="656">
        <v>4</v>
      </c>
      <c r="I7" s="656">
        <v>0</v>
      </c>
      <c r="J7" s="656">
        <v>4</v>
      </c>
      <c r="K7" s="656">
        <v>0</v>
      </c>
      <c r="L7" s="656">
        <v>5</v>
      </c>
      <c r="M7" s="656">
        <v>0</v>
      </c>
      <c r="N7" s="656">
        <v>4</v>
      </c>
      <c r="O7" s="656">
        <v>1</v>
      </c>
      <c r="P7" s="656">
        <v>6</v>
      </c>
      <c r="Q7" s="656">
        <v>1</v>
      </c>
      <c r="R7" s="656">
        <v>6</v>
      </c>
      <c r="S7" s="656">
        <v>1</v>
      </c>
      <c r="T7" s="656">
        <v>4</v>
      </c>
      <c r="U7" s="656">
        <v>1</v>
      </c>
      <c r="V7" s="657" t="s"/>
      <c r="W7" s="657" t="s"/>
      <c r="X7" s="657" t="s"/>
      <c r="Y7" s="657" t="s"/>
      <c r="Z7" s="657" t="s"/>
      <c r="AA7" s="657" t="s"/>
      <c r="AB7" s="644" t="s">
        <v>641</v>
      </c>
      <c r="AC7" s="660" t="s"/>
      <c r="AD7" s="660" t="s"/>
      <c r="AE7" s="660" t="s"/>
    </row>
    <row r="8" spans="1:31" ht="86" customHeight="true">
      <c r="A8" s="653" t="s"/>
      <c r="B8" s="654" t="s">
        <v>846</v>
      </c>
      <c r="C8" s="661" t="s"/>
      <c r="D8" s="643" t="s">
        <v>856</v>
      </c>
      <c r="E8" s="644" t="s">
        <v>857</v>
      </c>
      <c r="F8" s="656">
        <v>2</v>
      </c>
      <c r="G8" s="656">
        <v>0</v>
      </c>
      <c r="H8" s="656">
        <v>2</v>
      </c>
      <c r="I8" s="656">
        <v>0</v>
      </c>
      <c r="J8" s="656">
        <v>2</v>
      </c>
      <c r="K8" s="656">
        <v>0</v>
      </c>
      <c r="L8" s="656">
        <v>2</v>
      </c>
      <c r="M8" s="656">
        <v>0</v>
      </c>
      <c r="N8" s="656">
        <v>2</v>
      </c>
      <c r="O8" s="656">
        <v>0</v>
      </c>
      <c r="P8" s="656">
        <v>2</v>
      </c>
      <c r="Q8" s="656">
        <v>0</v>
      </c>
      <c r="R8" s="656">
        <v>2</v>
      </c>
      <c r="S8" s="656">
        <v>1</v>
      </c>
      <c r="T8" s="656">
        <v>2</v>
      </c>
      <c r="U8" s="656">
        <v>1</v>
      </c>
      <c r="V8" s="657" t="s"/>
      <c r="W8" s="657" t="s"/>
      <c r="X8" s="657" t="s"/>
      <c r="Y8" s="657" t="s"/>
      <c r="Z8" s="657" t="s"/>
      <c r="AA8" s="657" t="s"/>
      <c r="AB8" s="644" t="s">
        <v>329</v>
      </c>
      <c r="AC8" s="662" t="s"/>
      <c r="AD8" s="662" t="s"/>
      <c r="AE8" s="662" t="s"/>
    </row>
    <row r="9" spans="1:31" ht="128" customHeight="true">
      <c r="A9" s="653" t="s">
        <v>415</v>
      </c>
      <c r="B9" s="654" t="s">
        <v>846</v>
      </c>
      <c r="C9" s="661" t="s">
        <v>861</v>
      </c>
      <c r="D9" s="648" t="s">
        <v>160</v>
      </c>
      <c r="E9" s="644" t="s">
        <v>253</v>
      </c>
      <c r="F9" s="656" t="s"/>
      <c r="G9" s="656" t="s"/>
      <c r="H9" s="656" t="s"/>
      <c r="I9" s="656" t="s"/>
      <c r="J9" s="656" t="s"/>
      <c r="K9" s="656" t="s"/>
      <c r="L9" s="656">
        <v>1</v>
      </c>
      <c r="M9" s="656">
        <v>0</v>
      </c>
      <c r="N9" s="656">
        <v>5</v>
      </c>
      <c r="O9" s="656">
        <v>2</v>
      </c>
      <c r="P9" s="657">
        <v>5</v>
      </c>
      <c r="Q9" s="657">
        <v>0</v>
      </c>
      <c r="R9" s="657">
        <v>5</v>
      </c>
      <c r="S9" s="657">
        <v>0</v>
      </c>
      <c r="T9" s="656">
        <v>8</v>
      </c>
      <c r="U9" s="656">
        <v>1</v>
      </c>
      <c r="V9" s="656">
        <v>10</v>
      </c>
      <c r="W9" s="656">
        <v>2</v>
      </c>
      <c r="X9" s="656">
        <v>10</v>
      </c>
      <c r="Y9" s="656">
        <v>4</v>
      </c>
      <c r="Z9" s="656">
        <v>10</v>
      </c>
      <c r="AA9" s="656">
        <v>4</v>
      </c>
      <c r="AB9" s="644" t="s">
        <v>641</v>
      </c>
      <c r="AC9" s="663" t="s">
        <v>862</v>
      </c>
      <c r="AD9" s="663" t="s">
        <v>863</v>
      </c>
      <c r="AE9" s="663" t="s">
        <v>864</v>
      </c>
    </row>
    <row r="10" spans="1:31" ht="126" customHeight="true">
      <c r="A10" s="653" t="s">
        <v>865</v>
      </c>
      <c r="B10" s="653" t="s">
        <v>866</v>
      </c>
      <c r="C10" s="655" t="s">
        <v>847</v>
      </c>
      <c r="D10" s="643" t="s">
        <v>115</v>
      </c>
      <c r="E10" s="643" t="s">
        <v>115</v>
      </c>
      <c r="F10" s="657">
        <v>2</v>
      </c>
      <c r="G10" s="657" t="s"/>
      <c r="H10" s="657">
        <v>2</v>
      </c>
      <c r="I10" s="657">
        <v>2</v>
      </c>
      <c r="J10" s="657">
        <v>3</v>
      </c>
      <c r="K10" s="657">
        <v>2</v>
      </c>
      <c r="L10" s="657">
        <v>2</v>
      </c>
      <c r="M10" s="657">
        <v>5</v>
      </c>
      <c r="N10" s="657">
        <v>2</v>
      </c>
      <c r="O10" s="657">
        <v>2</v>
      </c>
      <c r="P10" s="657">
        <v>2</v>
      </c>
      <c r="Q10" s="657">
        <v>2</v>
      </c>
      <c r="R10" s="657">
        <v>2</v>
      </c>
      <c r="S10" s="657">
        <v>1</v>
      </c>
      <c r="T10" s="657">
        <v>1</v>
      </c>
      <c r="U10" s="657">
        <v>1</v>
      </c>
      <c r="V10" s="657">
        <v>1</v>
      </c>
      <c r="W10" s="657">
        <v>1</v>
      </c>
      <c r="X10" s="657">
        <v>1</v>
      </c>
      <c r="Y10" s="657">
        <v>1</v>
      </c>
      <c r="Z10" s="657">
        <v>1</v>
      </c>
      <c r="AA10" s="657">
        <v>1</v>
      </c>
      <c r="AB10" s="644" t="s">
        <v>631</v>
      </c>
      <c r="AC10" s="658" t="s">
        <v>867</v>
      </c>
      <c r="AD10" s="658" t="s"/>
      <c r="AE10" s="652" t="s"/>
    </row>
    <row r="11" spans="1:31" ht="78" customHeight="true">
      <c r="A11" s="653" t="s">
        <v>868</v>
      </c>
      <c r="B11" s="664" t="s">
        <v>410</v>
      </c>
      <c r="C11" s="655" t="s">
        <v>847</v>
      </c>
      <c r="D11" s="665" t="s">
        <v>78</v>
      </c>
      <c r="E11" s="666" t="s">
        <v>869</v>
      </c>
      <c r="F11" s="657" t="s"/>
      <c r="G11" s="657" t="s"/>
      <c r="H11" s="657">
        <v>1</v>
      </c>
      <c r="I11" s="657" t="s"/>
      <c r="J11" s="657" t="s"/>
      <c r="K11" s="657" t="s"/>
      <c r="L11" s="657">
        <v>2</v>
      </c>
      <c r="M11" s="657">
        <v>1</v>
      </c>
      <c r="N11" s="657" t="s"/>
      <c r="O11" s="657" t="s"/>
      <c r="P11" s="657" t="s"/>
      <c r="Q11" s="657" t="s"/>
      <c r="R11" s="657">
        <v>1</v>
      </c>
      <c r="S11" s="657">
        <v>1</v>
      </c>
      <c r="T11" s="657" t="s"/>
      <c r="U11" s="657" t="s"/>
      <c r="V11" s="657" t="s"/>
      <c r="W11" s="657" t="s"/>
      <c r="X11" s="657" t="s"/>
      <c r="Y11" s="657" t="s"/>
      <c r="Z11" s="657" t="s"/>
      <c r="AA11" s="657" t="s"/>
      <c r="AB11" s="644" t="s">
        <v>870</v>
      </c>
      <c r="AC11" s="658" t="s">
        <v>871</v>
      </c>
      <c r="AD11" s="652" t="s"/>
      <c r="AE11" s="652" t="s"/>
    </row>
    <row r="12" spans="1:31" ht="78" customHeight="true">
      <c r="A12" s="653" t="s">
        <v>872</v>
      </c>
      <c r="B12" s="664" t="s">
        <v>410</v>
      </c>
      <c r="C12" s="655" t="s">
        <v>847</v>
      </c>
      <c r="D12" s="667" t="s">
        <v>101</v>
      </c>
      <c r="E12" s="668" t="s">
        <v>873</v>
      </c>
      <c r="F12" s="657" t="s"/>
      <c r="G12" s="657" t="s"/>
      <c r="H12" s="657" t="s"/>
      <c r="I12" s="657" t="s"/>
      <c r="J12" s="657" t="s"/>
      <c r="K12" s="657" t="s"/>
      <c r="L12" s="657" t="s"/>
      <c r="M12" s="657" t="s"/>
      <c r="N12" s="657" t="s"/>
      <c r="O12" s="657" t="s"/>
      <c r="P12" s="657" t="s"/>
      <c r="Q12" s="657" t="s"/>
      <c r="R12" s="657" t="s"/>
      <c r="S12" s="657" t="s"/>
      <c r="T12" s="657" t="s"/>
      <c r="U12" s="657" t="s"/>
      <c r="V12" s="657" t="s"/>
      <c r="W12" s="657" t="s"/>
      <c r="X12" s="657" t="s"/>
      <c r="Y12" s="657" t="s"/>
      <c r="Z12" s="657" t="s"/>
      <c r="AA12" s="657" t="s"/>
      <c r="AB12" s="644" t="s">
        <v>329</v>
      </c>
      <c r="AC12" s="658" t="s">
        <v>874</v>
      </c>
      <c r="AD12" s="658" t="s"/>
      <c r="AE12" s="652" t="s"/>
    </row>
    <row r="13" spans="1:31" ht="77" customHeight="true">
      <c r="A13" s="669" t="s">
        <v>875</v>
      </c>
      <c r="B13" s="664" t="s">
        <v>410</v>
      </c>
      <c r="C13" s="655" t="s"/>
      <c r="D13" s="643" t="s"/>
      <c r="E13" s="644" t="s"/>
      <c r="F13" s="657" t="s"/>
      <c r="G13" s="657" t="s"/>
      <c r="H13" s="657" t="s"/>
      <c r="I13" s="657" t="s"/>
      <c r="J13" s="657" t="s"/>
      <c r="K13" s="657" t="s"/>
      <c r="L13" s="657" t="s"/>
      <c r="M13" s="657" t="s"/>
      <c r="N13" s="657" t="s"/>
      <c r="O13" s="657" t="s"/>
      <c r="P13" s="657" t="s"/>
      <c r="Q13" s="657" t="s"/>
      <c r="R13" s="657" t="s"/>
      <c r="S13" s="657" t="s"/>
      <c r="T13" s="657" t="s"/>
      <c r="U13" s="657" t="s"/>
      <c r="V13" s="657" t="s"/>
      <c r="W13" s="657" t="s"/>
      <c r="X13" s="657" t="s"/>
      <c r="Y13" s="657" t="s"/>
      <c r="Z13" s="657" t="s"/>
      <c r="AA13" s="657" t="s"/>
      <c r="AB13" s="644" t="s"/>
      <c r="AC13" s="652" t="s"/>
      <c r="AD13" s="652" t="s"/>
      <c r="AE13" s="652" t="s"/>
    </row>
    <row r="14" spans="1:31" ht="77" customHeight="true">
      <c r="A14" s="669" t="s">
        <v>876</v>
      </c>
      <c r="B14" s="664" t="s">
        <v>410</v>
      </c>
      <c r="C14" s="655" t="s"/>
      <c r="D14" s="643" t="s"/>
      <c r="E14" s="644" t="s"/>
      <c r="F14" s="657" t="s"/>
      <c r="G14" s="657" t="s"/>
      <c r="H14" s="657" t="s"/>
      <c r="I14" s="657" t="s"/>
      <c r="J14" s="657" t="s"/>
      <c r="K14" s="657" t="s"/>
      <c r="L14" s="657" t="s"/>
      <c r="M14" s="657" t="s"/>
      <c r="N14" s="657" t="s"/>
      <c r="O14" s="657" t="s"/>
      <c r="P14" s="657" t="s"/>
      <c r="Q14" s="657" t="s"/>
      <c r="R14" s="657" t="s"/>
      <c r="S14" s="657" t="s"/>
      <c r="T14" s="657" t="s"/>
      <c r="U14" s="657" t="s"/>
      <c r="V14" s="657" t="s"/>
      <c r="W14" s="657" t="s"/>
      <c r="X14" s="657" t="s"/>
      <c r="Y14" s="657" t="s"/>
      <c r="Z14" s="657" t="s"/>
      <c r="AA14" s="657" t="s"/>
      <c r="AB14" s="644" t="s"/>
      <c r="AC14" s="652" t="s"/>
      <c r="AD14" s="652" t="s"/>
      <c r="AE14" s="652" t="s"/>
    </row>
    <row r="15" spans="1:31" ht="77" customHeight="true">
      <c r="A15" s="653" t="s">
        <v>877</v>
      </c>
      <c r="B15" s="653" t="s">
        <v>878</v>
      </c>
      <c r="C15" s="655" t="s">
        <v>851</v>
      </c>
      <c r="D15" s="643" t="s">
        <v>101</v>
      </c>
      <c r="E15" s="644" t="s">
        <v>381</v>
      </c>
      <c r="F15" s="657" t="s"/>
      <c r="G15" s="657" t="s"/>
      <c r="H15" s="657" t="s"/>
      <c r="I15" s="657" t="s"/>
      <c r="J15" s="657" t="s"/>
      <c r="K15" s="657" t="s"/>
      <c r="L15" s="657" t="s"/>
      <c r="M15" s="657" t="s"/>
      <c r="N15" s="657" t="s"/>
      <c r="O15" s="657" t="s"/>
      <c r="P15" s="657">
        <v>2</v>
      </c>
      <c r="Q15" s="657" t="s"/>
      <c r="R15" s="657" t="s"/>
      <c r="S15" s="657" t="s"/>
      <c r="T15" s="657" t="s"/>
      <c r="U15" s="657" t="s"/>
      <c r="V15" s="657" t="s"/>
      <c r="W15" s="657" t="s"/>
      <c r="X15" s="657" t="s"/>
      <c r="Y15" s="657" t="s"/>
      <c r="Z15" s="657" t="s"/>
      <c r="AA15" s="657" t="s"/>
      <c r="AB15" s="644" t="s">
        <v>389</v>
      </c>
      <c r="AC15" s="652" t="s"/>
      <c r="AD15" s="652" t="s"/>
      <c r="AE15" s="652" t="s"/>
    </row>
    <row r="16" spans="1:31" ht="41" customHeight="true">
      <c r="A16" s="670" t="s">
        <v>879</v>
      </c>
      <c r="B16" s="670" t="s">
        <v>160</v>
      </c>
      <c r="C16" s="671" t="s">
        <v>861</v>
      </c>
      <c r="D16" s="665" t="s">
        <v>160</v>
      </c>
      <c r="E16" s="644" t="s"/>
      <c r="F16" s="657">
        <v>2</v>
      </c>
      <c r="G16" s="657" t="s"/>
      <c r="H16" s="657">
        <v>2</v>
      </c>
      <c r="I16" s="657" t="s"/>
      <c r="J16" s="657">
        <v>2</v>
      </c>
      <c r="K16" s="657" t="s"/>
      <c r="L16" s="657">
        <v>2</v>
      </c>
      <c r="M16" s="657" t="s"/>
      <c r="N16" s="657">
        <v>2</v>
      </c>
      <c r="O16" s="657" t="s"/>
      <c r="P16" s="657">
        <v>1</v>
      </c>
      <c r="Q16" s="657" t="s"/>
      <c r="R16" s="657">
        <v>1</v>
      </c>
      <c r="S16" s="657" t="s"/>
      <c r="T16" s="657">
        <v>1</v>
      </c>
      <c r="U16" s="657" t="s"/>
      <c r="V16" s="657">
        <v>1</v>
      </c>
      <c r="W16" s="657" t="s"/>
      <c r="X16" s="657">
        <v>1</v>
      </c>
      <c r="Y16" s="657" t="s"/>
      <c r="Z16" s="657">
        <v>1</v>
      </c>
      <c r="AA16" s="657" t="s"/>
      <c r="AB16" s="644" t="s">
        <v>390</v>
      </c>
      <c r="AC16" s="652" t="s"/>
      <c r="AD16" s="652" t="s">
        <v>880</v>
      </c>
      <c r="AE16" s="652" t="s"/>
    </row>
    <row r="17" spans="1:31" ht="48" customHeight="true">
      <c r="A17" s="670" t="s"/>
      <c r="B17" s="670" t="s">
        <v>160</v>
      </c>
      <c r="C17" s="671" t="s">
        <v>861</v>
      </c>
      <c r="D17" s="665" t="s">
        <v>160</v>
      </c>
      <c r="E17" s="644" t="s"/>
      <c r="F17" s="657">
        <v>0</v>
      </c>
      <c r="G17" s="657" t="s"/>
      <c r="H17" s="657">
        <v>0</v>
      </c>
      <c r="I17" s="657" t="s"/>
      <c r="J17" s="657">
        <v>0</v>
      </c>
      <c r="K17" s="657" t="s"/>
      <c r="L17" s="657">
        <v>0</v>
      </c>
      <c r="M17" s="657" t="s"/>
      <c r="N17" s="657">
        <v>2</v>
      </c>
      <c r="O17" s="657" t="s"/>
      <c r="P17" s="657">
        <v>0</v>
      </c>
      <c r="Q17" s="657" t="s"/>
      <c r="R17" s="657">
        <v>1</v>
      </c>
      <c r="S17" s="657" t="s"/>
      <c r="T17" s="657">
        <v>1</v>
      </c>
      <c r="U17" s="657" t="s"/>
      <c r="V17" s="657">
        <v>1</v>
      </c>
      <c r="W17" s="657" t="s"/>
      <c r="X17" s="657">
        <v>1</v>
      </c>
      <c r="Y17" s="657" t="s"/>
      <c r="Z17" s="657">
        <v>1</v>
      </c>
      <c r="AA17" s="657" t="s"/>
      <c r="AB17" s="644" t="s">
        <v>641</v>
      </c>
      <c r="AC17" s="652" t="s"/>
      <c r="AD17" s="652" t="s"/>
      <c r="AE17" s="652" t="s"/>
    </row>
    <row r="18" spans="1:31" ht="63" customHeight="true">
      <c r="A18" s="670" t="s"/>
      <c r="B18" s="670" t="s">
        <v>160</v>
      </c>
      <c r="C18" s="671" t="s">
        <v>861</v>
      </c>
      <c r="D18" s="665" t="s">
        <v>160</v>
      </c>
      <c r="E18" s="644" t="s"/>
      <c r="F18" s="657">
        <v>1</v>
      </c>
      <c r="G18" s="657" t="s"/>
      <c r="H18" s="657">
        <v>0</v>
      </c>
      <c r="I18" s="657" t="s"/>
      <c r="J18" s="657">
        <v>0</v>
      </c>
      <c r="K18" s="657" t="s"/>
      <c r="L18" s="657">
        <v>0</v>
      </c>
      <c r="M18" s="657" t="s"/>
      <c r="N18" s="657">
        <v>1</v>
      </c>
      <c r="O18" s="657" t="s"/>
      <c r="P18" s="657">
        <v>0</v>
      </c>
      <c r="Q18" s="657" t="s"/>
      <c r="R18" s="657">
        <v>1</v>
      </c>
      <c r="S18" s="657" t="s"/>
      <c r="T18" s="657">
        <v>1</v>
      </c>
      <c r="U18" s="657" t="s"/>
      <c r="V18" s="657">
        <v>1</v>
      </c>
      <c r="W18" s="657" t="s"/>
      <c r="X18" s="657">
        <v>1</v>
      </c>
      <c r="Y18" s="657" t="s"/>
      <c r="Z18" s="657">
        <v>1</v>
      </c>
      <c r="AA18" s="657" t="s"/>
      <c r="AB18" s="644" t="s">
        <v>400</v>
      </c>
      <c r="AC18" s="652" t="s"/>
      <c r="AD18" s="652" t="s">
        <v>881</v>
      </c>
      <c r="AE18" s="652" t="s"/>
    </row>
    <row r="19" spans="1:31" ht="81" customHeight="true">
      <c r="A19" s="670" t="s"/>
      <c r="B19" s="670" t="s">
        <v>160</v>
      </c>
      <c r="C19" s="671" t="s">
        <v>861</v>
      </c>
      <c r="D19" s="665" t="s">
        <v>160</v>
      </c>
      <c r="E19" s="644" t="s"/>
      <c r="F19" s="657">
        <v>1</v>
      </c>
      <c r="G19" s="657" t="s"/>
      <c r="H19" s="657">
        <v>1</v>
      </c>
      <c r="I19" s="657" t="s"/>
      <c r="J19" s="657">
        <v>1</v>
      </c>
      <c r="K19" s="657" t="s"/>
      <c r="L19" s="657">
        <v>1</v>
      </c>
      <c r="M19" s="657" t="s"/>
      <c r="N19" s="657">
        <v>1</v>
      </c>
      <c r="O19" s="657" t="s"/>
      <c r="P19" s="657">
        <v>0</v>
      </c>
      <c r="Q19" s="657" t="s"/>
      <c r="R19" s="657">
        <v>1</v>
      </c>
      <c r="S19" s="657" t="s"/>
      <c r="T19" s="657">
        <v>1</v>
      </c>
      <c r="U19" s="657" t="s"/>
      <c r="V19" s="657">
        <v>1</v>
      </c>
      <c r="W19" s="657" t="s"/>
      <c r="X19" s="657">
        <v>1</v>
      </c>
      <c r="Y19" s="657" t="s"/>
      <c r="Z19" s="657">
        <v>1</v>
      </c>
      <c r="AA19" s="657" t="s"/>
      <c r="AB19" s="644" t="s">
        <v>329</v>
      </c>
      <c r="AC19" s="652" t="s"/>
      <c r="AD19" s="652" t="s">
        <v>882</v>
      </c>
      <c r="AE19" s="652" t="s"/>
    </row>
    <row r="20" spans="1:31" ht="101" customHeight="true">
      <c r="A20" s="670" t="s"/>
      <c r="B20" s="670" t="s">
        <v>160</v>
      </c>
      <c r="C20" s="671" t="s">
        <v>861</v>
      </c>
      <c r="D20" s="665" t="s">
        <v>160</v>
      </c>
      <c r="E20" s="644" t="s"/>
      <c r="F20" s="657">
        <v>1</v>
      </c>
      <c r="G20" s="657" t="s"/>
      <c r="H20" s="657">
        <v>0</v>
      </c>
      <c r="I20" s="657" t="s"/>
      <c r="J20" s="657">
        <v>0</v>
      </c>
      <c r="K20" s="657" t="s"/>
      <c r="L20" s="657">
        <v>0</v>
      </c>
      <c r="M20" s="657" t="s"/>
      <c r="N20" s="657">
        <v>1</v>
      </c>
      <c r="O20" s="657" t="s"/>
      <c r="P20" s="657">
        <v>0</v>
      </c>
      <c r="Q20" s="657" t="s"/>
      <c r="R20" s="657">
        <v>1</v>
      </c>
      <c r="S20" s="657" t="s"/>
      <c r="T20" s="657">
        <v>1</v>
      </c>
      <c r="U20" s="657" t="s"/>
      <c r="V20" s="657">
        <v>1</v>
      </c>
      <c r="W20" s="657" t="s"/>
      <c r="X20" s="657">
        <v>1</v>
      </c>
      <c r="Y20" s="657" t="s"/>
      <c r="Z20" s="657">
        <v>1</v>
      </c>
      <c r="AA20" s="657" t="s"/>
      <c r="AB20" s="644" t="s">
        <v>295</v>
      </c>
      <c r="AC20" s="652" t="s"/>
      <c r="AD20" s="652" t="s">
        <v>883</v>
      </c>
      <c r="AE20" s="652" t="s"/>
    </row>
    <row r="21" spans="1:31" ht="22" customHeight="true">
      <c r="A21" s="670" t="s">
        <v>185</v>
      </c>
      <c r="B21" s="670" t="s">
        <v>185</v>
      </c>
      <c r="C21" s="519" t="s"/>
      <c r="D21" s="644" t="s"/>
      <c r="E21" s="644" t="s"/>
      <c r="F21" s="657">
        <v>2</v>
      </c>
      <c r="G21" s="657" t="s"/>
      <c r="H21" s="657">
        <v>2</v>
      </c>
      <c r="I21" s="657" t="s"/>
      <c r="J21" s="657">
        <v>2</v>
      </c>
      <c r="K21" s="657" t="s"/>
      <c r="L21" s="657">
        <v>2</v>
      </c>
      <c r="M21" s="657" t="s"/>
      <c r="N21" s="657">
        <v>2</v>
      </c>
      <c r="O21" s="657" t="s"/>
      <c r="P21" s="657">
        <v>2</v>
      </c>
      <c r="Q21" s="657" t="s"/>
      <c r="R21" s="657">
        <v>2</v>
      </c>
      <c r="S21" s="657" t="s"/>
      <c r="T21" s="657">
        <v>2</v>
      </c>
      <c r="U21" s="657" t="s"/>
      <c r="V21" s="657">
        <v>2</v>
      </c>
      <c r="W21" s="657" t="s"/>
      <c r="X21" s="657">
        <v>2</v>
      </c>
      <c r="Y21" s="657" t="s"/>
      <c r="Z21" s="657">
        <v>2</v>
      </c>
      <c r="AA21" s="657" t="s"/>
      <c r="AB21" s="644" t="s">
        <v>402</v>
      </c>
      <c r="AC21" s="652" t="s"/>
      <c r="AD21" s="652" t="s"/>
      <c r="AE21" s="652" t="s"/>
    </row>
    <row r="22" spans="1:31" ht="22" customHeight="true">
      <c r="A22" s="670" t="s">
        <v>404</v>
      </c>
      <c r="B22" s="672" t="s">
        <v>404</v>
      </c>
      <c r="C22" s="519" t="s"/>
      <c r="D22" s="644" t="s"/>
      <c r="E22" s="644" t="s"/>
      <c r="F22" s="657">
        <v>1</v>
      </c>
      <c r="G22" s="657" t="s"/>
      <c r="H22" s="657">
        <v>1</v>
      </c>
      <c r="I22" s="657" t="s"/>
      <c r="J22" s="657">
        <v>1</v>
      </c>
      <c r="K22" s="657" t="s"/>
      <c r="L22" s="657">
        <v>1</v>
      </c>
      <c r="M22" s="657" t="s"/>
      <c r="N22" s="657">
        <v>1</v>
      </c>
      <c r="O22" s="657" t="s"/>
      <c r="P22" s="657">
        <v>1</v>
      </c>
      <c r="Q22" s="657" t="s"/>
      <c r="R22" s="657">
        <v>1</v>
      </c>
      <c r="S22" s="657" t="s"/>
      <c r="T22" s="657">
        <v>1</v>
      </c>
      <c r="U22" s="657" t="s"/>
      <c r="V22" s="657">
        <v>1</v>
      </c>
      <c r="W22" s="657" t="s"/>
      <c r="X22" s="657">
        <v>1</v>
      </c>
      <c r="Y22" s="657" t="s"/>
      <c r="Z22" s="657">
        <v>1</v>
      </c>
      <c r="AA22" s="657" t="s"/>
      <c r="AB22" s="644" t="s">
        <v>485</v>
      </c>
      <c r="AC22" s="652" t="s"/>
      <c r="AD22" s="652" t="s"/>
      <c r="AE22" s="652" t="s"/>
    </row>
    <row r="23" spans="1:31" ht="44" customHeight="true">
      <c r="A23" s="670" t="s">
        <v>178</v>
      </c>
      <c r="B23" s="670" t="s">
        <v>178</v>
      </c>
      <c r="C23" s="519" t="s"/>
      <c r="D23" s="644" t="s"/>
      <c r="E23" s="644" t="s"/>
      <c r="F23" s="657">
        <v>3</v>
      </c>
      <c r="G23" s="657" t="s"/>
      <c r="H23" s="657">
        <v>3</v>
      </c>
      <c r="I23" s="657" t="s"/>
      <c r="J23" s="657">
        <v>3</v>
      </c>
      <c r="K23" s="657" t="s"/>
      <c r="L23" s="657">
        <v>3</v>
      </c>
      <c r="M23" s="657" t="s"/>
      <c r="N23" s="657">
        <v>3</v>
      </c>
      <c r="O23" s="657" t="s"/>
      <c r="P23" s="657">
        <v>3</v>
      </c>
      <c r="Q23" s="657" t="s"/>
      <c r="R23" s="657">
        <v>3</v>
      </c>
      <c r="S23" s="657" t="s"/>
      <c r="T23" s="657">
        <v>3</v>
      </c>
      <c r="U23" s="657" t="s"/>
      <c r="V23" s="657">
        <v>3</v>
      </c>
      <c r="W23" s="657" t="s"/>
      <c r="X23" s="657">
        <v>3</v>
      </c>
      <c r="Y23" s="657" t="s"/>
      <c r="Z23" s="657">
        <v>3</v>
      </c>
      <c r="AA23" s="657" t="s"/>
      <c r="AB23" s="644" t="s">
        <v>399</v>
      </c>
      <c r="AC23" s="652" t="s"/>
      <c r="AD23" s="644" t="s"/>
      <c r="AE23" s="652" t="s"/>
    </row>
    <row r="24" spans="1:31" ht="55" customHeight="true">
      <c r="A24" s="670" t="s">
        <v>884</v>
      </c>
      <c r="B24" s="670" t="s">
        <v>731</v>
      </c>
      <c r="C24" s="519" t="s"/>
      <c r="D24" s="644" t="s"/>
      <c r="E24" s="644" t="s"/>
      <c r="F24" s="657" t="s"/>
      <c r="G24" s="657">
        <v>2</v>
      </c>
      <c r="H24" s="657" t="s"/>
      <c r="I24" s="657">
        <v>2</v>
      </c>
      <c r="J24" s="657" t="s"/>
      <c r="K24" s="657">
        <v>2</v>
      </c>
      <c r="L24" s="657" t="s"/>
      <c r="M24" s="657">
        <v>2</v>
      </c>
      <c r="N24" s="657" t="s"/>
      <c r="O24" s="657">
        <v>2</v>
      </c>
      <c r="P24" s="657" t="s"/>
      <c r="Q24" s="673">
        <v>2</v>
      </c>
      <c r="R24" s="657" t="s"/>
      <c r="S24" s="673">
        <v>2</v>
      </c>
      <c r="T24" s="657" t="s"/>
      <c r="U24" s="673">
        <v>2</v>
      </c>
      <c r="V24" s="657" t="s"/>
      <c r="W24" s="673">
        <v>2</v>
      </c>
      <c r="X24" s="657" t="s"/>
      <c r="Y24" s="673">
        <v>2</v>
      </c>
      <c r="Z24" s="657" t="s"/>
      <c r="AA24" s="673">
        <v>2</v>
      </c>
      <c r="AB24" s="644" t="s">
        <v>389</v>
      </c>
      <c r="AC24" s="652" t="s"/>
      <c r="AD24" s="652" t="s">
        <v>885</v>
      </c>
      <c r="AE24" s="652" t="s">
        <v>886</v>
      </c>
    </row>
    <row r="25" spans="1:31" ht="20" customHeight="true">
      <c r="A25" s="674" t="s">
        <v>597</v>
      </c>
      <c r="B25" s="674" t="s"/>
      <c r="C25" s="519" t="s"/>
      <c r="D25" s="644" t="s"/>
      <c r="E25" s="644" t="s"/>
      <c r="F25" s="657">
        <f>=SUM(F3:F24)</f>
        <v>36</v>
      </c>
      <c r="G25" s="657">
        <f>=SUM(G3:G24)</f>
        <v>10</v>
      </c>
      <c r="H25" s="657">
        <f>=SUM(H3:H24)</f>
        <v>28</v>
      </c>
      <c r="I25" s="657">
        <f>=SUM(I3:I24)</f>
        <v>11</v>
      </c>
      <c r="J25" s="657">
        <f>=SUM(J3:J24)</f>
        <v>30</v>
      </c>
      <c r="K25" s="657">
        <f>=SUM(K3:K24)</f>
        <v>11</v>
      </c>
      <c r="L25" s="657">
        <f>=SUM(L3:L24)</f>
        <v>32</v>
      </c>
      <c r="M25" s="657">
        <f>=SUM(M3:M24)</f>
        <v>11</v>
      </c>
      <c r="N25" s="657">
        <f>=SUM(N3:N24)</f>
        <v>32</v>
      </c>
      <c r="O25" s="657">
        <f>=SUM(O3:O24)</f>
        <v>12</v>
      </c>
      <c r="P25" s="657">
        <f>=SUM(P3:P24)</f>
        <v>32</v>
      </c>
      <c r="Q25" s="657">
        <f>=SUM(Q3:Q24)</f>
        <v>10</v>
      </c>
      <c r="R25" s="657">
        <f>=SUM(R3:R24)</f>
        <v>33</v>
      </c>
      <c r="S25" s="657">
        <f>=SUM(S3:S24)</f>
        <v>10</v>
      </c>
      <c r="T25" s="657">
        <f>=SUM(T3:T24)</f>
        <v>29</v>
      </c>
      <c r="U25" s="657">
        <f>=SUM(U3:U24)</f>
        <v>10</v>
      </c>
      <c r="V25" s="657">
        <f>=SUM(V3:V24)</f>
        <v>22</v>
      </c>
      <c r="W25" s="657">
        <f>=SUM(W3:W24)</f>
        <v>5</v>
      </c>
      <c r="X25" s="657">
        <f>=SUM(X3:X24)</f>
        <v>22</v>
      </c>
      <c r="Y25" s="657">
        <f>=SUM(Y3:Y24)</f>
        <v>7</v>
      </c>
      <c r="Z25" s="657">
        <f>=SUM(Z3:Z24)</f>
        <v>22</v>
      </c>
      <c r="AA25" s="657">
        <f>=SUM(AA3:AA24)</f>
        <v>7</v>
      </c>
      <c r="AB25" s="644" t="s"/>
      <c r="AC25" s="652" t="s"/>
      <c r="AD25" s="644" t="s"/>
      <c r="AE25" s="652" t="s"/>
    </row>
    <row r="26" spans="1:31" ht="20" customHeight="true">
      <c r="A26" s="674" t="s">
        <v>887</v>
      </c>
      <c r="B26" s="674" t="s"/>
      <c r="C26" s="519" t="s"/>
      <c r="D26" s="644" t="s"/>
      <c r="E26" s="644" t="s"/>
      <c r="F26" s="643">
        <v>35</v>
      </c>
      <c r="G26" s="643">
        <v>11</v>
      </c>
      <c r="H26" s="643">
        <v>34</v>
      </c>
      <c r="I26" s="643">
        <v>10</v>
      </c>
      <c r="J26" s="643">
        <v>34</v>
      </c>
      <c r="K26" s="643">
        <v>10</v>
      </c>
      <c r="L26" s="643">
        <v>34</v>
      </c>
      <c r="M26" s="643">
        <v>10</v>
      </c>
      <c r="N26" s="643">
        <v>34</v>
      </c>
      <c r="O26" s="643">
        <v>10</v>
      </c>
      <c r="P26" s="643">
        <v>33</v>
      </c>
      <c r="Q26" s="643">
        <v>10</v>
      </c>
      <c r="R26" s="643">
        <v>33</v>
      </c>
      <c r="S26" s="643">
        <v>10</v>
      </c>
      <c r="T26" s="643">
        <v>33</v>
      </c>
      <c r="U26" s="643">
        <v>10</v>
      </c>
      <c r="V26" s="643">
        <v>33</v>
      </c>
      <c r="W26" s="643">
        <v>10</v>
      </c>
      <c r="X26" s="643">
        <v>33</v>
      </c>
      <c r="Y26" s="643">
        <v>10</v>
      </c>
      <c r="Z26" s="643">
        <v>33</v>
      </c>
      <c r="AA26" s="643">
        <v>10</v>
      </c>
      <c r="AB26" s="644" t="s"/>
      <c r="AC26" s="652" t="s"/>
      <c r="AD26" s="644" t="s"/>
      <c r="AE26" s="652" t="s"/>
    </row>
    <row r="27" spans="1:31" ht="20" customHeight="true">
      <c r="A27" s="642" t="s">
        <v>888</v>
      </c>
      <c r="B27" s="642" t="s"/>
      <c r="C27" s="519" t="s"/>
      <c r="D27" s="644" t="s"/>
      <c r="E27" s="644" t="s"/>
      <c r="F27" s="643">
        <f>=F26-F25</f>
        <v>-1</v>
      </c>
      <c r="G27" s="643">
        <f>=G26-G25</f>
        <v>1</v>
      </c>
      <c r="H27" s="643">
        <f>=H26-H25</f>
        <v>6</v>
      </c>
      <c r="I27" s="643">
        <f>=I26-I25</f>
        <v>-1</v>
      </c>
      <c r="J27" s="643">
        <f>=J26-J25</f>
        <v>4</v>
      </c>
      <c r="K27" s="643">
        <f>=K26-K25</f>
        <v>-1</v>
      </c>
      <c r="L27" s="643">
        <f>=L26-L25</f>
        <v>2</v>
      </c>
      <c r="M27" s="643">
        <f>=M26-M25</f>
        <v>-1</v>
      </c>
      <c r="N27" s="643">
        <f>=N26-N25</f>
        <v>2</v>
      </c>
      <c r="O27" s="643">
        <f>=O26-O25</f>
        <v>-2</v>
      </c>
      <c r="P27" s="643">
        <f>=P26-P25</f>
        <v>1</v>
      </c>
      <c r="Q27" s="643">
        <f>=Q26-Q25</f>
        <v>0</v>
      </c>
      <c r="R27" s="643">
        <f>=R26-R25</f>
        <v>0</v>
      </c>
      <c r="S27" s="643">
        <f>=S26-S25</f>
        <v>0</v>
      </c>
      <c r="T27" s="643">
        <f>=T26-T25</f>
        <v>4</v>
      </c>
      <c r="U27" s="643">
        <f>=U26-U25</f>
        <v>0</v>
      </c>
      <c r="V27" s="643">
        <f>=V26-V25</f>
        <v>11</v>
      </c>
      <c r="W27" s="643">
        <f>=W26-W25</f>
        <v>5</v>
      </c>
      <c r="X27" s="643">
        <f>=X26-X25</f>
        <v>11</v>
      </c>
      <c r="Y27" s="643">
        <f>=Y26-Y25</f>
        <v>3</v>
      </c>
      <c r="Z27" s="643">
        <f>=Z26-Z25</f>
        <v>11</v>
      </c>
      <c r="AA27" s="643">
        <f>=AA26-AA25</f>
        <v>3</v>
      </c>
      <c r="AB27" s="644" t="s"/>
      <c r="AC27" s="652" t="s"/>
      <c r="AD27" s="644" t="s"/>
      <c r="AE27" s="652" t="s"/>
    </row>
    <row r="28" spans="1:31" ht="17.25">
      <c r="A28" s="675" t="s"/>
      <c r="B28" s="675" t="s"/>
      <c r="C28" s="675" t="s"/>
      <c r="F28" s="643" t="s"/>
      <c r="G28" s="643" t="s"/>
      <c r="H28" s="643" t="s"/>
      <c r="I28" s="643" t="s"/>
      <c r="J28" s="643" t="s"/>
      <c r="K28" s="643" t="s"/>
      <c r="L28" s="643" t="s"/>
      <c r="M28" s="643" t="s"/>
      <c r="N28" s="643" t="s"/>
      <c r="O28" s="643" t="s"/>
      <c r="P28" s="643" t="s"/>
      <c r="Q28" s="643" t="s"/>
      <c r="R28" s="643" t="s"/>
      <c r="S28" s="643" t="s"/>
      <c r="T28" s="643" t="s"/>
      <c r="U28" s="643" t="s"/>
      <c r="V28" s="643" t="s"/>
      <c r="W28" s="643" t="s"/>
      <c r="X28" s="643" t="s"/>
      <c r="Y28" s="643" t="s"/>
      <c r="Z28" s="643" t="s"/>
      <c r="AA28" s="643" t="s"/>
      <c r="AC28" s="676" t="s"/>
      <c r="AD28" s="677" t="s"/>
      <c r="AE28" s="677" t="s"/>
    </row>
    <row r="29" spans="1:31" ht="14.25">
      <c r="A29" s="675" t="s"/>
      <c r="B29" s="675" t="s"/>
      <c r="C29" s="675" t="s"/>
      <c r="AC29" s="676" t="s"/>
      <c r="AD29" s="677" t="s"/>
      <c r="AE29" s="677" t="s"/>
    </row>
    <row r="30" spans="1:31" ht="14.25">
      <c r="A30" s="675" t="s"/>
      <c r="B30" s="675" t="s"/>
      <c r="C30" s="675" t="s"/>
      <c r="AC30" s="676" t="s"/>
      <c r="AD30" s="677" t="s"/>
      <c r="AE30" s="677" t="s"/>
    </row>
    <row r="31" spans="1:31" ht="14.25">
      <c r="A31" s="675" t="s"/>
      <c r="B31" s="675" t="s"/>
      <c r="C31" s="675" t="s"/>
      <c r="AC31" s="676" t="s"/>
      <c r="AD31" s="677" t="s"/>
      <c r="AE31" s="677" t="s"/>
    </row>
    <row r="32" spans="1:31" ht="14.25">
      <c r="A32" s="675" t="s"/>
      <c r="B32" s="675" t="s"/>
      <c r="C32" s="675" t="s"/>
      <c r="AC32" s="676" t="s"/>
      <c r="AD32" s="677" t="s"/>
      <c r="AE32" s="677" t="s"/>
    </row>
    <row r="33" spans="1:31" ht="14.25">
      <c r="A33" s="675" t="s"/>
      <c r="B33" s="675" t="s"/>
      <c r="C33" s="675" t="s"/>
      <c r="AC33" s="676" t="s"/>
      <c r="AD33" s="677" t="s"/>
      <c r="AE33" s="677" t="s"/>
    </row>
    <row r="34" spans="1:31" ht="14.25">
      <c r="A34" s="675" t="s"/>
      <c r="B34" s="675" t="s"/>
      <c r="C34" s="675" t="s"/>
      <c r="AC34" s="676" t="s"/>
      <c r="AD34" s="677" t="s"/>
      <c r="AE34" s="677" t="s"/>
    </row>
    <row r="35" spans="1:31" ht="14.25">
      <c r="A35" s="675" t="s"/>
      <c r="B35" s="675" t="s"/>
      <c r="C35" s="675" t="s"/>
      <c r="AC35" s="676" t="s"/>
      <c r="AD35" s="677" t="s"/>
      <c r="AE35" s="677" t="s"/>
    </row>
    <row r="36" spans="1:31" ht="14.25">
      <c r="A36" s="675" t="s"/>
      <c r="B36" s="675" t="s"/>
      <c r="C36" s="675" t="s"/>
      <c r="AC36" s="676" t="s"/>
      <c r="AD36" s="677" t="s"/>
      <c r="AE36" s="677" t="s"/>
    </row>
    <row r="37" spans="1:31" ht="14.25">
      <c r="A37" s="675" t="s"/>
      <c r="B37" s="675" t="s"/>
      <c r="C37" s="675" t="s"/>
      <c r="AC37" s="676" t="s"/>
      <c r="AD37" s="677" t="s"/>
      <c r="AE37" s="677" t="s"/>
    </row>
    <row r="38" spans="1:31" ht="14.25">
      <c r="A38" s="675" t="s"/>
      <c r="B38" s="675" t="s"/>
      <c r="C38" s="675" t="s"/>
      <c r="AC38" s="676" t="s"/>
      <c r="AD38" s="677" t="s"/>
      <c r="AE38" s="677" t="s"/>
    </row>
    <row r="39" spans="1:31" ht="14.25">
      <c r="A39" s="675" t="s"/>
      <c r="B39" s="675" t="s"/>
      <c r="C39" s="675" t="s"/>
      <c r="AC39" s="676" t="s"/>
      <c r="AD39" s="677" t="s"/>
      <c r="AE39" s="677" t="s"/>
    </row>
    <row r="40" spans="1:31" ht="14.25">
      <c r="A40" s="675" t="s"/>
      <c r="B40" s="675" t="s"/>
      <c r="C40" s="675" t="s"/>
      <c r="AC40" s="676" t="s"/>
      <c r="AD40" s="677" t="s"/>
      <c r="AE40" s="677" t="s"/>
    </row>
    <row r="41" spans="1:31" ht="14.25">
      <c r="A41" s="675" t="s"/>
      <c r="B41" s="675" t="s"/>
      <c r="C41" s="675" t="s"/>
      <c r="AC41" s="676" t="s"/>
      <c r="AD41" s="677" t="s"/>
      <c r="AE41" s="677" t="s"/>
    </row>
    <row r="42" spans="1:31" ht="14.25">
      <c r="A42" s="675" t="s"/>
      <c r="B42" s="675" t="s"/>
      <c r="C42" s="675" t="s"/>
      <c r="AC42" s="676" t="s"/>
      <c r="AD42" s="677" t="s"/>
      <c r="AE42" s="677" t="s"/>
    </row>
    <row r="43" spans="1:31" ht="14.25">
      <c r="A43" s="675" t="s"/>
      <c r="B43" s="675" t="s"/>
      <c r="C43" s="675" t="s"/>
      <c r="AC43" s="676" t="s"/>
      <c r="AD43" s="677" t="s"/>
      <c r="AE43" s="677" t="s"/>
    </row>
    <row r="44" spans="1:31" ht="14.25">
      <c r="A44" s="675" t="s"/>
      <c r="B44" s="675" t="s"/>
      <c r="C44" s="675" t="s"/>
      <c r="AC44" s="676" t="s"/>
      <c r="AD44" s="677" t="s"/>
      <c r="AE44" s="677" t="s"/>
    </row>
    <row r="45" spans="1:31" ht="14.25">
      <c r="A45" s="675" t="s"/>
      <c r="B45" s="675" t="s"/>
      <c r="C45" s="675" t="s"/>
      <c r="AC45" s="676" t="s"/>
      <c r="AD45" s="677" t="s"/>
      <c r="AE45" s="677" t="s"/>
    </row>
    <row r="46" spans="1:31" ht="14.25">
      <c r="A46" s="675" t="s"/>
      <c r="B46" s="675" t="s"/>
      <c r="C46" s="675" t="s"/>
      <c r="AC46" s="676" t="s"/>
      <c r="AD46" s="677" t="s"/>
      <c r="AE46" s="677" t="s"/>
    </row>
    <row r="47" spans="1:31" ht="14.25">
      <c r="A47" s="675" t="s"/>
      <c r="B47" s="675" t="s"/>
      <c r="C47" s="675" t="s"/>
      <c r="AC47" s="676" t="s"/>
      <c r="AD47" s="677" t="s"/>
      <c r="AE47" s="677" t="s"/>
    </row>
    <row r="48" spans="1:31" ht="14.25">
      <c r="A48" s="675" t="s"/>
      <c r="B48" s="675" t="s"/>
      <c r="C48" s="675" t="s"/>
      <c r="AC48" s="676" t="s"/>
      <c r="AD48" s="677" t="s"/>
      <c r="AE48" s="677" t="s"/>
    </row>
    <row r="49" spans="1:31" ht="14.25">
      <c r="A49" s="675" t="s"/>
      <c r="B49" s="675" t="s"/>
      <c r="C49" s="675" t="s"/>
      <c r="AC49" s="676" t="s"/>
      <c r="AD49" s="677" t="s"/>
      <c r="AE49" s="677" t="s"/>
    </row>
    <row r="50" spans="1:31" ht="14.25">
      <c r="A50" s="675" t="s"/>
      <c r="B50" s="675" t="s"/>
      <c r="C50" s="675" t="s"/>
      <c r="AC50" s="676" t="s"/>
      <c r="AD50" s="677" t="s"/>
      <c r="AE50" s="677" t="s"/>
    </row>
    <row r="51" spans="1:31" ht="14.25">
      <c r="A51" s="675" t="s"/>
      <c r="B51" s="675" t="s"/>
      <c r="C51" s="675" t="s"/>
      <c r="AC51" s="676" t="s"/>
      <c r="AD51" s="677" t="s"/>
      <c r="AE51" s="677" t="s"/>
    </row>
    <row r="52" spans="1:31" ht="14.25">
      <c r="A52" s="675" t="s"/>
      <c r="B52" s="675" t="s"/>
      <c r="C52" s="675" t="s"/>
      <c r="AC52" s="676" t="s"/>
      <c r="AD52" s="677" t="s"/>
      <c r="AE52" s="677" t="s"/>
    </row>
    <row r="53" spans="1:31" ht="14.25">
      <c r="A53" s="675" t="s"/>
      <c r="B53" s="675" t="s"/>
      <c r="C53" s="675" t="s"/>
      <c r="AC53" s="676" t="s"/>
      <c r="AD53" s="677" t="s"/>
      <c r="AE53" s="677" t="s"/>
    </row>
    <row r="54" spans="1:31" ht="14.25">
      <c r="A54" s="675" t="s"/>
      <c r="B54" s="675" t="s"/>
      <c r="C54" s="675" t="s"/>
      <c r="AC54" s="676" t="s"/>
      <c r="AD54" s="677" t="s"/>
      <c r="AE54" s="677" t="s"/>
    </row>
    <row r="55" spans="1:31" ht="14.25">
      <c r="A55" s="675" t="s"/>
      <c r="B55" s="675" t="s"/>
      <c r="C55" s="675" t="s"/>
      <c r="AC55" s="676" t="s"/>
      <c r="AD55" s="677" t="s"/>
      <c r="AE55" s="677" t="s"/>
    </row>
    <row r="56" spans="1:31" ht="14.25">
      <c r="A56" s="675" t="s"/>
      <c r="B56" s="675" t="s"/>
      <c r="C56" s="675" t="s"/>
      <c r="AC56" s="676" t="s"/>
      <c r="AD56" s="677" t="s"/>
      <c r="AE56" s="677" t="s"/>
    </row>
    <row r="57" spans="1:31" ht="14.25">
      <c r="A57" s="675" t="s"/>
      <c r="B57" s="675" t="s"/>
      <c r="C57" s="675" t="s"/>
      <c r="AC57" s="676" t="s"/>
      <c r="AD57" s="677" t="s"/>
      <c r="AE57" s="677" t="s"/>
    </row>
    <row r="58" spans="1:31" ht="14.25">
      <c r="A58" s="675" t="s"/>
      <c r="B58" s="675" t="s"/>
      <c r="C58" s="675" t="s"/>
      <c r="AC58" s="676" t="s"/>
      <c r="AD58" s="677" t="s"/>
      <c r="AE58" s="677" t="s"/>
    </row>
    <row r="59" spans="1:31" ht="14.25">
      <c r="A59" s="675" t="s"/>
      <c r="B59" s="675" t="s"/>
      <c r="C59" s="675" t="s"/>
      <c r="AC59" s="676" t="s"/>
      <c r="AD59" s="677" t="s"/>
      <c r="AE59" s="677" t="s"/>
    </row>
    <row r="60" spans="1:31" ht="14.25">
      <c r="A60" s="675" t="s"/>
      <c r="B60" s="675" t="s"/>
      <c r="C60" s="675" t="s"/>
      <c r="AC60" s="676" t="s"/>
      <c r="AD60" s="677" t="s"/>
      <c r="AE60" s="677" t="s"/>
    </row>
    <row r="61" spans="1:31" ht="14.25">
      <c r="A61" s="675" t="s"/>
      <c r="B61" s="675" t="s"/>
      <c r="C61" s="675" t="s"/>
      <c r="AC61" s="676" t="s"/>
      <c r="AD61" s="677" t="s"/>
      <c r="AE61" s="677" t="s"/>
    </row>
    <row r="62" spans="1:31" ht="14.25">
      <c r="A62" s="675" t="s"/>
      <c r="B62" s="675" t="s"/>
      <c r="C62" s="675" t="s"/>
      <c r="AC62" s="676" t="s"/>
      <c r="AD62" s="677" t="s"/>
      <c r="AE62" s="677" t="s"/>
    </row>
    <row r="63" spans="1:31" ht="14.25">
      <c r="A63" s="675" t="s"/>
      <c r="B63" s="675" t="s"/>
      <c r="C63" s="675" t="s"/>
      <c r="AC63" s="676" t="s"/>
      <c r="AD63" s="677" t="s"/>
      <c r="AE63" s="677" t="s"/>
    </row>
    <row r="64" spans="1:31" ht="14.25">
      <c r="A64" s="675" t="s"/>
      <c r="B64" s="675" t="s"/>
      <c r="C64" s="675" t="s"/>
      <c r="AC64" s="676" t="s"/>
      <c r="AD64" s="677" t="s"/>
      <c r="AE64" s="677" t="s"/>
    </row>
    <row r="65" spans="1:31" ht="14.25">
      <c r="A65" s="675" t="s"/>
      <c r="B65" s="675" t="s"/>
      <c r="C65" s="675" t="s"/>
      <c r="AC65" s="676" t="s"/>
      <c r="AD65" s="677" t="s"/>
      <c r="AE65" s="677" t="s"/>
    </row>
    <row r="66" spans="1:31" ht="14.25">
      <c r="A66" s="675" t="s"/>
      <c r="B66" s="675" t="s"/>
      <c r="C66" s="675" t="s"/>
      <c r="AC66" s="676" t="s"/>
      <c r="AD66" s="677" t="s"/>
      <c r="AE66" s="677" t="s"/>
    </row>
    <row r="67" spans="1:31" ht="14.25">
      <c r="A67" s="675" t="s"/>
      <c r="B67" s="675" t="s"/>
      <c r="C67" s="675" t="s"/>
      <c r="AC67" s="676" t="s"/>
      <c r="AD67" s="677" t="s"/>
      <c r="AE67" s="677" t="s"/>
    </row>
    <row r="68" spans="1:31" ht="14.25">
      <c r="A68" s="675" t="s"/>
      <c r="B68" s="675" t="s"/>
      <c r="C68" s="675" t="s"/>
      <c r="AC68" s="676" t="s"/>
      <c r="AD68" s="677" t="s"/>
      <c r="AE68" s="677" t="s"/>
    </row>
    <row r="69" spans="1:31" ht="14.25">
      <c r="A69" s="675" t="s"/>
      <c r="B69" s="675" t="s"/>
      <c r="C69" s="675" t="s"/>
      <c r="AC69" s="676" t="s"/>
      <c r="AD69" s="677" t="s"/>
      <c r="AE69" s="677" t="s"/>
    </row>
    <row r="70" spans="1:31" ht="14.25">
      <c r="A70" s="675" t="s"/>
      <c r="B70" s="675" t="s"/>
      <c r="C70" s="675" t="s"/>
      <c r="AC70" s="676" t="s"/>
      <c r="AD70" s="677" t="s"/>
      <c r="AE70" s="677" t="s"/>
    </row>
    <row r="71" spans="1:31" ht="14.25">
      <c r="A71" s="675" t="s"/>
      <c r="B71" s="675" t="s"/>
      <c r="C71" s="675" t="s"/>
      <c r="AC71" s="676" t="s"/>
      <c r="AD71" s="677" t="s"/>
      <c r="AE71" s="677" t="s"/>
    </row>
    <row r="72" spans="1:31" ht="14.25">
      <c r="A72" s="675" t="s"/>
      <c r="B72" s="675" t="s"/>
      <c r="C72" s="675" t="s"/>
      <c r="AC72" s="676" t="s"/>
      <c r="AD72" s="677" t="s"/>
      <c r="AE72" s="677" t="s"/>
    </row>
    <row r="73" spans="1:31" ht="14.25">
      <c r="A73" s="675" t="s"/>
      <c r="B73" s="675" t="s"/>
      <c r="C73" s="675" t="s"/>
      <c r="AC73" s="676" t="s"/>
      <c r="AD73" s="677" t="s"/>
      <c r="AE73" s="677" t="s"/>
    </row>
    <row r="74" spans="1:31" ht="14.25">
      <c r="A74" s="675" t="s"/>
      <c r="B74" s="675" t="s"/>
      <c r="C74" s="675" t="s"/>
      <c r="AC74" s="676" t="s"/>
      <c r="AD74" s="677" t="s"/>
      <c r="AE74" s="677" t="s"/>
    </row>
    <row r="75" spans="1:31" ht="14.25">
      <c r="A75" s="675" t="s"/>
      <c r="B75" s="675" t="s"/>
      <c r="C75" s="675" t="s"/>
      <c r="AC75" s="676" t="s"/>
      <c r="AD75" s="677" t="s"/>
      <c r="AE75" s="677" t="s"/>
    </row>
    <row r="76" spans="1:31" ht="14.25">
      <c r="A76" s="675" t="s"/>
      <c r="B76" s="675" t="s"/>
      <c r="C76" s="675" t="s"/>
      <c r="AC76" s="676" t="s"/>
      <c r="AD76" s="677" t="s"/>
      <c r="AE76" s="677" t="s"/>
    </row>
    <row r="77" spans="1:31" ht="14.25">
      <c r="A77" s="675" t="s"/>
      <c r="B77" s="675" t="s"/>
      <c r="C77" s="675" t="s"/>
      <c r="AC77" s="676" t="s"/>
      <c r="AD77" s="677" t="s"/>
      <c r="AE77" s="677" t="s"/>
    </row>
    <row r="78" spans="1:31" ht="14.25">
      <c r="A78" s="675" t="s"/>
      <c r="B78" s="675" t="s"/>
      <c r="C78" s="675" t="s"/>
      <c r="AC78" s="676" t="s"/>
      <c r="AD78" s="677" t="s"/>
      <c r="AE78" s="677" t="s"/>
    </row>
    <row r="79" spans="1:31" ht="14.25">
      <c r="A79" s="675" t="s"/>
      <c r="B79" s="675" t="s"/>
      <c r="C79" s="675" t="s"/>
      <c r="AC79" s="676" t="s"/>
      <c r="AD79" s="677" t="s"/>
      <c r="AE79" s="677" t="s"/>
    </row>
    <row r="80" spans="1:31" ht="14.25">
      <c r="A80" s="675" t="s"/>
      <c r="B80" s="675" t="s"/>
      <c r="C80" s="675" t="s"/>
      <c r="AC80" s="676" t="s"/>
      <c r="AD80" s="677" t="s"/>
      <c r="AE80" s="677" t="s"/>
    </row>
    <row r="81" spans="1:31" ht="14.25">
      <c r="A81" s="675" t="s"/>
      <c r="B81" s="675" t="s"/>
      <c r="C81" s="675" t="s"/>
      <c r="AC81" s="676" t="s"/>
      <c r="AD81" s="677" t="s"/>
      <c r="AE81" s="677" t="s"/>
    </row>
    <row r="82" spans="1:31" ht="14.25">
      <c r="A82" s="675" t="s"/>
      <c r="B82" s="675" t="s"/>
      <c r="C82" s="675" t="s"/>
      <c r="AC82" s="676" t="s"/>
      <c r="AD82" s="677" t="s"/>
      <c r="AE82" s="677" t="s"/>
    </row>
    <row r="83" spans="1:31" ht="14.25">
      <c r="A83" s="675" t="s"/>
      <c r="B83" s="675" t="s"/>
      <c r="C83" s="675" t="s"/>
      <c r="AC83" s="676" t="s"/>
      <c r="AD83" s="677" t="s"/>
      <c r="AE83" s="677" t="s"/>
    </row>
    <row r="84" spans="1:31" ht="14.25">
      <c r="A84" s="675" t="s"/>
      <c r="B84" s="675" t="s"/>
      <c r="C84" s="675" t="s"/>
      <c r="AC84" s="676" t="s"/>
      <c r="AD84" s="677" t="s"/>
      <c r="AE84" s="677" t="s"/>
    </row>
    <row r="85" spans="1:31" ht="14.25">
      <c r="A85" s="675" t="s"/>
      <c r="B85" s="675" t="s"/>
      <c r="C85" s="675" t="s"/>
      <c r="AC85" s="676" t="s"/>
      <c r="AD85" s="677" t="s"/>
      <c r="AE85" s="677" t="s"/>
    </row>
    <row r="86" spans="1:31" ht="14.25">
      <c r="A86" s="675" t="s"/>
      <c r="B86" s="675" t="s"/>
      <c r="C86" s="675" t="s"/>
      <c r="AC86" s="676" t="s"/>
      <c r="AD86" s="677" t="s"/>
      <c r="AE86" s="677" t="s"/>
    </row>
    <row r="87" spans="1:31" ht="14.25">
      <c r="A87" s="675" t="s"/>
      <c r="B87" s="675" t="s"/>
      <c r="C87" s="675" t="s"/>
      <c r="AC87" s="676" t="s"/>
      <c r="AD87" s="677" t="s"/>
      <c r="AE87" s="677" t="s"/>
    </row>
    <row r="88" spans="1:31" ht="14.25">
      <c r="A88" s="675" t="s"/>
      <c r="B88" s="675" t="s"/>
      <c r="C88" s="675" t="s"/>
      <c r="AC88" s="676" t="s"/>
      <c r="AD88" s="677" t="s"/>
      <c r="AE88" s="677" t="s"/>
    </row>
    <row r="89" spans="1:31" ht="14.25">
      <c r="A89" s="675" t="s"/>
      <c r="B89" s="675" t="s"/>
      <c r="C89" s="675" t="s"/>
      <c r="AC89" s="676" t="s"/>
      <c r="AD89" s="677" t="s"/>
      <c r="AE89" s="677" t="s"/>
    </row>
    <row r="90" spans="1:31" ht="14.25">
      <c r="A90" s="675" t="s"/>
      <c r="B90" s="675" t="s"/>
      <c r="C90" s="675" t="s"/>
      <c r="AC90" s="676" t="s"/>
      <c r="AD90" s="677" t="s"/>
      <c r="AE90" s="677" t="s"/>
    </row>
    <row r="91" spans="1:31" ht="14.25">
      <c r="A91" s="675" t="s"/>
      <c r="B91" s="675" t="s"/>
      <c r="C91" s="675" t="s"/>
      <c r="AC91" s="676" t="s"/>
      <c r="AD91" s="677" t="s"/>
      <c r="AE91" s="677" t="s"/>
    </row>
    <row r="92" spans="1:31" ht="14.25">
      <c r="A92" s="675" t="s"/>
      <c r="B92" s="675" t="s"/>
      <c r="C92" s="675" t="s"/>
      <c r="AC92" s="676" t="s"/>
      <c r="AD92" s="677" t="s"/>
      <c r="AE92" s="677" t="s"/>
    </row>
    <row r="93" spans="1:31" ht="14.25">
      <c r="A93" s="675" t="s"/>
      <c r="B93" s="675" t="s"/>
      <c r="C93" s="675" t="s"/>
      <c r="AC93" s="676" t="s"/>
      <c r="AD93" s="677" t="s"/>
      <c r="AE93" s="677" t="s"/>
    </row>
    <row r="94" spans="1:31" ht="14.25">
      <c r="A94" s="675" t="s"/>
      <c r="B94" s="675" t="s"/>
      <c r="C94" s="675" t="s"/>
      <c r="AC94" s="676" t="s"/>
      <c r="AD94" s="677" t="s"/>
      <c r="AE94" s="677" t="s"/>
    </row>
    <row r="95" spans="1:31" ht="14.25">
      <c r="A95" s="675" t="s"/>
      <c r="B95" s="675" t="s"/>
      <c r="C95" s="675" t="s"/>
      <c r="AC95" s="676" t="s"/>
      <c r="AD95" s="677" t="s"/>
      <c r="AE95" s="677" t="s"/>
    </row>
    <row r="96" spans="1:31" ht="14.25">
      <c r="A96" s="675" t="s"/>
      <c r="B96" s="675" t="s"/>
      <c r="C96" s="675" t="s"/>
      <c r="AC96" s="676" t="s"/>
      <c r="AD96" s="677" t="s"/>
      <c r="AE96" s="677" t="s"/>
    </row>
    <row r="97" spans="1:31" ht="14.25">
      <c r="A97" s="675" t="s"/>
      <c r="B97" s="675" t="s"/>
      <c r="C97" s="675" t="s"/>
      <c r="AC97" s="676" t="s"/>
      <c r="AD97" s="677" t="s"/>
      <c r="AE97" s="677" t="s"/>
    </row>
    <row r="98" spans="1:31" ht="14.25">
      <c r="A98" s="675" t="s"/>
      <c r="B98" s="675" t="s"/>
      <c r="C98" s="675" t="s"/>
      <c r="AC98" s="676" t="s"/>
      <c r="AD98" s="677" t="s"/>
      <c r="AE98" s="677" t="s"/>
    </row>
    <row r="99" spans="1:31" ht="14.25">
      <c r="A99" s="675" t="s"/>
      <c r="B99" s="675" t="s"/>
      <c r="C99" s="675" t="s"/>
      <c r="AC99" s="676" t="s"/>
      <c r="AD99" s="677" t="s"/>
      <c r="AE99" s="677" t="s"/>
    </row>
    <row r="100" spans="1:31" ht="14.25">
      <c r="A100" s="675" t="s"/>
      <c r="B100" s="675" t="s"/>
      <c r="C100" s="675" t="s"/>
      <c r="AC100" s="676" t="s"/>
      <c r="AD100" s="677" t="s"/>
      <c r="AE100" s="677" t="s"/>
    </row>
    <row r="101" spans="1:31" ht="14.25">
      <c r="A101" s="675" t="s"/>
      <c r="B101" s="675" t="s"/>
      <c r="C101" s="675" t="s"/>
      <c r="AC101" s="676" t="s"/>
      <c r="AD101" s="677" t="s"/>
      <c r="AE101" s="677" t="s"/>
    </row>
    <row r="102" spans="1:31" ht="14.25">
      <c r="A102" s="675" t="s"/>
      <c r="B102" s="675" t="s"/>
      <c r="C102" s="675" t="s"/>
      <c r="AC102" s="676" t="s"/>
      <c r="AD102" s="677" t="s"/>
      <c r="AE102" s="677" t="s"/>
    </row>
    <row r="103" spans="1:31" ht="14.25">
      <c r="A103" s="675" t="s"/>
      <c r="B103" s="675" t="s"/>
      <c r="C103" s="675" t="s"/>
      <c r="AC103" s="676" t="s"/>
      <c r="AD103" s="677" t="s"/>
      <c r="AE103" s="677" t="s"/>
    </row>
    <row r="104" spans="1:31" ht="14.25">
      <c r="A104" s="675" t="s"/>
      <c r="B104" s="675" t="s"/>
      <c r="C104" s="675" t="s"/>
      <c r="AC104" s="676" t="s"/>
      <c r="AD104" s="677" t="s"/>
      <c r="AE104" s="677" t="s"/>
    </row>
    <row r="105" spans="1:31" ht="14.25">
      <c r="A105" s="675" t="s"/>
      <c r="B105" s="675" t="s"/>
      <c r="C105" s="675" t="s"/>
      <c r="AC105" s="676" t="s"/>
      <c r="AD105" s="677" t="s"/>
      <c r="AE105" s="677" t="s"/>
    </row>
    <row r="106" spans="1:31" ht="14.25">
      <c r="A106" s="675" t="s"/>
      <c r="B106" s="675" t="s"/>
      <c r="C106" s="675" t="s"/>
      <c r="AC106" s="676" t="s"/>
      <c r="AD106" s="677" t="s"/>
      <c r="AE106" s="677" t="s"/>
    </row>
    <row r="107" spans="1:31" ht="14.25">
      <c r="A107" s="675" t="s"/>
      <c r="B107" s="675" t="s"/>
      <c r="C107" s="675" t="s"/>
      <c r="AC107" s="676" t="s"/>
      <c r="AD107" s="677" t="s"/>
      <c r="AE107" s="677" t="s"/>
    </row>
    <row r="108" spans="1:31" ht="14.25">
      <c r="A108" s="675" t="s"/>
      <c r="B108" s="675" t="s"/>
      <c r="C108" s="675" t="s"/>
      <c r="AC108" s="676" t="s"/>
      <c r="AD108" s="677" t="s"/>
      <c r="AE108" s="677" t="s"/>
    </row>
    <row r="109" spans="1:31" ht="14.25">
      <c r="A109" s="675" t="s"/>
      <c r="B109" s="675" t="s"/>
      <c r="C109" s="675" t="s"/>
      <c r="AC109" s="676" t="s"/>
      <c r="AD109" s="677" t="s"/>
      <c r="AE109" s="677" t="s"/>
    </row>
    <row r="110" spans="1:31" ht="14.25">
      <c r="A110" s="675" t="s"/>
      <c r="B110" s="675" t="s"/>
      <c r="C110" s="675" t="s"/>
      <c r="AC110" s="676" t="s"/>
      <c r="AD110" s="677" t="s"/>
      <c r="AE110" s="677" t="s"/>
    </row>
    <row r="111" spans="1:31" ht="14.25">
      <c r="A111" s="675" t="s"/>
      <c r="B111" s="675" t="s"/>
      <c r="C111" s="675" t="s"/>
      <c r="AC111" s="676" t="s"/>
      <c r="AD111" s="677" t="s"/>
      <c r="AE111" s="677" t="s"/>
    </row>
    <row r="112" spans="1:31" ht="14.25">
      <c r="A112" s="675" t="s"/>
      <c r="B112" s="675" t="s"/>
      <c r="C112" s="675" t="s"/>
      <c r="AC112" s="676" t="s"/>
      <c r="AD112" s="677" t="s"/>
      <c r="AE112" s="677" t="s"/>
    </row>
    <row r="113" spans="1:31" ht="14.25">
      <c r="A113" s="675" t="s"/>
      <c r="B113" s="675" t="s"/>
      <c r="C113" s="675" t="s"/>
      <c r="AC113" s="676" t="s"/>
      <c r="AD113" s="677" t="s"/>
      <c r="AE113" s="677" t="s"/>
    </row>
    <row r="114" spans="1:31" ht="14.25">
      <c r="A114" s="675" t="s"/>
      <c r="B114" s="675" t="s"/>
      <c r="C114" s="675" t="s"/>
      <c r="AC114" s="676" t="s"/>
      <c r="AD114" s="677" t="s"/>
      <c r="AE114" s="677" t="s"/>
    </row>
    <row r="115" spans="1:31" ht="14.25">
      <c r="A115" s="675" t="s"/>
      <c r="B115" s="675" t="s"/>
      <c r="C115" s="675" t="s"/>
      <c r="AC115" s="676" t="s"/>
      <c r="AD115" s="677" t="s"/>
      <c r="AE115" s="677" t="s"/>
    </row>
    <row r="116" spans="1:31" ht="14.25">
      <c r="A116" s="675" t="s"/>
      <c r="B116" s="675" t="s"/>
      <c r="C116" s="675" t="s"/>
      <c r="AC116" s="676" t="s"/>
      <c r="AD116" s="677" t="s"/>
      <c r="AE116" s="677" t="s"/>
    </row>
    <row r="117" spans="1:31" ht="14.25">
      <c r="A117" s="675" t="s"/>
      <c r="B117" s="675" t="s"/>
      <c r="C117" s="675" t="s"/>
      <c r="AC117" s="676" t="s"/>
      <c r="AD117" s="677" t="s"/>
      <c r="AE117" s="677" t="s"/>
    </row>
    <row r="118" spans="1:31" ht="14.25">
      <c r="A118" s="675" t="s"/>
      <c r="B118" s="675" t="s"/>
      <c r="C118" s="675" t="s"/>
      <c r="AC118" s="676" t="s"/>
      <c r="AD118" s="677" t="s"/>
      <c r="AE118" s="677" t="s"/>
    </row>
    <row r="119" spans="1:31" ht="14.25">
      <c r="A119" s="675" t="s"/>
      <c r="B119" s="675" t="s"/>
      <c r="C119" s="675" t="s"/>
      <c r="AC119" s="676" t="s"/>
      <c r="AD119" s="677" t="s"/>
      <c r="AE119" s="677" t="s"/>
    </row>
    <row r="120" spans="1:31" ht="14.25">
      <c r="A120" s="675" t="s"/>
      <c r="B120" s="675" t="s"/>
      <c r="C120" s="675" t="s"/>
      <c r="AC120" s="676" t="s"/>
      <c r="AD120" s="677" t="s"/>
      <c r="AE120" s="677" t="s"/>
    </row>
    <row r="121" spans="1:31" ht="14.25">
      <c r="A121" s="675" t="s"/>
      <c r="B121" s="675" t="s"/>
      <c r="C121" s="675" t="s"/>
      <c r="AC121" s="676" t="s"/>
      <c r="AD121" s="677" t="s"/>
      <c r="AE121" s="677" t="s"/>
    </row>
    <row r="122" spans="1:31" ht="14.25">
      <c r="A122" s="675" t="s"/>
      <c r="B122" s="675" t="s"/>
      <c r="C122" s="675" t="s"/>
      <c r="AC122" s="676" t="s"/>
      <c r="AD122" s="677" t="s"/>
      <c r="AE122" s="677" t="s"/>
    </row>
    <row r="123" spans="1:31" ht="14.25">
      <c r="A123" s="675" t="s"/>
      <c r="B123" s="675" t="s"/>
      <c r="C123" s="675" t="s"/>
      <c r="AC123" s="676" t="s"/>
      <c r="AD123" s="677" t="s"/>
      <c r="AE123" s="677" t="s"/>
    </row>
    <row r="124" spans="1:31" ht="14.25">
      <c r="A124" s="675" t="s"/>
      <c r="B124" s="675" t="s"/>
      <c r="C124" s="675" t="s"/>
      <c r="AC124" s="676" t="s"/>
      <c r="AD124" s="677" t="s"/>
      <c r="AE124" s="677" t="s"/>
    </row>
    <row r="125" spans="1:31" ht="14.25">
      <c r="A125" s="675" t="s"/>
      <c r="B125" s="675" t="s"/>
      <c r="C125" s="675" t="s"/>
      <c r="AC125" s="676" t="s"/>
      <c r="AD125" s="677" t="s"/>
      <c r="AE125" s="677" t="s"/>
    </row>
    <row r="126" spans="1:31" ht="14.25">
      <c r="A126" s="675" t="s"/>
      <c r="B126" s="675" t="s"/>
      <c r="C126" s="675" t="s"/>
      <c r="AC126" s="676" t="s"/>
      <c r="AD126" s="677" t="s"/>
      <c r="AE126" s="677" t="s"/>
    </row>
    <row r="127" spans="1:31" ht="14.25">
      <c r="A127" s="675" t="s"/>
      <c r="B127" s="675" t="s"/>
      <c r="C127" s="675" t="s"/>
      <c r="AC127" s="676" t="s"/>
      <c r="AD127" s="677" t="s"/>
      <c r="AE127" s="677" t="s"/>
    </row>
    <row r="128" spans="1:31" ht="14.25">
      <c r="A128" s="675" t="s"/>
      <c r="B128" s="675" t="s"/>
      <c r="C128" s="675" t="s"/>
      <c r="AC128" s="676" t="s"/>
      <c r="AD128" s="677" t="s"/>
      <c r="AE128" s="677" t="s"/>
    </row>
    <row r="129" spans="1:31" ht="14.25">
      <c r="A129" s="675" t="s"/>
      <c r="B129" s="675" t="s"/>
      <c r="C129" s="675" t="s"/>
      <c r="AC129" s="676" t="s"/>
      <c r="AD129" s="677" t="s"/>
      <c r="AE129" s="677" t="s"/>
    </row>
    <row r="130" spans="1:31" ht="14.25">
      <c r="A130" s="675" t="s"/>
      <c r="B130" s="675" t="s"/>
      <c r="C130" s="675" t="s"/>
      <c r="AC130" s="676" t="s"/>
      <c r="AD130" s="677" t="s"/>
      <c r="AE130" s="677" t="s"/>
    </row>
    <row r="131" spans="1:31" ht="14.25">
      <c r="A131" s="675" t="s"/>
      <c r="B131" s="675" t="s"/>
      <c r="C131" s="675" t="s"/>
      <c r="AC131" s="676" t="s"/>
      <c r="AD131" s="677" t="s"/>
      <c r="AE131" s="677" t="s"/>
    </row>
    <row r="132" spans="1:31" ht="14.25">
      <c r="A132" s="675" t="s"/>
      <c r="B132" s="675" t="s"/>
      <c r="C132" s="675" t="s"/>
      <c r="AC132" s="676" t="s"/>
      <c r="AD132" s="677" t="s"/>
      <c r="AE132" s="677" t="s"/>
    </row>
    <row r="133" spans="1:31" ht="14.25">
      <c r="A133" s="675" t="s"/>
      <c r="B133" s="675" t="s"/>
      <c r="C133" s="675" t="s"/>
      <c r="AC133" s="676" t="s"/>
      <c r="AD133" s="677" t="s"/>
      <c r="AE133" s="677" t="s"/>
    </row>
    <row r="134" spans="1:31" ht="14.25">
      <c r="A134" s="675" t="s"/>
      <c r="B134" s="675" t="s"/>
      <c r="C134" s="675" t="s"/>
      <c r="AC134" s="676" t="s"/>
      <c r="AD134" s="677" t="s"/>
      <c r="AE134" s="677" t="s"/>
    </row>
    <row r="135" spans="1:31" ht="14.25">
      <c r="A135" s="675" t="s"/>
      <c r="B135" s="675" t="s"/>
      <c r="C135" s="675" t="s"/>
      <c r="AC135" s="676" t="s"/>
      <c r="AD135" s="677" t="s"/>
      <c r="AE135" s="677" t="s"/>
    </row>
    <row r="136" spans="1:31" ht="14.25">
      <c r="A136" s="675" t="s"/>
      <c r="B136" s="675" t="s"/>
      <c r="C136" s="675" t="s"/>
      <c r="AC136" s="676" t="s"/>
      <c r="AD136" s="677" t="s"/>
      <c r="AE136" s="677" t="s"/>
    </row>
    <row r="137" spans="1:31" ht="14.25">
      <c r="A137" s="675" t="s"/>
      <c r="B137" s="675" t="s"/>
      <c r="C137" s="675" t="s"/>
      <c r="AC137" s="676" t="s"/>
      <c r="AD137" s="677" t="s"/>
      <c r="AE137" s="677" t="s"/>
    </row>
    <row r="138" spans="1:31" ht="14.25">
      <c r="A138" s="675" t="s"/>
      <c r="B138" s="675" t="s"/>
      <c r="C138" s="675" t="s"/>
      <c r="AC138" s="676" t="s"/>
      <c r="AD138" s="677" t="s"/>
      <c r="AE138" s="677" t="s"/>
    </row>
    <row r="139" spans="1:31" ht="14.25">
      <c r="A139" s="675" t="s"/>
      <c r="B139" s="675" t="s"/>
      <c r="C139" s="675" t="s"/>
      <c r="AC139" s="676" t="s"/>
      <c r="AD139" s="677" t="s"/>
      <c r="AE139" s="677" t="s"/>
    </row>
    <row r="140" spans="1:31" ht="14.25">
      <c r="A140" s="675" t="s"/>
      <c r="B140" s="675" t="s"/>
      <c r="C140" s="675" t="s"/>
      <c r="AC140" s="676" t="s"/>
      <c r="AD140" s="677" t="s"/>
      <c r="AE140" s="677" t="s"/>
    </row>
    <row r="141" spans="1:31" ht="14.25">
      <c r="A141" s="675" t="s"/>
      <c r="B141" s="675" t="s"/>
      <c r="C141" s="675" t="s"/>
      <c r="AC141" s="676" t="s"/>
      <c r="AD141" s="677" t="s"/>
      <c r="AE141" s="677" t="s"/>
    </row>
    <row r="142" spans="1:31" ht="14.25">
      <c r="A142" s="675" t="s"/>
      <c r="B142" s="675" t="s"/>
      <c r="C142" s="675" t="s"/>
      <c r="AC142" s="676" t="s"/>
      <c r="AD142" s="677" t="s"/>
      <c r="AE142" s="677" t="s"/>
    </row>
    <row r="143" spans="1:31" ht="14.25">
      <c r="A143" s="675" t="s"/>
      <c r="B143" s="675" t="s"/>
      <c r="C143" s="675" t="s"/>
      <c r="AC143" s="676" t="s"/>
      <c r="AD143" s="677" t="s"/>
      <c r="AE143" s="677" t="s"/>
    </row>
    <row r="144" spans="1:31" ht="14.25">
      <c r="A144" s="675" t="s"/>
      <c r="B144" s="675" t="s"/>
      <c r="C144" s="675" t="s"/>
      <c r="AC144" s="676" t="s"/>
      <c r="AD144" s="677" t="s"/>
      <c r="AE144" s="677" t="s"/>
    </row>
    <row r="145" spans="1:31" ht="14.25">
      <c r="A145" s="675" t="s"/>
      <c r="B145" s="675" t="s"/>
      <c r="C145" s="675" t="s"/>
      <c r="AC145" s="676" t="s"/>
      <c r="AD145" s="677" t="s"/>
      <c r="AE145" s="677" t="s"/>
    </row>
    <row r="146" spans="1:31" ht="14.25">
      <c r="A146" s="675" t="s"/>
      <c r="B146" s="675" t="s"/>
      <c r="C146" s="675" t="s"/>
      <c r="AC146" s="676" t="s"/>
      <c r="AD146" s="677" t="s"/>
      <c r="AE146" s="677" t="s"/>
    </row>
    <row r="147" spans="1:31" ht="14.25">
      <c r="A147" s="675" t="s"/>
      <c r="B147" s="675" t="s"/>
      <c r="C147" s="675" t="s"/>
      <c r="AC147" s="676" t="s"/>
      <c r="AD147" s="677" t="s"/>
      <c r="AE147" s="677" t="s"/>
    </row>
    <row r="148" spans="1:31" ht="14.25">
      <c r="A148" s="675" t="s"/>
      <c r="B148" s="675" t="s"/>
      <c r="C148" s="675" t="s"/>
      <c r="AC148" s="676" t="s"/>
      <c r="AD148" s="677" t="s"/>
      <c r="AE148" s="677" t="s"/>
    </row>
    <row r="149" spans="1:31" ht="14.25">
      <c r="A149" s="675" t="s"/>
      <c r="B149" s="675" t="s"/>
      <c r="C149" s="675" t="s"/>
      <c r="AC149" s="676" t="s"/>
      <c r="AD149" s="677" t="s"/>
      <c r="AE149" s="677" t="s"/>
    </row>
    <row r="150" spans="1:31" ht="14.25">
      <c r="A150" s="675" t="s"/>
      <c r="B150" s="675" t="s"/>
      <c r="C150" s="675" t="s"/>
      <c r="AC150" s="676" t="s"/>
      <c r="AD150" s="677" t="s"/>
      <c r="AE150" s="677" t="s"/>
    </row>
    <row r="151" spans="1:31" ht="14.25">
      <c r="A151" s="675" t="s"/>
      <c r="B151" s="675" t="s"/>
      <c r="C151" s="675" t="s"/>
      <c r="AC151" s="676" t="s"/>
      <c r="AD151" s="677" t="s"/>
      <c r="AE151" s="677" t="s"/>
    </row>
    <row r="152" spans="1:31" ht="14.25">
      <c r="A152" s="675" t="s"/>
      <c r="B152" s="675" t="s"/>
      <c r="C152" s="675" t="s"/>
      <c r="AC152" s="676" t="s"/>
      <c r="AD152" s="677" t="s"/>
      <c r="AE152" s="677" t="s"/>
    </row>
    <row r="153" spans="1:31" ht="14.25">
      <c r="A153" s="675" t="s"/>
      <c r="B153" s="675" t="s"/>
      <c r="C153" s="675" t="s"/>
      <c r="AC153" s="676" t="s"/>
      <c r="AD153" s="677" t="s"/>
      <c r="AE153" s="677" t="s"/>
    </row>
    <row r="154" spans="1:31" ht="14.25">
      <c r="A154" s="675" t="s"/>
      <c r="B154" s="675" t="s"/>
      <c r="C154" s="675" t="s"/>
      <c r="AC154" s="676" t="s"/>
      <c r="AD154" s="677" t="s"/>
      <c r="AE154" s="677" t="s"/>
    </row>
    <row r="155" spans="1:31" ht="14.25">
      <c r="A155" s="675" t="s"/>
      <c r="B155" s="675" t="s"/>
      <c r="C155" s="675" t="s"/>
      <c r="AC155" s="676" t="s"/>
      <c r="AD155" s="677" t="s"/>
      <c r="AE155" s="677" t="s"/>
    </row>
    <row r="156" spans="1:31" ht="14.25">
      <c r="A156" s="675" t="s"/>
      <c r="B156" s="675" t="s"/>
      <c r="C156" s="675" t="s"/>
      <c r="AC156" s="676" t="s"/>
      <c r="AD156" s="677" t="s"/>
      <c r="AE156" s="677" t="s"/>
    </row>
    <row r="157" spans="1:31" ht="14.25">
      <c r="A157" s="675" t="s"/>
      <c r="B157" s="675" t="s"/>
      <c r="C157" s="675" t="s"/>
      <c r="AC157" s="676" t="s"/>
      <c r="AD157" s="677" t="s"/>
      <c r="AE157" s="677" t="s"/>
    </row>
    <row r="158" spans="1:31" ht="14.25">
      <c r="A158" s="675" t="s"/>
      <c r="B158" s="675" t="s"/>
      <c r="C158" s="675" t="s"/>
      <c r="AC158" s="676" t="s"/>
      <c r="AD158" s="677" t="s"/>
      <c r="AE158" s="677" t="s"/>
    </row>
    <row r="159" spans="1:31" ht="14.25">
      <c r="A159" s="675" t="s"/>
      <c r="B159" s="675" t="s"/>
      <c r="C159" s="675" t="s"/>
      <c r="AC159" s="676" t="s"/>
      <c r="AD159" s="677" t="s"/>
      <c r="AE159" s="677" t="s"/>
    </row>
    <row r="160" spans="1:31" ht="14.25">
      <c r="A160" s="675" t="s"/>
      <c r="B160" s="675" t="s"/>
      <c r="C160" s="675" t="s"/>
      <c r="AC160" s="676" t="s"/>
      <c r="AD160" s="677" t="s"/>
      <c r="AE160" s="677" t="s"/>
    </row>
    <row r="161" spans="1:31" ht="14.25">
      <c r="A161" s="675" t="s"/>
      <c r="B161" s="675" t="s"/>
      <c r="C161" s="675" t="s"/>
      <c r="AC161" s="676" t="s"/>
      <c r="AD161" s="677" t="s"/>
      <c r="AE161" s="677" t="s"/>
    </row>
    <row r="162" spans="1:31" ht="14.25">
      <c r="A162" s="675" t="s"/>
      <c r="B162" s="675" t="s"/>
      <c r="C162" s="675" t="s"/>
      <c r="AC162" s="676" t="s"/>
      <c r="AD162" s="677" t="s"/>
      <c r="AE162" s="677" t="s"/>
    </row>
    <row r="163" spans="1:31" ht="14.25">
      <c r="A163" s="675" t="s"/>
      <c r="B163" s="675" t="s"/>
      <c r="C163" s="675" t="s"/>
      <c r="AC163" s="676" t="s"/>
      <c r="AD163" s="677" t="s"/>
      <c r="AE163" s="677" t="s"/>
    </row>
    <row r="164" spans="1:31" ht="14.25">
      <c r="A164" s="675" t="s"/>
      <c r="B164" s="675" t="s"/>
      <c r="C164" s="675" t="s"/>
      <c r="AC164" s="676" t="s"/>
      <c r="AD164" s="677" t="s"/>
      <c r="AE164" s="677" t="s"/>
    </row>
    <row r="165" spans="1:31" ht="14.25">
      <c r="A165" s="675" t="s"/>
      <c r="B165" s="675" t="s"/>
      <c r="C165" s="675" t="s"/>
      <c r="AC165" s="676" t="s"/>
      <c r="AD165" s="677" t="s"/>
      <c r="AE165" s="677" t="s"/>
    </row>
    <row r="166" spans="1:31" ht="14.25">
      <c r="A166" s="675" t="s"/>
      <c r="B166" s="675" t="s"/>
      <c r="C166" s="675" t="s"/>
      <c r="AC166" s="676" t="s"/>
      <c r="AD166" s="677" t="s"/>
      <c r="AE166" s="677" t="s"/>
    </row>
    <row r="167" spans="1:31" ht="14.25">
      <c r="A167" s="675" t="s"/>
      <c r="B167" s="675" t="s"/>
      <c r="C167" s="675" t="s"/>
      <c r="AC167" s="676" t="s"/>
      <c r="AD167" s="677" t="s"/>
      <c r="AE167" s="677" t="s"/>
    </row>
    <row r="168" spans="1:31" ht="14.25">
      <c r="A168" s="675" t="s"/>
      <c r="B168" s="675" t="s"/>
      <c r="C168" s="675" t="s"/>
      <c r="AC168" s="676" t="s"/>
      <c r="AD168" s="677" t="s"/>
      <c r="AE168" s="677" t="s"/>
    </row>
    <row r="169" spans="1:31" ht="14.25">
      <c r="A169" s="675" t="s"/>
      <c r="B169" s="675" t="s"/>
      <c r="C169" s="675" t="s"/>
      <c r="AC169" s="676" t="s"/>
      <c r="AD169" s="677" t="s"/>
      <c r="AE169" s="677" t="s"/>
    </row>
    <row r="170" spans="1:31" ht="14.25">
      <c r="A170" s="675" t="s"/>
      <c r="B170" s="675" t="s"/>
      <c r="C170" s="675" t="s"/>
      <c r="AC170" s="676" t="s"/>
      <c r="AD170" s="677" t="s"/>
      <c r="AE170" s="677" t="s"/>
    </row>
    <row r="171" spans="1:31" ht="14.25">
      <c r="A171" s="675" t="s"/>
      <c r="B171" s="675" t="s"/>
      <c r="C171" s="675" t="s"/>
      <c r="AC171" s="676" t="s"/>
      <c r="AD171" s="677" t="s"/>
      <c r="AE171" s="677" t="s"/>
    </row>
    <row r="172" spans="1:31" ht="14.25">
      <c r="A172" s="675" t="s"/>
      <c r="B172" s="675" t="s"/>
      <c r="C172" s="675" t="s"/>
      <c r="AC172" s="676" t="s"/>
      <c r="AD172" s="677" t="s"/>
      <c r="AE172" s="677" t="s"/>
    </row>
    <row r="173" spans="1:31" ht="14.25">
      <c r="A173" s="675" t="s"/>
      <c r="B173" s="675" t="s"/>
      <c r="C173" s="675" t="s"/>
      <c r="AC173" s="676" t="s"/>
      <c r="AD173" s="677" t="s"/>
      <c r="AE173" s="677" t="s"/>
    </row>
    <row r="174" spans="1:31" ht="14.25">
      <c r="A174" s="675" t="s"/>
      <c r="B174" s="675" t="s"/>
      <c r="C174" s="675" t="s"/>
      <c r="AC174" s="676" t="s"/>
      <c r="AD174" s="677" t="s"/>
      <c r="AE174" s="677" t="s"/>
    </row>
    <row r="175" spans="1:31" ht="14.25">
      <c r="A175" s="675" t="s"/>
      <c r="B175" s="675" t="s"/>
      <c r="C175" s="675" t="s"/>
      <c r="AC175" s="676" t="s"/>
      <c r="AD175" s="677" t="s"/>
      <c r="AE175" s="677" t="s"/>
    </row>
    <row r="176" spans="1:31" ht="14.25">
      <c r="A176" s="675" t="s"/>
      <c r="B176" s="675" t="s"/>
      <c r="C176" s="675" t="s"/>
      <c r="AC176" s="676" t="s"/>
      <c r="AD176" s="677" t="s"/>
      <c r="AE176" s="677" t="s"/>
    </row>
    <row r="177" spans="1:31" ht="14.25">
      <c r="A177" s="675" t="s"/>
      <c r="B177" s="675" t="s"/>
      <c r="C177" s="675" t="s"/>
      <c r="AC177" s="676" t="s"/>
      <c r="AD177" s="677" t="s"/>
      <c r="AE177" s="677" t="s"/>
    </row>
    <row r="178" spans="1:31" ht="14.25">
      <c r="A178" s="675" t="s"/>
      <c r="B178" s="675" t="s"/>
      <c r="C178" s="675" t="s"/>
      <c r="AC178" s="676" t="s"/>
      <c r="AD178" s="677" t="s"/>
      <c r="AE178" s="677" t="s"/>
    </row>
    <row r="179" spans="1:31" ht="14.25">
      <c r="A179" s="675" t="s"/>
      <c r="B179" s="675" t="s"/>
      <c r="C179" s="675" t="s"/>
      <c r="AC179" s="676" t="s"/>
      <c r="AD179" s="677" t="s"/>
      <c r="AE179" s="677" t="s"/>
    </row>
    <row r="180" spans="1:31" ht="14.25">
      <c r="A180" s="675" t="s"/>
      <c r="B180" s="675" t="s"/>
      <c r="C180" s="675" t="s"/>
      <c r="AC180" s="676" t="s"/>
      <c r="AD180" s="677" t="s"/>
      <c r="AE180" s="677" t="s"/>
    </row>
    <row r="181" spans="1:31" ht="14.25">
      <c r="A181" s="675" t="s"/>
      <c r="B181" s="675" t="s"/>
      <c r="C181" s="675" t="s"/>
      <c r="AC181" s="676" t="s"/>
      <c r="AD181" s="677" t="s"/>
      <c r="AE181" s="677" t="s"/>
    </row>
    <row r="182" spans="1:31" ht="14.25">
      <c r="A182" s="675" t="s"/>
      <c r="B182" s="675" t="s"/>
      <c r="C182" s="675" t="s"/>
      <c r="AC182" s="676" t="s"/>
      <c r="AD182" s="677" t="s"/>
      <c r="AE182" s="677" t="s"/>
    </row>
    <row r="183" spans="1:31" ht="14.25">
      <c r="A183" s="675" t="s"/>
      <c r="B183" s="675" t="s"/>
      <c r="C183" s="675" t="s"/>
      <c r="AC183" s="676" t="s"/>
      <c r="AD183" s="677" t="s"/>
      <c r="AE183" s="677" t="s"/>
    </row>
    <row r="184" spans="1:31" ht="14.25">
      <c r="A184" s="675" t="s"/>
      <c r="B184" s="675" t="s"/>
      <c r="C184" s="675" t="s"/>
      <c r="AC184" s="676" t="s"/>
      <c r="AD184" s="677" t="s"/>
      <c r="AE184" s="677" t="s"/>
    </row>
    <row r="185" spans="1:31" ht="14.25">
      <c r="A185" s="675" t="s"/>
      <c r="B185" s="675" t="s"/>
      <c r="C185" s="675" t="s"/>
      <c r="AC185" s="676" t="s"/>
      <c r="AD185" s="677" t="s"/>
      <c r="AE185" s="677" t="s"/>
    </row>
    <row r="186" spans="1:31" ht="14.25">
      <c r="A186" s="675" t="s"/>
      <c r="B186" s="675" t="s"/>
      <c r="C186" s="675" t="s"/>
      <c r="AC186" s="676" t="s"/>
      <c r="AD186" s="677" t="s"/>
      <c r="AE186" s="677" t="s"/>
    </row>
    <row r="187" spans="1:31" ht="14.25">
      <c r="A187" s="675" t="s"/>
      <c r="B187" s="675" t="s"/>
      <c r="C187" s="675" t="s"/>
      <c r="AC187" s="676" t="s"/>
      <c r="AD187" s="677" t="s"/>
      <c r="AE187" s="677" t="s"/>
    </row>
    <row r="188" spans="1:31" ht="14.25">
      <c r="A188" s="675" t="s"/>
      <c r="B188" s="675" t="s"/>
      <c r="C188" s="675" t="s"/>
      <c r="AC188" s="676" t="s"/>
      <c r="AD188" s="677" t="s"/>
      <c r="AE188" s="677" t="s"/>
    </row>
    <row r="189" spans="1:31" ht="14.25">
      <c r="A189" s="675" t="s"/>
      <c r="B189" s="675" t="s"/>
      <c r="C189" s="675" t="s"/>
      <c r="AC189" s="676" t="s"/>
      <c r="AD189" s="677" t="s"/>
      <c r="AE189" s="677" t="s"/>
    </row>
    <row r="190" spans="1:31" ht="14.25">
      <c r="A190" s="675" t="s"/>
      <c r="B190" s="675" t="s"/>
      <c r="C190" s="675" t="s"/>
      <c r="AC190" s="676" t="s"/>
      <c r="AD190" s="677" t="s"/>
      <c r="AE190" s="677" t="s"/>
    </row>
    <row r="191" spans="1:31" ht="14.25">
      <c r="A191" s="675" t="s"/>
      <c r="B191" s="675" t="s"/>
      <c r="C191" s="675" t="s"/>
      <c r="AC191" s="676" t="s"/>
      <c r="AD191" s="677" t="s"/>
      <c r="AE191" s="677" t="s"/>
    </row>
    <row r="192" spans="1:31" ht="14.25">
      <c r="A192" s="675" t="s"/>
      <c r="B192" s="675" t="s"/>
      <c r="C192" s="675" t="s"/>
      <c r="AC192" s="676" t="s"/>
      <c r="AD192" s="677" t="s"/>
      <c r="AE192" s="677" t="s"/>
    </row>
    <row r="193" spans="1:31" ht="14.25">
      <c r="A193" s="675" t="s"/>
      <c r="B193" s="675" t="s"/>
      <c r="C193" s="675" t="s"/>
      <c r="AC193" s="676" t="s"/>
      <c r="AD193" s="677" t="s"/>
      <c r="AE193" s="677" t="s"/>
    </row>
    <row r="194" spans="1:31" ht="14.25">
      <c r="A194" s="675" t="s"/>
      <c r="B194" s="675" t="s"/>
      <c r="C194" s="675" t="s"/>
      <c r="AC194" s="676" t="s"/>
      <c r="AD194" s="677" t="s"/>
      <c r="AE194" s="677" t="s"/>
    </row>
    <row r="195" spans="1:31" ht="14.25">
      <c r="A195" s="675" t="s"/>
      <c r="B195" s="675" t="s"/>
      <c r="C195" s="675" t="s"/>
      <c r="AC195" s="676" t="s"/>
      <c r="AD195" s="677" t="s"/>
      <c r="AE195" s="677" t="s"/>
    </row>
    <row r="196" spans="1:31" ht="14.25">
      <c r="A196" s="675" t="s"/>
      <c r="B196" s="675" t="s"/>
      <c r="C196" s="675" t="s"/>
      <c r="AC196" s="676" t="s"/>
      <c r="AD196" s="677" t="s"/>
      <c r="AE196" s="677" t="s"/>
    </row>
    <row r="197" spans="1:31" ht="14.25">
      <c r="A197" s="675" t="s"/>
      <c r="B197" s="675" t="s"/>
      <c r="C197" s="675" t="s"/>
      <c r="AC197" s="676" t="s"/>
      <c r="AD197" s="677" t="s"/>
      <c r="AE197" s="677" t="s"/>
    </row>
    <row r="198" spans="1:31" ht="14.25">
      <c r="A198" s="675" t="s"/>
      <c r="B198" s="675" t="s"/>
      <c r="C198" s="675" t="s"/>
      <c r="AC198" s="676" t="s"/>
      <c r="AD198" s="677" t="s"/>
      <c r="AE198" s="677" t="s"/>
    </row>
    <row r="199" spans="1:31" ht="14.25">
      <c r="A199" s="675" t="s"/>
      <c r="B199" s="675" t="s"/>
      <c r="C199" s="675" t="s"/>
      <c r="AC199" s="676" t="s"/>
      <c r="AD199" s="677" t="s"/>
      <c r="AE199" s="677" t="s"/>
    </row>
    <row r="200" spans="1:31" ht="14.25">
      <c r="A200" s="675" t="s"/>
      <c r="B200" s="675" t="s"/>
      <c r="C200" s="675" t="s"/>
      <c r="AC200" s="676" t="s"/>
      <c r="AD200" s="677" t="s"/>
      <c r="AE200" s="677" t="s"/>
    </row>
  </sheetData>
  <autoFilter ref="A2:AC27">
    <extLst/>
  </autoFilter>
  <mergeCells count="17">
    <mergeCell ref="F1:G1"/>
    <mergeCell ref="H1:I1"/>
    <mergeCell ref="J1:K1"/>
    <mergeCell ref="L1:M1"/>
    <mergeCell ref="N1:O1"/>
    <mergeCell ref="P1:Q1"/>
    <mergeCell ref="R1:S1"/>
    <mergeCell ref="T1:U1"/>
    <mergeCell ref="V1:W1"/>
    <mergeCell ref="X1:Y1"/>
    <mergeCell ref="Z1:AA1"/>
    <mergeCell ref="A5:A8"/>
    <mergeCell ref="A16:A20"/>
    <mergeCell ref="C5:C8"/>
    <mergeCell ref="AC5:AC8"/>
    <mergeCell ref="AD5:AD8"/>
    <mergeCell ref="AE5:AE8"/>
  </mergeCells>
  <pageMargins left="0.75" right="0.75" top="1" bottom="1" header="0.5" footer="0.5"/>
  <headerFooter/>
</worksheet>
</file>

<file path=xl/worksheets/sheet5.xml><?xml version="1.0" encoding="utf-8"?>
<worksheet xmlns:r="http://schemas.openxmlformats.org/officeDocument/2006/relationships" xmlns="http://schemas.openxmlformats.org/spreadsheetml/2006/main">
  <sheetPr codeName="快速响应资源池">
    <tabColor rgb="FFFFFFFF"/>
  </sheetPr>
  <dimension ref="K7"/>
  <sheetViews>
    <sheetView showGridLines="true" workbookViewId="0">
      <pane xSplit="10" ySplit="4" topLeftCell="K5" activePane="bottomRight" state="frozen"/>
    </sheetView>
  </sheetViews>
  <sheetFormatPr defaultColWidth="10.2857" defaultRowHeight="12.75" outlineLevelRow="6"/>
  <cols>
    <col min="10" max="10" width="67.7143" customWidth="true"/>
  </cols>
  <sheetData>
    <row r="1" spans="1:10" ht="42" customHeight="true">
      <c r="A1" s="4" t="s">
        <v>1</v>
      </c>
      <c r="B1" s="5" t="s">
        <v>2</v>
      </c>
      <c r="C1" s="6" t="s"/>
      <c r="D1" s="6" t="s"/>
      <c r="E1" s="6" t="s"/>
      <c r="F1" s="6" t="s"/>
      <c r="G1" s="6" t="s"/>
      <c r="H1" s="6" t="s"/>
      <c r="I1" s="6" t="s"/>
      <c r="J1" s="6" t="s"/>
    </row>
    <row r="2" spans="1:10">
      <c r="A2" s="7" t="s">
        <v>3</v>
      </c>
      <c r="B2" s="5" t="s">
        <v>4</v>
      </c>
      <c r="C2" s="6" t="s"/>
      <c r="D2" s="6" t="s"/>
      <c r="E2" s="6" t="s"/>
      <c r="F2" s="6" t="s"/>
      <c r="G2" s="6" t="s"/>
      <c r="H2" s="6" t="s"/>
      <c r="I2" s="6" t="s"/>
      <c r="J2" s="6" t="s"/>
    </row>
    <row r="3" spans="1:10">
      <c r="A3" s="7" t="s">
        <v>5</v>
      </c>
      <c r="B3" s="5" t="s">
        <v>6</v>
      </c>
      <c r="C3" s="6" t="s"/>
      <c r="D3" s="6" t="s"/>
      <c r="E3" s="6" t="s"/>
      <c r="F3" s="6" t="s"/>
      <c r="G3" s="6" t="s"/>
      <c r="H3" s="6" t="s"/>
      <c r="I3" s="6" t="s"/>
      <c r="J3" s="6" t="s"/>
    </row>
    <row r="4" spans="1:10" ht="66.75" customHeight="true">
      <c r="A4" s="7" t="s">
        <v>7</v>
      </c>
      <c r="B4" s="5" t="s">
        <v>8</v>
      </c>
      <c r="C4" s="6" t="s"/>
      <c r="D4" s="6" t="s"/>
      <c r="E4" s="6" t="s"/>
      <c r="F4" s="6" t="s"/>
      <c r="G4" s="6" t="s"/>
      <c r="H4" s="6" t="s"/>
      <c r="I4" s="6" t="s"/>
      <c r="J4" s="6" t="s"/>
    </row>
    <row r="5" spans="1:1">
      <c r="A5" s="8" t="s"/>
    </row>
    <row r="7" spans="11:11">
      <c r="K7" s="9" t="s"/>
    </row>
  </sheetData>
  <mergeCells count="4">
    <mergeCell ref="B1:J1"/>
    <mergeCell ref="B2:J2"/>
    <mergeCell ref="B3:J3"/>
    <mergeCell ref="B4:J4"/>
  </mergeCells>
  <pageMargins left="0.75" right="0.75" top="1" bottom="1" header="0.5" footer="0.5"/>
  <headerFooter/>
  <drawing r:id="rId0"/>
</worksheet>
</file>

<file path=xl/worksheets/sheet6.xml><?xml version="1.0" encoding="utf-8"?>
<worksheet xmlns:r="http://schemas.openxmlformats.org/officeDocument/2006/relationships" xmlns="http://schemas.openxmlformats.org/spreadsheetml/2006/main">
  <sheetPr codeName="主线版本">
    <tabColor rgb="FFFFFFFF"/>
  </sheetPr>
  <dimension ref="Z177"/>
  <sheetViews>
    <sheetView showGridLines="true" workbookViewId="0"/>
  </sheetViews>
  <sheetFormatPr defaultColWidth="10.2857" defaultRowHeight="12.75"/>
  <cols>
    <col min="1" max="1" width="3.71429" customWidth="true"/>
    <col min="2" max="2" width="9.71429" customWidth="true"/>
    <col min="3" max="3" width="8.71429" customWidth="true"/>
    <col min="4" max="4" width="68.381" customWidth="true"/>
    <col min="5" max="5" width="24.9524" customWidth="true"/>
    <col min="6" max="6" width="16.7143" customWidth="true"/>
    <col min="7" max="7" width="27.7143" customWidth="true"/>
    <col min="8" max="8" width="25.7143" customWidth="true"/>
    <col min="9" max="9" width="10.1143" customWidth="true"/>
    <col min="10" max="10" width="20.7143" customWidth="true"/>
    <col min="11" max="12" width="16.7143" customWidth="true"/>
    <col min="13" max="13" width="18.7143" customWidth="true"/>
    <col min="14" max="14" width="21.7143" customWidth="true"/>
    <col min="15" max="15" width="14.2952" customWidth="true"/>
    <col min="16" max="16" width="19.7143" customWidth="true"/>
    <col min="17" max="19" width="14.7143" customWidth="true"/>
    <col min="20" max="26" width="9.71429" customWidth="true"/>
  </cols>
  <sheetData>
    <row r="1" spans="1:26" ht="27">
      <c r="A1" s="629" t="s">
        <v>794</v>
      </c>
      <c r="B1" s="629" t="s">
        <v>795</v>
      </c>
      <c r="C1" s="629" t="s">
        <v>796</v>
      </c>
      <c r="D1" s="630" t="s">
        <v>797</v>
      </c>
      <c r="E1" s="629" t="s">
        <v>798</v>
      </c>
      <c r="F1" s="631" t="s">
        <v>799</v>
      </c>
      <c r="G1" s="632" t="s">
        <v>800</v>
      </c>
      <c r="H1" s="632" t="s">
        <v>801</v>
      </c>
      <c r="I1" s="632" t="s">
        <v>802</v>
      </c>
      <c r="J1" s="632" t="s">
        <v>803</v>
      </c>
      <c r="K1" s="632" t="s">
        <v>804</v>
      </c>
      <c r="L1" s="632" t="s">
        <v>805</v>
      </c>
      <c r="M1" s="632" t="s">
        <v>806</v>
      </c>
      <c r="N1" s="632" t="s">
        <v>807</v>
      </c>
      <c r="O1" s="632" t="s">
        <v>808</v>
      </c>
      <c r="P1" s="632" t="s">
        <v>809</v>
      </c>
      <c r="Q1" s="632" t="s">
        <v>810</v>
      </c>
      <c r="R1" s="632" t="s">
        <v>811</v>
      </c>
      <c r="S1" s="632" t="s">
        <v>812</v>
      </c>
      <c r="T1" s="633" t="s"/>
      <c r="U1" s="633" t="s"/>
      <c r="V1" s="633" t="s"/>
      <c r="W1" s="633" t="s"/>
      <c r="X1" s="633" t="s"/>
      <c r="Y1" s="633" t="s"/>
      <c r="Z1" s="633" t="s"/>
    </row>
    <row r="2" spans="1:26" ht="229.5">
      <c r="A2" s="634" t="s">
        <v>813</v>
      </c>
      <c r="B2" s="635" t="s"/>
      <c r="C2" s="636" t="s">
        <v>413</v>
      </c>
      <c r="D2" s="635" t="s">
        <v>814</v>
      </c>
      <c r="E2" s="635" t="s">
        <v>815</v>
      </c>
      <c r="F2" s="635" t="s">
        <v>911</v>
      </c>
      <c r="G2" s="635" t="s">
        <v>912</v>
      </c>
      <c r="H2" s="635" t="s">
        <v>913</v>
      </c>
      <c r="I2" s="635" t="s">
        <v>816</v>
      </c>
      <c r="J2" s="635" t="s">
        <v>817</v>
      </c>
      <c r="K2" s="635" t="s">
        <v>817</v>
      </c>
      <c r="L2" s="635" t="s">
        <v>817</v>
      </c>
      <c r="M2" s="635" t="s">
        <v>817</v>
      </c>
      <c r="N2" s="635" t="s">
        <v>817</v>
      </c>
      <c r="O2" s="635" t="s">
        <v>818</v>
      </c>
      <c r="P2" s="635" t="s">
        <v>819</v>
      </c>
      <c r="Q2" s="635" t="s">
        <v>820</v>
      </c>
      <c r="R2" s="637" t="s">
        <v>821</v>
      </c>
      <c r="S2" s="635" t="s"/>
      <c r="T2" s="638" t="s"/>
      <c r="U2" s="638" t="s"/>
      <c r="V2" s="638" t="s"/>
      <c r="W2" s="638" t="s"/>
      <c r="X2" s="638" t="s"/>
      <c r="Y2" s="638" t="s"/>
      <c r="Z2" s="638" t="s"/>
    </row>
    <row r="3" spans="1:26" ht="409.5">
      <c r="A3" s="533" t="s"/>
      <c r="B3" s="635" t="s"/>
      <c r="C3" s="639" t="s">
        <v>822</v>
      </c>
      <c r="D3" s="635" t="s">
        <v>823</v>
      </c>
      <c r="E3" s="635" t="s">
        <v>824</v>
      </c>
      <c r="F3" s="635" t="s">
        <v>825</v>
      </c>
      <c r="G3" s="635" t="s">
        <v>914</v>
      </c>
      <c r="H3" s="640" t="s">
        <v>915</v>
      </c>
      <c r="I3" s="635" t="s">
        <v>816</v>
      </c>
      <c r="J3" s="635" t="s">
        <v>916</v>
      </c>
      <c r="K3" s="635" t="s">
        <v>817</v>
      </c>
      <c r="L3" s="635" t="s">
        <v>826</v>
      </c>
      <c r="M3" s="637" t="s">
        <v>821</v>
      </c>
      <c r="N3" s="637" t="s">
        <v>821</v>
      </c>
      <c r="O3" s="635" t="s"/>
      <c r="P3" s="635" t="s"/>
      <c r="Q3" s="635" t="s"/>
      <c r="R3" s="635" t="s"/>
      <c r="S3" s="635" t="s"/>
      <c r="T3" s="638" t="s"/>
      <c r="U3" s="638" t="s"/>
      <c r="V3" s="638" t="s"/>
      <c r="W3" s="638" t="s"/>
      <c r="X3" s="638" t="s"/>
      <c r="Y3" s="638" t="s"/>
      <c r="Z3" s="638" t="s"/>
    </row>
    <row r="4" spans="1:26" ht="13.5">
      <c r="A4" s="641" t="s"/>
      <c r="B4" s="633" t="s"/>
      <c r="C4" s="633" t="s"/>
      <c r="D4" s="638" t="s"/>
      <c r="E4" s="633" t="s"/>
      <c r="F4" s="633" t="s"/>
      <c r="G4" s="641" t="s"/>
      <c r="H4" s="641" t="s"/>
      <c r="I4" s="633" t="s"/>
      <c r="J4" s="633" t="s"/>
      <c r="K4" s="633" t="s"/>
      <c r="L4" s="633" t="s"/>
      <c r="M4" s="633" t="s"/>
      <c r="N4" s="633" t="s"/>
      <c r="O4" s="633" t="s"/>
      <c r="P4" s="633" t="s"/>
      <c r="Q4" s="633" t="s"/>
      <c r="R4" s="633" t="s"/>
      <c r="S4" s="633" t="s"/>
      <c r="T4" s="638" t="s"/>
      <c r="U4" s="638" t="s"/>
      <c r="V4" s="638" t="s"/>
      <c r="W4" s="638" t="s"/>
      <c r="X4" s="638" t="s"/>
      <c r="Y4" s="638" t="s"/>
      <c r="Z4" s="638" t="s"/>
    </row>
    <row r="5" spans="1:26" ht="13.5">
      <c r="A5" s="641" t="s"/>
      <c r="B5" s="633" t="s"/>
      <c r="C5" s="633" t="s"/>
      <c r="D5" s="638" t="s"/>
      <c r="E5" s="633" t="s"/>
      <c r="F5" s="633" t="s"/>
      <c r="G5" s="641" t="s"/>
      <c r="H5" s="641" t="s"/>
      <c r="I5" s="633" t="s"/>
      <c r="J5" s="633" t="s"/>
      <c r="K5" s="633" t="s"/>
      <c r="L5" s="633" t="s"/>
      <c r="M5" s="633" t="s"/>
      <c r="N5" s="633" t="s"/>
      <c r="O5" s="633" t="s"/>
      <c r="P5" s="633" t="s"/>
      <c r="Q5" s="633" t="s"/>
      <c r="R5" s="633" t="s"/>
      <c r="S5" s="633" t="s"/>
      <c r="T5" s="638" t="s"/>
      <c r="U5" s="638" t="s"/>
      <c r="V5" s="638" t="s"/>
      <c r="W5" s="638" t="s"/>
      <c r="X5" s="638" t="s"/>
      <c r="Y5" s="638" t="s"/>
      <c r="Z5" s="638" t="s"/>
    </row>
    <row r="6" spans="1:26" ht="13.5">
      <c r="A6" s="641" t="s"/>
      <c r="B6" s="633" t="s"/>
      <c r="C6" s="633" t="s"/>
      <c r="D6" s="638" t="s"/>
      <c r="E6" s="633" t="s"/>
      <c r="F6" s="633" t="s"/>
      <c r="G6" s="641" t="s"/>
      <c r="H6" s="641" t="s"/>
      <c r="I6" s="633" t="s"/>
      <c r="J6" s="633" t="s"/>
      <c r="K6" s="633" t="s"/>
      <c r="L6" s="638" t="s"/>
      <c r="M6" s="633" t="s"/>
      <c r="N6" s="633" t="s"/>
      <c r="O6" s="633" t="s"/>
      <c r="P6" s="633" t="s"/>
      <c r="Q6" s="633" t="s"/>
      <c r="R6" s="633" t="s"/>
      <c r="S6" s="633" t="s"/>
      <c r="T6" s="638" t="s"/>
      <c r="U6" s="638" t="s"/>
      <c r="V6" s="638" t="s"/>
      <c r="W6" s="638" t="s"/>
      <c r="X6" s="638" t="s"/>
      <c r="Y6" s="638" t="s"/>
      <c r="Z6" s="638" t="s"/>
    </row>
    <row r="7" spans="1:26" ht="13.5">
      <c r="A7" s="641" t="s"/>
      <c r="B7" s="633" t="s"/>
      <c r="C7" s="633" t="s"/>
      <c r="D7" s="638" t="s"/>
      <c r="E7" s="633" t="s"/>
      <c r="F7" s="633" t="s"/>
      <c r="G7" s="641" t="s"/>
      <c r="H7" s="641" t="s"/>
      <c r="I7" s="633" t="s"/>
      <c r="J7" s="633" t="s"/>
      <c r="K7" s="633" t="s"/>
      <c r="L7" s="633" t="s"/>
      <c r="M7" s="633" t="s"/>
      <c r="N7" s="633" t="s"/>
      <c r="O7" s="633" t="s"/>
      <c r="P7" s="633" t="s"/>
      <c r="Q7" s="633" t="s"/>
      <c r="R7" s="633" t="s"/>
      <c r="S7" s="633" t="s"/>
      <c r="T7" s="638" t="s"/>
      <c r="U7" s="638" t="s"/>
      <c r="V7" s="638" t="s"/>
      <c r="W7" s="638" t="s"/>
      <c r="X7" s="638" t="s"/>
      <c r="Y7" s="638" t="s"/>
      <c r="Z7" s="638" t="s"/>
    </row>
    <row r="8" spans="1:26" ht="13.5">
      <c r="A8" s="641" t="s"/>
      <c r="B8" s="633" t="s"/>
      <c r="C8" s="633" t="s"/>
      <c r="D8" s="638" t="s"/>
      <c r="E8" s="633" t="s"/>
      <c r="F8" s="633" t="s"/>
      <c r="G8" s="641" t="s"/>
      <c r="H8" s="641" t="s"/>
      <c r="I8" s="633" t="s"/>
      <c r="J8" s="633" t="s"/>
      <c r="K8" s="633" t="s"/>
      <c r="L8" s="633" t="s"/>
      <c r="M8" s="633" t="s"/>
      <c r="N8" s="633" t="s"/>
      <c r="O8" s="633" t="s"/>
      <c r="P8" s="633" t="s"/>
      <c r="Q8" s="633" t="s"/>
      <c r="R8" s="633" t="s"/>
      <c r="S8" s="633" t="s"/>
      <c r="T8" s="638" t="s"/>
      <c r="U8" s="638" t="s"/>
      <c r="V8" s="638" t="s"/>
      <c r="W8" s="638" t="s"/>
      <c r="X8" s="638" t="s"/>
      <c r="Y8" s="638" t="s"/>
      <c r="Z8" s="638" t="s"/>
    </row>
    <row r="9" spans="1:26" ht="13.5">
      <c r="A9" s="641" t="s"/>
      <c r="B9" s="633" t="s"/>
      <c r="C9" s="633" t="s"/>
      <c r="D9" s="638" t="s"/>
      <c r="E9" s="633" t="s"/>
      <c r="F9" s="633" t="s"/>
      <c r="G9" s="641" t="s"/>
      <c r="H9" s="641" t="s"/>
      <c r="I9" s="633" t="s"/>
      <c r="J9" s="633" t="s"/>
      <c r="K9" s="633" t="s"/>
      <c r="L9" s="633" t="s"/>
      <c r="M9" s="633" t="s"/>
      <c r="N9" s="633" t="s"/>
      <c r="O9" s="633" t="s"/>
      <c r="P9" s="633" t="s"/>
      <c r="Q9" s="633" t="s"/>
      <c r="R9" s="633" t="s"/>
      <c r="S9" s="633" t="s"/>
      <c r="T9" s="638" t="s"/>
      <c r="U9" s="638" t="s"/>
      <c r="V9" s="638" t="s"/>
      <c r="W9" s="638" t="s"/>
      <c r="X9" s="638" t="s"/>
      <c r="Y9" s="638" t="s"/>
      <c r="Z9" s="638" t="s"/>
    </row>
    <row r="10" spans="1:26" ht="13.5">
      <c r="A10" s="641" t="s"/>
      <c r="B10" s="633" t="s"/>
      <c r="C10" s="633" t="s"/>
      <c r="D10" s="638" t="s"/>
      <c r="E10" s="633" t="s"/>
      <c r="F10" s="633" t="s"/>
      <c r="G10" s="641" t="s"/>
      <c r="H10" s="641" t="s"/>
      <c r="I10" s="633" t="s"/>
      <c r="J10" s="633" t="s"/>
      <c r="K10" s="633" t="s"/>
      <c r="L10" s="633" t="s"/>
      <c r="M10" s="633" t="s"/>
      <c r="N10" s="633" t="s"/>
      <c r="O10" s="633" t="s"/>
      <c r="P10" s="633" t="s"/>
      <c r="Q10" s="633" t="s"/>
      <c r="R10" s="633" t="s"/>
      <c r="S10" s="633" t="s"/>
      <c r="T10" s="638" t="s"/>
      <c r="U10" s="638" t="s"/>
      <c r="V10" s="638" t="s"/>
      <c r="W10" s="638" t="s"/>
      <c r="X10" s="638" t="s"/>
      <c r="Y10" s="638" t="s"/>
      <c r="Z10" s="638" t="s"/>
    </row>
    <row r="11" spans="1:26" ht="13.5">
      <c r="A11" s="641" t="s"/>
      <c r="B11" s="633" t="s"/>
      <c r="C11" s="633" t="s"/>
      <c r="D11" s="638" t="s"/>
      <c r="E11" s="633" t="s"/>
      <c r="F11" s="633" t="s"/>
      <c r="G11" s="641" t="s"/>
      <c r="H11" s="641" t="s"/>
      <c r="I11" s="633" t="s"/>
      <c r="J11" s="633" t="s"/>
      <c r="K11" s="633" t="s"/>
      <c r="L11" s="633" t="s"/>
      <c r="M11" s="633" t="s"/>
      <c r="N11" s="633" t="s"/>
      <c r="O11" s="633" t="s"/>
      <c r="P11" s="633" t="s"/>
      <c r="Q11" s="633" t="s"/>
      <c r="R11" s="633" t="s"/>
      <c r="S11" s="633" t="s"/>
      <c r="T11" s="638" t="s"/>
      <c r="U11" s="638" t="s"/>
      <c r="V11" s="638" t="s"/>
      <c r="W11" s="638" t="s"/>
      <c r="X11" s="638" t="s"/>
      <c r="Y11" s="638" t="s"/>
      <c r="Z11" s="638" t="s"/>
    </row>
    <row r="12" spans="1:26" ht="13.5">
      <c r="A12" s="641" t="s"/>
      <c r="B12" s="633" t="s"/>
      <c r="C12" s="633" t="s"/>
      <c r="D12" s="638" t="s"/>
      <c r="E12" s="633" t="s"/>
      <c r="F12" s="633" t="s"/>
      <c r="G12" s="641" t="s"/>
      <c r="H12" s="641" t="s"/>
      <c r="I12" s="633" t="s"/>
      <c r="J12" s="633" t="s"/>
      <c r="K12" s="633" t="s"/>
      <c r="L12" s="633" t="s"/>
      <c r="M12" s="633" t="s"/>
      <c r="N12" s="633" t="s"/>
      <c r="O12" s="633" t="s"/>
      <c r="P12" s="633" t="s"/>
      <c r="Q12" s="633" t="s"/>
      <c r="R12" s="633" t="s"/>
      <c r="S12" s="633" t="s"/>
      <c r="T12" s="638" t="s"/>
      <c r="U12" s="638" t="s"/>
      <c r="V12" s="638" t="s"/>
      <c r="W12" s="638" t="s"/>
      <c r="X12" s="638" t="s"/>
      <c r="Y12" s="638" t="s"/>
      <c r="Z12" s="638" t="s"/>
    </row>
    <row r="13" spans="1:26" ht="13.5">
      <c r="A13" s="641" t="s"/>
      <c r="B13" s="633" t="s"/>
      <c r="C13" s="633" t="s"/>
      <c r="D13" s="638" t="s"/>
      <c r="E13" s="633" t="s"/>
      <c r="F13" s="633" t="s"/>
      <c r="G13" s="641" t="s"/>
      <c r="H13" s="641" t="s"/>
      <c r="I13" s="633" t="s"/>
      <c r="J13" s="633" t="s"/>
      <c r="K13" s="633" t="s"/>
      <c r="L13" s="633" t="s"/>
      <c r="M13" s="633" t="s"/>
      <c r="N13" s="633" t="s"/>
      <c r="O13" s="633" t="s"/>
      <c r="P13" s="633" t="s"/>
      <c r="Q13" s="633" t="s"/>
      <c r="R13" s="633" t="s"/>
      <c r="S13" s="633" t="s"/>
      <c r="T13" s="638" t="s"/>
      <c r="U13" s="638" t="s"/>
      <c r="V13" s="638" t="s"/>
      <c r="W13" s="638" t="s"/>
      <c r="X13" s="638" t="s"/>
      <c r="Y13" s="638" t="s"/>
      <c r="Z13" s="638" t="s"/>
    </row>
    <row r="14" spans="1:26" ht="13.5">
      <c r="A14" s="641" t="s"/>
      <c r="B14" s="633" t="s"/>
      <c r="C14" s="633" t="s"/>
      <c r="D14" s="638" t="s"/>
      <c r="E14" s="633" t="s"/>
      <c r="F14" s="633" t="s"/>
      <c r="G14" s="641" t="s"/>
      <c r="H14" s="641" t="s"/>
      <c r="I14" s="633" t="s"/>
      <c r="J14" s="633" t="s"/>
      <c r="K14" s="633" t="s"/>
      <c r="L14" s="633" t="s"/>
      <c r="M14" s="633" t="s"/>
      <c r="N14" s="633" t="s"/>
      <c r="O14" s="633" t="s"/>
      <c r="P14" s="633" t="s"/>
      <c r="Q14" s="633" t="s"/>
      <c r="R14" s="633" t="s"/>
      <c r="S14" s="633" t="s"/>
      <c r="T14" s="638" t="s"/>
      <c r="U14" s="638" t="s"/>
      <c r="V14" s="638" t="s"/>
      <c r="W14" s="638" t="s"/>
      <c r="X14" s="638" t="s"/>
      <c r="Y14" s="638" t="s"/>
      <c r="Z14" s="638" t="s"/>
    </row>
    <row r="15" spans="1:26" ht="13.5">
      <c r="A15" s="641" t="s"/>
      <c r="B15" s="633" t="s"/>
      <c r="C15" s="633" t="s"/>
      <c r="D15" s="638" t="s"/>
      <c r="E15" s="633" t="s"/>
      <c r="F15" s="633" t="s"/>
      <c r="G15" s="641" t="s"/>
      <c r="H15" s="641" t="s"/>
      <c r="I15" s="633" t="s"/>
      <c r="J15" s="633" t="s"/>
      <c r="K15" s="633" t="s"/>
      <c r="L15" s="633" t="s"/>
      <c r="M15" s="633" t="s"/>
      <c r="N15" s="633" t="s"/>
      <c r="O15" s="633" t="s"/>
      <c r="P15" s="633" t="s"/>
      <c r="Q15" s="633" t="s"/>
      <c r="R15" s="633" t="s"/>
      <c r="S15" s="633" t="s"/>
      <c r="T15" s="638" t="s"/>
      <c r="U15" s="638" t="s"/>
      <c r="V15" s="638" t="s"/>
      <c r="W15" s="638" t="s"/>
      <c r="X15" s="638" t="s"/>
      <c r="Y15" s="638" t="s"/>
      <c r="Z15" s="638" t="s"/>
    </row>
    <row r="16" spans="1:26" ht="13.5">
      <c r="A16" s="641" t="s"/>
      <c r="B16" s="633" t="s"/>
      <c r="C16" s="633" t="s"/>
      <c r="D16" s="638" t="s"/>
      <c r="E16" s="633" t="s"/>
      <c r="F16" s="633" t="s"/>
      <c r="G16" s="641" t="s"/>
      <c r="H16" s="641" t="s"/>
      <c r="I16" s="633" t="s"/>
      <c r="J16" s="633" t="s"/>
      <c r="K16" s="633" t="s"/>
      <c r="L16" s="633" t="s"/>
      <c r="M16" s="633" t="s"/>
      <c r="N16" s="633" t="s"/>
      <c r="O16" s="633" t="s"/>
      <c r="P16" s="633" t="s"/>
      <c r="Q16" s="633" t="s"/>
      <c r="R16" s="633" t="s"/>
      <c r="S16" s="633" t="s"/>
      <c r="T16" s="638" t="s"/>
      <c r="U16" s="638" t="s"/>
      <c r="V16" s="638" t="s"/>
      <c r="W16" s="638" t="s"/>
      <c r="X16" s="638" t="s"/>
      <c r="Y16" s="638" t="s"/>
      <c r="Z16" s="638" t="s"/>
    </row>
    <row r="17" spans="1:26" ht="13.5">
      <c r="A17" s="641" t="s"/>
      <c r="B17" s="633" t="s"/>
      <c r="C17" s="633" t="s"/>
      <c r="D17" s="638" t="s"/>
      <c r="E17" s="633" t="s"/>
      <c r="F17" s="633" t="s"/>
      <c r="G17" s="641" t="s"/>
      <c r="H17" s="641" t="s"/>
      <c r="I17" s="633" t="s"/>
      <c r="J17" s="633" t="s"/>
      <c r="K17" s="633" t="s"/>
      <c r="L17" s="633" t="s"/>
      <c r="M17" s="633" t="s"/>
      <c r="N17" s="633" t="s"/>
      <c r="O17" s="633" t="s"/>
      <c r="P17" s="633" t="s"/>
      <c r="Q17" s="633" t="s"/>
      <c r="R17" s="633" t="s"/>
      <c r="S17" s="633" t="s"/>
      <c r="T17" s="638" t="s"/>
      <c r="U17" s="638" t="s"/>
      <c r="V17" s="638" t="s"/>
      <c r="W17" s="638" t="s"/>
      <c r="X17" s="638" t="s"/>
      <c r="Y17" s="638" t="s"/>
      <c r="Z17" s="638" t="s"/>
    </row>
    <row r="18" spans="1:26" ht="13.5">
      <c r="A18" s="641" t="s"/>
      <c r="B18" s="633" t="s"/>
      <c r="C18" s="633" t="s"/>
      <c r="D18" s="638" t="s"/>
      <c r="E18" s="633" t="s"/>
      <c r="F18" s="633" t="s"/>
      <c r="G18" s="641" t="s"/>
      <c r="H18" s="641" t="s"/>
      <c r="I18" s="633" t="s"/>
      <c r="J18" s="633" t="s"/>
      <c r="K18" s="633" t="s"/>
      <c r="L18" s="633" t="s"/>
      <c r="M18" s="633" t="s"/>
      <c r="N18" s="633" t="s"/>
      <c r="O18" s="633" t="s"/>
      <c r="P18" s="633" t="s"/>
      <c r="Q18" s="633" t="s"/>
      <c r="R18" s="633" t="s"/>
      <c r="S18" s="633" t="s"/>
      <c r="T18" s="638" t="s"/>
      <c r="U18" s="638" t="s"/>
      <c r="V18" s="638" t="s"/>
      <c r="W18" s="638" t="s"/>
      <c r="X18" s="638" t="s"/>
      <c r="Y18" s="638" t="s"/>
      <c r="Z18" s="638" t="s"/>
    </row>
    <row r="19" spans="1:26" ht="13.5">
      <c r="A19" s="641" t="s"/>
      <c r="B19" s="633" t="s"/>
      <c r="C19" s="633" t="s"/>
      <c r="D19" s="638" t="s"/>
      <c r="E19" s="633" t="s"/>
      <c r="F19" s="633" t="s"/>
      <c r="G19" s="641" t="s"/>
      <c r="H19" s="641" t="s"/>
      <c r="I19" s="633" t="s"/>
      <c r="J19" s="633" t="s"/>
      <c r="K19" s="633" t="s"/>
      <c r="L19" s="633" t="s"/>
      <c r="M19" s="633" t="s"/>
      <c r="N19" s="633" t="s"/>
      <c r="O19" s="633" t="s"/>
      <c r="P19" s="633" t="s"/>
      <c r="Q19" s="633" t="s"/>
      <c r="R19" s="633" t="s"/>
      <c r="S19" s="633" t="s"/>
      <c r="T19" s="638" t="s"/>
      <c r="U19" s="638" t="s"/>
      <c r="V19" s="638" t="s"/>
      <c r="W19" s="638" t="s"/>
      <c r="X19" s="638" t="s"/>
      <c r="Y19" s="638" t="s"/>
      <c r="Z19" s="638" t="s"/>
    </row>
    <row r="20" spans="1:26" ht="13.5">
      <c r="A20" s="641" t="s"/>
      <c r="B20" s="633" t="s"/>
      <c r="C20" s="633" t="s"/>
      <c r="D20" s="638" t="s"/>
      <c r="E20" s="633" t="s"/>
      <c r="F20" s="633" t="s"/>
      <c r="G20" s="641" t="s"/>
      <c r="H20" s="641" t="s"/>
      <c r="I20" s="633" t="s"/>
      <c r="J20" s="633" t="s"/>
      <c r="K20" s="633" t="s"/>
      <c r="L20" s="633" t="s"/>
      <c r="M20" s="633" t="s"/>
      <c r="N20" s="633" t="s"/>
      <c r="O20" s="633" t="s"/>
      <c r="P20" s="633" t="s"/>
      <c r="Q20" s="633" t="s"/>
      <c r="R20" s="633" t="s"/>
      <c r="S20" s="633" t="s"/>
      <c r="T20" s="638" t="s"/>
      <c r="U20" s="638" t="s"/>
      <c r="V20" s="638" t="s"/>
      <c r="W20" s="638" t="s"/>
      <c r="X20" s="638" t="s"/>
      <c r="Y20" s="638" t="s"/>
      <c r="Z20" s="638" t="s"/>
    </row>
    <row r="21" spans="1:26" ht="13.5">
      <c r="A21" s="641" t="s"/>
      <c r="B21" s="633" t="s"/>
      <c r="C21" s="633" t="s"/>
      <c r="D21" s="638" t="s"/>
      <c r="E21" s="633" t="s"/>
      <c r="F21" s="633" t="s"/>
      <c r="G21" s="641" t="s"/>
      <c r="H21" s="641" t="s"/>
      <c r="I21" s="633" t="s"/>
      <c r="J21" s="633" t="s"/>
      <c r="K21" s="633" t="s"/>
      <c r="L21" s="633" t="s"/>
      <c r="M21" s="633" t="s"/>
      <c r="N21" s="633" t="s"/>
      <c r="O21" s="633" t="s"/>
      <c r="P21" s="633" t="s"/>
      <c r="Q21" s="633" t="s"/>
      <c r="R21" s="633" t="s"/>
      <c r="S21" s="633" t="s"/>
      <c r="T21" s="638" t="s"/>
      <c r="U21" s="638" t="s"/>
      <c r="V21" s="638" t="s"/>
      <c r="W21" s="638" t="s"/>
      <c r="X21" s="638" t="s"/>
      <c r="Y21" s="638" t="s"/>
      <c r="Z21" s="638" t="s"/>
    </row>
    <row r="22" spans="1:26" ht="13.5">
      <c r="A22" s="641" t="s"/>
      <c r="B22" s="633" t="s"/>
      <c r="C22" s="633" t="s"/>
      <c r="D22" s="638" t="s"/>
      <c r="E22" s="633" t="s"/>
      <c r="F22" s="633" t="s"/>
      <c r="G22" s="641" t="s"/>
      <c r="H22" s="641" t="s"/>
      <c r="I22" s="633" t="s"/>
      <c r="J22" s="633" t="s"/>
      <c r="K22" s="633" t="s"/>
      <c r="L22" s="633" t="s"/>
      <c r="M22" s="633" t="s"/>
      <c r="N22" s="633" t="s"/>
      <c r="O22" s="633" t="s"/>
      <c r="P22" s="633" t="s"/>
      <c r="Q22" s="633" t="s"/>
      <c r="R22" s="633" t="s"/>
      <c r="S22" s="633" t="s"/>
      <c r="T22" s="638" t="s"/>
      <c r="U22" s="638" t="s"/>
      <c r="V22" s="638" t="s"/>
      <c r="W22" s="638" t="s"/>
      <c r="X22" s="638" t="s"/>
      <c r="Y22" s="638" t="s"/>
      <c r="Z22" s="638" t="s"/>
    </row>
    <row r="23" spans="1:26" ht="13.5">
      <c r="A23" s="641" t="s"/>
      <c r="B23" s="633" t="s"/>
      <c r="C23" s="633" t="s"/>
      <c r="D23" s="638" t="s"/>
      <c r="E23" s="633" t="s"/>
      <c r="F23" s="633" t="s"/>
      <c r="G23" s="641" t="s"/>
      <c r="H23" s="641" t="s"/>
      <c r="I23" s="633" t="s"/>
      <c r="J23" s="633" t="s"/>
      <c r="K23" s="633" t="s"/>
      <c r="L23" s="633" t="s"/>
      <c r="M23" s="633" t="s"/>
      <c r="N23" s="633" t="s"/>
      <c r="O23" s="633" t="s"/>
      <c r="P23" s="633" t="s"/>
      <c r="Q23" s="633" t="s"/>
      <c r="R23" s="633" t="s"/>
      <c r="S23" s="633" t="s"/>
      <c r="T23" s="638" t="s"/>
      <c r="U23" s="638" t="s"/>
      <c r="V23" s="638" t="s"/>
      <c r="W23" s="638" t="s"/>
      <c r="X23" s="638" t="s"/>
      <c r="Y23" s="638" t="s"/>
      <c r="Z23" s="638" t="s"/>
    </row>
    <row r="24" spans="1:26" ht="13.5">
      <c r="A24" s="641" t="s"/>
      <c r="B24" s="633" t="s"/>
      <c r="C24" s="633" t="s"/>
      <c r="D24" s="638" t="s"/>
      <c r="E24" s="633" t="s"/>
      <c r="F24" s="633" t="s"/>
      <c r="G24" s="641" t="s"/>
      <c r="H24" s="641" t="s"/>
      <c r="I24" s="633" t="s"/>
      <c r="J24" s="633" t="s"/>
      <c r="K24" s="633" t="s"/>
      <c r="L24" s="633" t="s"/>
      <c r="M24" s="633" t="s"/>
      <c r="N24" s="633" t="s"/>
      <c r="O24" s="633" t="s"/>
      <c r="P24" s="633" t="s"/>
      <c r="Q24" s="633" t="s"/>
      <c r="R24" s="633" t="s"/>
      <c r="S24" s="633" t="s"/>
      <c r="T24" s="638" t="s"/>
      <c r="U24" s="638" t="s"/>
      <c r="V24" s="638" t="s"/>
      <c r="W24" s="638" t="s"/>
      <c r="X24" s="638" t="s"/>
      <c r="Y24" s="638" t="s"/>
      <c r="Z24" s="638" t="s"/>
    </row>
    <row r="25" spans="1:26" ht="13.5">
      <c r="A25" s="641" t="s"/>
      <c r="B25" s="633" t="s"/>
      <c r="C25" s="633" t="s"/>
      <c r="D25" s="638" t="s"/>
      <c r="E25" s="633" t="s"/>
      <c r="F25" s="633" t="s"/>
      <c r="G25" s="641" t="s"/>
      <c r="H25" s="641" t="s"/>
      <c r="I25" s="633" t="s"/>
      <c r="J25" s="633" t="s"/>
      <c r="K25" s="633" t="s"/>
      <c r="L25" s="633" t="s"/>
      <c r="M25" s="633" t="s"/>
      <c r="N25" s="633" t="s"/>
      <c r="O25" s="633" t="s"/>
      <c r="P25" s="633" t="s"/>
      <c r="Q25" s="633" t="s"/>
      <c r="R25" s="633" t="s"/>
      <c r="S25" s="633" t="s"/>
      <c r="T25" s="638" t="s"/>
      <c r="U25" s="638" t="s"/>
      <c r="V25" s="638" t="s"/>
      <c r="W25" s="638" t="s"/>
      <c r="X25" s="638" t="s"/>
      <c r="Y25" s="638" t="s"/>
      <c r="Z25" s="638" t="s"/>
    </row>
    <row r="26" spans="1:26" ht="13.5">
      <c r="A26" s="641" t="s"/>
      <c r="B26" s="633" t="s"/>
      <c r="C26" s="633" t="s"/>
      <c r="D26" s="638" t="s"/>
      <c r="E26" s="633" t="s"/>
      <c r="F26" s="633" t="s"/>
      <c r="G26" s="641" t="s"/>
      <c r="H26" s="641" t="s"/>
      <c r="I26" s="633" t="s"/>
      <c r="J26" s="633" t="s"/>
      <c r="K26" s="633" t="s"/>
      <c r="L26" s="633" t="s"/>
      <c r="M26" s="633" t="s"/>
      <c r="N26" s="633" t="s"/>
      <c r="O26" s="633" t="s"/>
      <c r="P26" s="633" t="s"/>
      <c r="Q26" s="633" t="s"/>
      <c r="R26" s="633" t="s"/>
      <c r="S26" s="633" t="s"/>
      <c r="T26" s="638" t="s"/>
      <c r="U26" s="638" t="s"/>
      <c r="V26" s="638" t="s"/>
      <c r="W26" s="638" t="s"/>
      <c r="X26" s="638" t="s"/>
      <c r="Y26" s="638" t="s"/>
      <c r="Z26" s="638" t="s"/>
    </row>
    <row r="27" spans="1:26" ht="13.5">
      <c r="A27" s="641" t="s"/>
      <c r="B27" s="633" t="s"/>
      <c r="C27" s="633" t="s"/>
      <c r="D27" s="638" t="s"/>
      <c r="E27" s="633" t="s"/>
      <c r="F27" s="633" t="s"/>
      <c r="G27" s="641" t="s"/>
      <c r="H27" s="641" t="s"/>
      <c r="I27" s="633" t="s"/>
      <c r="J27" s="633" t="s"/>
      <c r="K27" s="633" t="s"/>
      <c r="L27" s="633" t="s"/>
      <c r="M27" s="633" t="s"/>
      <c r="N27" s="633" t="s"/>
      <c r="O27" s="633" t="s"/>
      <c r="P27" s="633" t="s"/>
      <c r="Q27" s="633" t="s"/>
      <c r="R27" s="633" t="s"/>
      <c r="S27" s="633" t="s"/>
      <c r="T27" s="638" t="s"/>
      <c r="U27" s="638" t="s"/>
      <c r="V27" s="638" t="s"/>
      <c r="W27" s="638" t="s"/>
      <c r="X27" s="638" t="s"/>
      <c r="Y27" s="638" t="s"/>
      <c r="Z27" s="638" t="s"/>
    </row>
    <row r="28" spans="1:26" ht="13.5">
      <c r="A28" s="641" t="s"/>
      <c r="B28" s="633" t="s"/>
      <c r="C28" s="633" t="s"/>
      <c r="D28" s="638" t="s"/>
      <c r="E28" s="633" t="s"/>
      <c r="F28" s="633" t="s"/>
      <c r="G28" s="641" t="s"/>
      <c r="H28" s="641" t="s"/>
      <c r="I28" s="633" t="s"/>
      <c r="J28" s="633" t="s"/>
      <c r="K28" s="633" t="s"/>
      <c r="L28" s="633" t="s"/>
      <c r="M28" s="633" t="s"/>
      <c r="N28" s="633" t="s"/>
      <c r="O28" s="633" t="s"/>
      <c r="P28" s="633" t="s"/>
      <c r="Q28" s="633" t="s"/>
      <c r="R28" s="633" t="s"/>
      <c r="S28" s="633" t="s"/>
      <c r="T28" s="638" t="s"/>
      <c r="U28" s="638" t="s"/>
      <c r="V28" s="638" t="s"/>
      <c r="W28" s="638" t="s"/>
      <c r="X28" s="638" t="s"/>
      <c r="Y28" s="638" t="s"/>
      <c r="Z28" s="638" t="s"/>
    </row>
    <row r="29" spans="1:26" ht="13.5">
      <c r="A29" s="641" t="s"/>
      <c r="B29" s="633" t="s"/>
      <c r="C29" s="633" t="s"/>
      <c r="D29" s="638" t="s"/>
      <c r="E29" s="633" t="s"/>
      <c r="F29" s="633" t="s"/>
      <c r="G29" s="641" t="s"/>
      <c r="H29" s="641" t="s"/>
      <c r="I29" s="633" t="s"/>
      <c r="J29" s="633" t="s"/>
      <c r="K29" s="633" t="s"/>
      <c r="L29" s="633" t="s"/>
      <c r="M29" s="633" t="s"/>
      <c r="N29" s="633" t="s"/>
      <c r="O29" s="633" t="s"/>
      <c r="P29" s="633" t="s"/>
      <c r="Q29" s="633" t="s"/>
      <c r="R29" s="633" t="s"/>
      <c r="S29" s="633" t="s"/>
      <c r="T29" s="638" t="s"/>
      <c r="U29" s="638" t="s"/>
      <c r="V29" s="638" t="s"/>
      <c r="W29" s="638" t="s"/>
      <c r="X29" s="638" t="s"/>
      <c r="Y29" s="638" t="s"/>
      <c r="Z29" s="638" t="s"/>
    </row>
    <row r="30" spans="1:26" ht="13.5">
      <c r="A30" s="641" t="s"/>
      <c r="B30" s="633" t="s"/>
      <c r="C30" s="633" t="s"/>
      <c r="D30" s="638" t="s"/>
      <c r="E30" s="633" t="s"/>
      <c r="F30" s="633" t="s"/>
      <c r="G30" s="641" t="s"/>
      <c r="H30" s="641" t="s"/>
      <c r="I30" s="633" t="s"/>
      <c r="J30" s="633" t="s"/>
      <c r="K30" s="633" t="s"/>
      <c r="L30" s="633" t="s"/>
      <c r="M30" s="633" t="s"/>
      <c r="N30" s="633" t="s"/>
      <c r="O30" s="633" t="s"/>
      <c r="P30" s="633" t="s"/>
      <c r="Q30" s="633" t="s"/>
      <c r="R30" s="633" t="s"/>
      <c r="S30" s="633" t="s"/>
      <c r="T30" s="638" t="s"/>
      <c r="U30" s="638" t="s"/>
      <c r="V30" s="638" t="s"/>
      <c r="W30" s="638" t="s"/>
      <c r="X30" s="638" t="s"/>
      <c r="Y30" s="638" t="s"/>
      <c r="Z30" s="638" t="s"/>
    </row>
    <row r="31" spans="1:26" ht="13.5">
      <c r="A31" s="641" t="s"/>
      <c r="B31" s="633" t="s"/>
      <c r="C31" s="633" t="s"/>
      <c r="D31" s="638" t="s"/>
      <c r="E31" s="633" t="s"/>
      <c r="F31" s="633" t="s"/>
      <c r="G31" s="641" t="s"/>
      <c r="H31" s="641" t="s"/>
      <c r="I31" s="633" t="s"/>
      <c r="J31" s="633" t="s"/>
      <c r="K31" s="633" t="s"/>
      <c r="L31" s="633" t="s"/>
      <c r="M31" s="633" t="s"/>
      <c r="N31" s="633" t="s"/>
      <c r="O31" s="633" t="s"/>
      <c r="P31" s="633" t="s"/>
      <c r="Q31" s="633" t="s"/>
      <c r="R31" s="633" t="s"/>
      <c r="S31" s="633" t="s"/>
      <c r="T31" s="638" t="s"/>
      <c r="U31" s="638" t="s"/>
      <c r="V31" s="638" t="s"/>
      <c r="W31" s="638" t="s"/>
      <c r="X31" s="638" t="s"/>
      <c r="Y31" s="638" t="s"/>
      <c r="Z31" s="638" t="s"/>
    </row>
    <row r="32" spans="1:26" ht="13.5">
      <c r="A32" s="641" t="s"/>
      <c r="B32" s="633" t="s"/>
      <c r="C32" s="633" t="s"/>
      <c r="D32" s="638" t="s"/>
      <c r="E32" s="633" t="s"/>
      <c r="F32" s="633" t="s"/>
      <c r="G32" s="641" t="s"/>
      <c r="H32" s="641" t="s"/>
      <c r="I32" s="633" t="s"/>
      <c r="J32" s="633" t="s"/>
      <c r="K32" s="633" t="s"/>
      <c r="L32" s="633" t="s"/>
      <c r="M32" s="633" t="s"/>
      <c r="N32" s="633" t="s"/>
      <c r="O32" s="633" t="s"/>
      <c r="P32" s="633" t="s"/>
      <c r="Q32" s="633" t="s"/>
      <c r="R32" s="633" t="s"/>
      <c r="S32" s="633" t="s"/>
      <c r="T32" s="638" t="s"/>
      <c r="U32" s="638" t="s"/>
      <c r="V32" s="638" t="s"/>
      <c r="W32" s="638" t="s"/>
      <c r="X32" s="638" t="s"/>
      <c r="Y32" s="638" t="s"/>
      <c r="Z32" s="638" t="s"/>
    </row>
    <row r="33" spans="1:26" ht="13.5">
      <c r="A33" s="641" t="s"/>
      <c r="B33" s="633" t="s"/>
      <c r="C33" s="633" t="s"/>
      <c r="D33" s="638" t="s"/>
      <c r="E33" s="633" t="s"/>
      <c r="F33" s="633" t="s"/>
      <c r="G33" s="641" t="s"/>
      <c r="H33" s="641" t="s"/>
      <c r="I33" s="633" t="s"/>
      <c r="J33" s="633" t="s"/>
      <c r="K33" s="633" t="s"/>
      <c r="L33" s="633" t="s"/>
      <c r="M33" s="633" t="s"/>
      <c r="N33" s="633" t="s"/>
      <c r="O33" s="633" t="s"/>
      <c r="P33" s="633" t="s"/>
      <c r="Q33" s="633" t="s"/>
      <c r="R33" s="633" t="s"/>
      <c r="S33" s="633" t="s"/>
      <c r="T33" s="638" t="s"/>
      <c r="U33" s="638" t="s"/>
      <c r="V33" s="638" t="s"/>
      <c r="W33" s="638" t="s"/>
      <c r="X33" s="638" t="s"/>
      <c r="Y33" s="638" t="s"/>
      <c r="Z33" s="638" t="s"/>
    </row>
    <row r="34" spans="1:26" ht="13.5">
      <c r="A34" s="641" t="s"/>
      <c r="B34" s="633" t="s"/>
      <c r="C34" s="633" t="s"/>
      <c r="D34" s="638" t="s"/>
      <c r="E34" s="633" t="s"/>
      <c r="F34" s="633" t="s"/>
      <c r="G34" s="641" t="s"/>
      <c r="H34" s="641" t="s"/>
      <c r="I34" s="633" t="s"/>
      <c r="J34" s="633" t="s"/>
      <c r="K34" s="633" t="s"/>
      <c r="L34" s="633" t="s"/>
      <c r="M34" s="633" t="s"/>
      <c r="N34" s="633" t="s"/>
      <c r="O34" s="633" t="s"/>
      <c r="P34" s="633" t="s"/>
      <c r="Q34" s="633" t="s"/>
      <c r="R34" s="633" t="s"/>
      <c r="S34" s="633" t="s"/>
      <c r="T34" s="638" t="s"/>
      <c r="U34" s="638" t="s"/>
      <c r="V34" s="638" t="s"/>
      <c r="W34" s="638" t="s"/>
      <c r="X34" s="638" t="s"/>
      <c r="Y34" s="638" t="s"/>
      <c r="Z34" s="638" t="s"/>
    </row>
    <row r="35" spans="1:26" ht="13.5">
      <c r="A35" s="641" t="s"/>
      <c r="B35" s="633" t="s"/>
      <c r="C35" s="633" t="s"/>
      <c r="D35" s="638" t="s"/>
      <c r="E35" s="633" t="s"/>
      <c r="F35" s="633" t="s"/>
      <c r="G35" s="641" t="s"/>
      <c r="H35" s="641" t="s"/>
      <c r="I35" s="633" t="s"/>
      <c r="J35" s="633" t="s"/>
      <c r="K35" s="633" t="s"/>
      <c r="L35" s="633" t="s"/>
      <c r="M35" s="633" t="s"/>
      <c r="N35" s="633" t="s"/>
      <c r="O35" s="633" t="s"/>
      <c r="P35" s="633" t="s"/>
      <c r="Q35" s="633" t="s"/>
      <c r="R35" s="633" t="s"/>
      <c r="S35" s="633" t="s"/>
      <c r="T35" s="638" t="s"/>
      <c r="U35" s="638" t="s"/>
      <c r="V35" s="638" t="s"/>
      <c r="W35" s="638" t="s"/>
      <c r="X35" s="638" t="s"/>
      <c r="Y35" s="638" t="s"/>
      <c r="Z35" s="638" t="s"/>
    </row>
    <row r="36" spans="1:26" ht="13.5">
      <c r="A36" s="641" t="s"/>
      <c r="B36" s="633" t="s"/>
      <c r="C36" s="633" t="s"/>
      <c r="D36" s="638" t="s"/>
      <c r="E36" s="633" t="s"/>
      <c r="F36" s="633" t="s"/>
      <c r="G36" s="641" t="s"/>
      <c r="H36" s="641" t="s"/>
      <c r="I36" s="633" t="s"/>
      <c r="J36" s="633" t="s"/>
      <c r="K36" s="633" t="s"/>
      <c r="L36" s="633" t="s"/>
      <c r="M36" s="633" t="s"/>
      <c r="N36" s="633" t="s"/>
      <c r="O36" s="633" t="s"/>
      <c r="P36" s="633" t="s"/>
      <c r="Q36" s="633" t="s"/>
      <c r="R36" s="633" t="s"/>
      <c r="S36" s="633" t="s"/>
      <c r="T36" s="638" t="s"/>
      <c r="U36" s="638" t="s"/>
      <c r="V36" s="638" t="s"/>
      <c r="W36" s="638" t="s"/>
      <c r="X36" s="638" t="s"/>
      <c r="Y36" s="638" t="s"/>
      <c r="Z36" s="638" t="s"/>
    </row>
    <row r="37" spans="1:26" ht="13.5">
      <c r="A37" s="641" t="s"/>
      <c r="B37" s="633" t="s"/>
      <c r="C37" s="633" t="s"/>
      <c r="D37" s="638" t="s"/>
      <c r="E37" s="633" t="s"/>
      <c r="F37" s="633" t="s"/>
      <c r="G37" s="641" t="s"/>
      <c r="H37" s="641" t="s"/>
      <c r="I37" s="633" t="s"/>
      <c r="J37" s="633" t="s"/>
      <c r="K37" s="633" t="s"/>
      <c r="L37" s="633" t="s"/>
      <c r="M37" s="633" t="s"/>
      <c r="N37" s="633" t="s"/>
      <c r="O37" s="633" t="s"/>
      <c r="P37" s="633" t="s"/>
      <c r="Q37" s="633" t="s"/>
      <c r="R37" s="633" t="s"/>
      <c r="S37" s="633" t="s"/>
      <c r="T37" s="638" t="s"/>
      <c r="U37" s="638" t="s"/>
      <c r="V37" s="638" t="s"/>
      <c r="W37" s="638" t="s"/>
      <c r="X37" s="638" t="s"/>
      <c r="Y37" s="638" t="s"/>
      <c r="Z37" s="638" t="s"/>
    </row>
    <row r="38" spans="1:26" ht="13.5">
      <c r="A38" s="641" t="s"/>
      <c r="B38" s="633" t="s"/>
      <c r="C38" s="633" t="s"/>
      <c r="D38" s="638" t="s"/>
      <c r="E38" s="633" t="s"/>
      <c r="F38" s="633" t="s"/>
      <c r="G38" s="641" t="s"/>
      <c r="H38" s="641" t="s"/>
      <c r="I38" s="633" t="s"/>
      <c r="J38" s="633" t="s"/>
      <c r="K38" s="633" t="s"/>
      <c r="L38" s="633" t="s"/>
      <c r="M38" s="633" t="s"/>
      <c r="N38" s="633" t="s"/>
      <c r="O38" s="633" t="s"/>
      <c r="P38" s="633" t="s"/>
      <c r="Q38" s="633" t="s"/>
      <c r="R38" s="633" t="s"/>
      <c r="S38" s="633" t="s"/>
      <c r="T38" s="638" t="s"/>
      <c r="U38" s="638" t="s"/>
      <c r="V38" s="638" t="s"/>
      <c r="W38" s="638" t="s"/>
      <c r="X38" s="638" t="s"/>
      <c r="Y38" s="638" t="s"/>
      <c r="Z38" s="638" t="s"/>
    </row>
    <row r="39" spans="1:26" ht="13.5">
      <c r="A39" s="641" t="s"/>
      <c r="B39" s="633" t="s"/>
      <c r="C39" s="633" t="s"/>
      <c r="D39" s="638" t="s"/>
      <c r="E39" s="633" t="s"/>
      <c r="F39" s="633" t="s"/>
      <c r="G39" s="641" t="s"/>
      <c r="H39" s="641" t="s"/>
      <c r="I39" s="633" t="s"/>
      <c r="J39" s="633" t="s"/>
      <c r="K39" s="633" t="s"/>
      <c r="L39" s="633" t="s"/>
      <c r="M39" s="633" t="s"/>
      <c r="N39" s="633" t="s"/>
      <c r="O39" s="633" t="s"/>
      <c r="P39" s="633" t="s"/>
      <c r="Q39" s="633" t="s"/>
      <c r="R39" s="633" t="s"/>
      <c r="S39" s="633" t="s"/>
      <c r="T39" s="638" t="s"/>
      <c r="U39" s="638" t="s"/>
      <c r="V39" s="638" t="s"/>
      <c r="W39" s="638" t="s"/>
      <c r="X39" s="638" t="s"/>
      <c r="Y39" s="638" t="s"/>
      <c r="Z39" s="638" t="s"/>
    </row>
    <row r="40" spans="1:26" ht="13.5">
      <c r="A40" s="641" t="s"/>
      <c r="B40" s="633" t="s"/>
      <c r="C40" s="633" t="s"/>
      <c r="D40" s="638" t="s"/>
      <c r="E40" s="633" t="s"/>
      <c r="F40" s="633" t="s"/>
      <c r="G40" s="641" t="s"/>
      <c r="H40" s="641" t="s"/>
      <c r="I40" s="633" t="s"/>
      <c r="J40" s="633" t="s"/>
      <c r="K40" s="633" t="s"/>
      <c r="L40" s="633" t="s"/>
      <c r="M40" s="633" t="s"/>
      <c r="N40" s="633" t="s"/>
      <c r="O40" s="633" t="s"/>
      <c r="P40" s="633" t="s"/>
      <c r="Q40" s="633" t="s"/>
      <c r="R40" s="633" t="s"/>
      <c r="S40" s="633" t="s"/>
      <c r="T40" s="638" t="s"/>
      <c r="U40" s="638" t="s"/>
      <c r="V40" s="638" t="s"/>
      <c r="W40" s="638" t="s"/>
      <c r="X40" s="638" t="s"/>
      <c r="Y40" s="638" t="s"/>
      <c r="Z40" s="638" t="s"/>
    </row>
    <row r="41" spans="1:26" ht="13.5">
      <c r="A41" s="641" t="s"/>
      <c r="B41" s="633" t="s"/>
      <c r="C41" s="633" t="s"/>
      <c r="D41" s="638" t="s"/>
      <c r="E41" s="633" t="s"/>
      <c r="F41" s="633" t="s"/>
      <c r="G41" s="641" t="s"/>
      <c r="H41" s="641" t="s"/>
      <c r="I41" s="633" t="s"/>
      <c r="J41" s="633" t="s"/>
      <c r="K41" s="633" t="s"/>
      <c r="L41" s="633" t="s"/>
      <c r="M41" s="633" t="s"/>
      <c r="N41" s="633" t="s"/>
      <c r="O41" s="633" t="s"/>
      <c r="P41" s="633" t="s"/>
      <c r="Q41" s="633" t="s"/>
      <c r="R41" s="633" t="s"/>
      <c r="S41" s="633" t="s"/>
      <c r="T41" s="638" t="s"/>
      <c r="U41" s="638" t="s"/>
      <c r="V41" s="638" t="s"/>
      <c r="W41" s="638" t="s"/>
      <c r="X41" s="638" t="s"/>
      <c r="Y41" s="638" t="s"/>
      <c r="Z41" s="638" t="s"/>
    </row>
    <row r="42" spans="1:26" ht="13.5">
      <c r="A42" s="641" t="s"/>
      <c r="B42" s="633" t="s"/>
      <c r="C42" s="633" t="s"/>
      <c r="D42" s="638" t="s"/>
      <c r="E42" s="633" t="s"/>
      <c r="F42" s="633" t="s"/>
      <c r="G42" s="641" t="s"/>
      <c r="H42" s="641" t="s"/>
      <c r="I42" s="633" t="s"/>
      <c r="J42" s="633" t="s"/>
      <c r="K42" s="633" t="s"/>
      <c r="L42" s="633" t="s"/>
      <c r="M42" s="633" t="s"/>
      <c r="N42" s="633" t="s"/>
      <c r="O42" s="633" t="s"/>
      <c r="P42" s="633" t="s"/>
      <c r="Q42" s="633" t="s"/>
      <c r="R42" s="633" t="s"/>
      <c r="S42" s="633" t="s"/>
      <c r="T42" s="638" t="s"/>
      <c r="U42" s="638" t="s"/>
      <c r="V42" s="638" t="s"/>
      <c r="W42" s="638" t="s"/>
      <c r="X42" s="638" t="s"/>
      <c r="Y42" s="638" t="s"/>
      <c r="Z42" s="638" t="s"/>
    </row>
    <row r="43" spans="1:26" ht="13.5">
      <c r="A43" s="641" t="s"/>
      <c r="B43" s="633" t="s"/>
      <c r="C43" s="633" t="s"/>
      <c r="D43" s="638" t="s"/>
      <c r="E43" s="633" t="s"/>
      <c r="F43" s="633" t="s"/>
      <c r="G43" s="641" t="s"/>
      <c r="H43" s="641" t="s"/>
      <c r="I43" s="633" t="s"/>
      <c r="J43" s="633" t="s"/>
      <c r="K43" s="633" t="s"/>
      <c r="L43" s="633" t="s"/>
      <c r="M43" s="633" t="s"/>
      <c r="N43" s="633" t="s"/>
      <c r="O43" s="633" t="s"/>
      <c r="P43" s="633" t="s"/>
      <c r="Q43" s="633" t="s"/>
      <c r="R43" s="633" t="s"/>
      <c r="S43" s="633" t="s"/>
      <c r="T43" s="638" t="s"/>
      <c r="U43" s="638" t="s"/>
      <c r="V43" s="638" t="s"/>
      <c r="W43" s="638" t="s"/>
      <c r="X43" s="638" t="s"/>
      <c r="Y43" s="638" t="s"/>
      <c r="Z43" s="638" t="s"/>
    </row>
    <row r="44" spans="1:26" ht="13.5">
      <c r="A44" s="641" t="s"/>
      <c r="B44" s="633" t="s"/>
      <c r="C44" s="633" t="s"/>
      <c r="D44" s="638" t="s"/>
      <c r="E44" s="633" t="s"/>
      <c r="F44" s="633" t="s"/>
      <c r="G44" s="641" t="s"/>
      <c r="H44" s="641" t="s"/>
      <c r="I44" s="633" t="s"/>
      <c r="J44" s="633" t="s"/>
      <c r="K44" s="633" t="s"/>
      <c r="L44" s="633" t="s"/>
      <c r="M44" s="633" t="s"/>
      <c r="N44" s="633" t="s"/>
      <c r="O44" s="633" t="s"/>
      <c r="P44" s="633" t="s"/>
      <c r="Q44" s="633" t="s"/>
      <c r="R44" s="633" t="s"/>
      <c r="S44" s="633" t="s"/>
      <c r="T44" s="638" t="s"/>
      <c r="U44" s="638" t="s"/>
      <c r="V44" s="638" t="s"/>
      <c r="W44" s="638" t="s"/>
      <c r="X44" s="638" t="s"/>
      <c r="Y44" s="638" t="s"/>
      <c r="Z44" s="638" t="s"/>
    </row>
    <row r="45" spans="1:26" ht="13.5">
      <c r="A45" s="641" t="s"/>
      <c r="B45" s="633" t="s"/>
      <c r="C45" s="633" t="s"/>
      <c r="D45" s="638" t="s"/>
      <c r="E45" s="633" t="s"/>
      <c r="F45" s="633" t="s"/>
      <c r="G45" s="641" t="s"/>
      <c r="H45" s="641" t="s"/>
      <c r="I45" s="633" t="s"/>
      <c r="J45" s="633" t="s"/>
      <c r="K45" s="633" t="s"/>
      <c r="L45" s="633" t="s"/>
      <c r="M45" s="633" t="s"/>
      <c r="N45" s="633" t="s"/>
      <c r="O45" s="633" t="s"/>
      <c r="P45" s="633" t="s"/>
      <c r="Q45" s="633" t="s"/>
      <c r="R45" s="633" t="s"/>
      <c r="S45" s="633" t="s"/>
      <c r="T45" s="638" t="s"/>
      <c r="U45" s="638" t="s"/>
      <c r="V45" s="638" t="s"/>
      <c r="W45" s="638" t="s"/>
      <c r="X45" s="638" t="s"/>
      <c r="Y45" s="638" t="s"/>
      <c r="Z45" s="638" t="s"/>
    </row>
    <row r="46" spans="1:26" ht="13.5">
      <c r="A46" s="641" t="s"/>
      <c r="B46" s="633" t="s"/>
      <c r="C46" s="633" t="s"/>
      <c r="D46" s="638" t="s"/>
      <c r="E46" s="633" t="s"/>
      <c r="F46" s="633" t="s"/>
      <c r="G46" s="641" t="s"/>
      <c r="H46" s="641" t="s"/>
      <c r="I46" s="633" t="s"/>
      <c r="J46" s="633" t="s"/>
      <c r="K46" s="633" t="s"/>
      <c r="L46" s="633" t="s"/>
      <c r="M46" s="633" t="s"/>
      <c r="N46" s="633" t="s"/>
      <c r="O46" s="633" t="s"/>
      <c r="P46" s="633" t="s"/>
      <c r="Q46" s="633" t="s"/>
      <c r="R46" s="633" t="s"/>
      <c r="S46" s="633" t="s"/>
      <c r="T46" s="638" t="s"/>
      <c r="U46" s="638" t="s"/>
      <c r="V46" s="638" t="s"/>
      <c r="W46" s="638" t="s"/>
      <c r="X46" s="638" t="s"/>
      <c r="Y46" s="638" t="s"/>
      <c r="Z46" s="638" t="s"/>
    </row>
    <row r="47" spans="1:26" ht="13.5">
      <c r="A47" s="641" t="s"/>
      <c r="B47" s="633" t="s"/>
      <c r="C47" s="633" t="s"/>
      <c r="D47" s="638" t="s"/>
      <c r="E47" s="633" t="s"/>
      <c r="F47" s="633" t="s"/>
      <c r="G47" s="641" t="s"/>
      <c r="H47" s="641" t="s"/>
      <c r="I47" s="633" t="s"/>
      <c r="J47" s="633" t="s"/>
      <c r="K47" s="633" t="s"/>
      <c r="L47" s="633" t="s"/>
      <c r="M47" s="633" t="s"/>
      <c r="N47" s="633" t="s"/>
      <c r="O47" s="633" t="s"/>
      <c r="P47" s="633" t="s"/>
      <c r="Q47" s="633" t="s"/>
      <c r="R47" s="633" t="s"/>
      <c r="S47" s="633" t="s"/>
      <c r="T47" s="638" t="s"/>
      <c r="U47" s="638" t="s"/>
      <c r="V47" s="638" t="s"/>
      <c r="W47" s="638" t="s"/>
      <c r="X47" s="638" t="s"/>
      <c r="Y47" s="638" t="s"/>
      <c r="Z47" s="638" t="s"/>
    </row>
    <row r="48" spans="1:26" ht="13.5">
      <c r="A48" s="641" t="s"/>
      <c r="B48" s="633" t="s"/>
      <c r="C48" s="633" t="s"/>
      <c r="D48" s="638" t="s"/>
      <c r="E48" s="633" t="s"/>
      <c r="F48" s="633" t="s"/>
      <c r="G48" s="641" t="s"/>
      <c r="H48" s="641" t="s"/>
      <c r="I48" s="633" t="s"/>
      <c r="J48" s="633" t="s"/>
      <c r="K48" s="633" t="s"/>
      <c r="L48" s="633" t="s"/>
      <c r="M48" s="633" t="s"/>
      <c r="N48" s="633" t="s"/>
      <c r="O48" s="633" t="s"/>
      <c r="P48" s="633" t="s"/>
      <c r="Q48" s="633" t="s"/>
      <c r="R48" s="633" t="s"/>
      <c r="S48" s="633" t="s"/>
      <c r="T48" s="638" t="s"/>
      <c r="U48" s="638" t="s"/>
      <c r="V48" s="638" t="s"/>
      <c r="W48" s="638" t="s"/>
      <c r="X48" s="638" t="s"/>
      <c r="Y48" s="638" t="s"/>
      <c r="Z48" s="638" t="s"/>
    </row>
    <row r="49" spans="1:26" ht="13.5">
      <c r="A49" s="641" t="s"/>
      <c r="B49" s="633" t="s"/>
      <c r="C49" s="633" t="s"/>
      <c r="D49" s="638" t="s"/>
      <c r="E49" s="633" t="s"/>
      <c r="F49" s="633" t="s"/>
      <c r="G49" s="641" t="s"/>
      <c r="H49" s="641" t="s"/>
      <c r="I49" s="633" t="s"/>
      <c r="J49" s="633" t="s"/>
      <c r="K49" s="633" t="s"/>
      <c r="L49" s="633" t="s"/>
      <c r="M49" s="633" t="s"/>
      <c r="N49" s="633" t="s"/>
      <c r="O49" s="633" t="s"/>
      <c r="P49" s="633" t="s"/>
      <c r="Q49" s="633" t="s"/>
      <c r="R49" s="633" t="s"/>
      <c r="S49" s="633" t="s"/>
      <c r="T49" s="638" t="s"/>
      <c r="U49" s="638" t="s"/>
      <c r="V49" s="638" t="s"/>
      <c r="W49" s="638" t="s"/>
      <c r="X49" s="638" t="s"/>
      <c r="Y49" s="638" t="s"/>
      <c r="Z49" s="638" t="s"/>
    </row>
    <row r="50" spans="1:26" ht="13.5">
      <c r="A50" s="641" t="s"/>
      <c r="B50" s="633" t="s"/>
      <c r="C50" s="633" t="s"/>
      <c r="D50" s="638" t="s"/>
      <c r="E50" s="633" t="s"/>
      <c r="F50" s="633" t="s"/>
      <c r="G50" s="641" t="s"/>
      <c r="H50" s="641" t="s"/>
      <c r="I50" s="633" t="s"/>
      <c r="J50" s="633" t="s"/>
      <c r="K50" s="633" t="s"/>
      <c r="L50" s="633" t="s"/>
      <c r="M50" s="633" t="s"/>
      <c r="N50" s="633" t="s"/>
      <c r="O50" s="633" t="s"/>
      <c r="P50" s="633" t="s"/>
      <c r="Q50" s="633" t="s"/>
      <c r="R50" s="633" t="s"/>
      <c r="S50" s="633" t="s"/>
      <c r="T50" s="638" t="s"/>
      <c r="U50" s="638" t="s"/>
      <c r="V50" s="638" t="s"/>
      <c r="W50" s="638" t="s"/>
      <c r="X50" s="638" t="s"/>
      <c r="Y50" s="638" t="s"/>
      <c r="Z50" s="638" t="s"/>
    </row>
    <row r="51" spans="1:26" ht="13.5">
      <c r="A51" s="641" t="s"/>
      <c r="B51" s="633" t="s"/>
      <c r="C51" s="633" t="s"/>
      <c r="D51" s="638" t="s"/>
      <c r="E51" s="633" t="s"/>
      <c r="F51" s="633" t="s"/>
      <c r="G51" s="641" t="s"/>
      <c r="H51" s="641" t="s"/>
      <c r="I51" s="633" t="s"/>
      <c r="J51" s="633" t="s"/>
      <c r="K51" s="633" t="s"/>
      <c r="L51" s="633" t="s"/>
      <c r="M51" s="633" t="s"/>
      <c r="N51" s="633" t="s"/>
      <c r="O51" s="633" t="s"/>
      <c r="P51" s="633" t="s"/>
      <c r="Q51" s="633" t="s"/>
      <c r="R51" s="633" t="s"/>
      <c r="S51" s="633" t="s"/>
      <c r="T51" s="638" t="s"/>
      <c r="U51" s="638" t="s"/>
      <c r="V51" s="638" t="s"/>
      <c r="W51" s="638" t="s"/>
      <c r="X51" s="638" t="s"/>
      <c r="Y51" s="638" t="s"/>
      <c r="Z51" s="638" t="s"/>
    </row>
    <row r="52" spans="1:26" ht="13.5">
      <c r="A52" s="641" t="s"/>
      <c r="B52" s="633" t="s"/>
      <c r="C52" s="633" t="s"/>
      <c r="D52" s="638" t="s"/>
      <c r="E52" s="633" t="s"/>
      <c r="F52" s="633" t="s"/>
      <c r="G52" s="641" t="s"/>
      <c r="H52" s="641" t="s"/>
      <c r="I52" s="633" t="s"/>
      <c r="J52" s="633" t="s"/>
      <c r="K52" s="633" t="s"/>
      <c r="L52" s="633" t="s"/>
      <c r="M52" s="633" t="s"/>
      <c r="N52" s="633" t="s"/>
      <c r="O52" s="633" t="s"/>
      <c r="P52" s="633" t="s"/>
      <c r="Q52" s="633" t="s"/>
      <c r="R52" s="633" t="s"/>
      <c r="S52" s="633" t="s"/>
      <c r="T52" s="638" t="s"/>
      <c r="U52" s="638" t="s"/>
      <c r="V52" s="638" t="s"/>
      <c r="W52" s="638" t="s"/>
      <c r="X52" s="638" t="s"/>
      <c r="Y52" s="638" t="s"/>
      <c r="Z52" s="638" t="s"/>
    </row>
    <row r="53" spans="1:26" ht="13.5">
      <c r="A53" s="641" t="s"/>
      <c r="B53" s="633" t="s"/>
      <c r="C53" s="633" t="s"/>
      <c r="D53" s="638" t="s"/>
      <c r="E53" s="633" t="s"/>
      <c r="F53" s="633" t="s"/>
      <c r="G53" s="641" t="s"/>
      <c r="H53" s="641" t="s"/>
      <c r="I53" s="633" t="s"/>
      <c r="J53" s="633" t="s"/>
      <c r="K53" s="633" t="s"/>
      <c r="L53" s="633" t="s"/>
      <c r="M53" s="633" t="s"/>
      <c r="N53" s="633" t="s"/>
      <c r="O53" s="633" t="s"/>
      <c r="P53" s="633" t="s"/>
      <c r="Q53" s="633" t="s"/>
      <c r="R53" s="633" t="s"/>
      <c r="S53" s="633" t="s"/>
      <c r="T53" s="638" t="s"/>
      <c r="U53" s="638" t="s"/>
      <c r="V53" s="638" t="s"/>
      <c r="W53" s="638" t="s"/>
      <c r="X53" s="638" t="s"/>
      <c r="Y53" s="638" t="s"/>
      <c r="Z53" s="638" t="s"/>
    </row>
    <row r="54" spans="1:26" ht="13.5">
      <c r="A54" s="641" t="s"/>
      <c r="B54" s="633" t="s"/>
      <c r="C54" s="633" t="s"/>
      <c r="D54" s="638" t="s"/>
      <c r="E54" s="633" t="s"/>
      <c r="F54" s="633" t="s"/>
      <c r="G54" s="641" t="s"/>
      <c r="H54" s="641" t="s"/>
      <c r="I54" s="633" t="s"/>
      <c r="J54" s="633" t="s"/>
      <c r="K54" s="633" t="s"/>
      <c r="L54" s="633" t="s"/>
      <c r="M54" s="633" t="s"/>
      <c r="N54" s="633" t="s"/>
      <c r="O54" s="633" t="s"/>
      <c r="P54" s="633" t="s"/>
      <c r="Q54" s="633" t="s"/>
      <c r="R54" s="633" t="s"/>
      <c r="S54" s="633" t="s"/>
      <c r="T54" s="638" t="s"/>
      <c r="U54" s="638" t="s"/>
      <c r="V54" s="638" t="s"/>
      <c r="W54" s="638" t="s"/>
      <c r="X54" s="638" t="s"/>
      <c r="Y54" s="638" t="s"/>
      <c r="Z54" s="638" t="s"/>
    </row>
    <row r="55" spans="1:26" ht="13.5">
      <c r="A55" s="641" t="s"/>
      <c r="B55" s="633" t="s"/>
      <c r="C55" s="633" t="s"/>
      <c r="D55" s="638" t="s"/>
      <c r="E55" s="633" t="s"/>
      <c r="F55" s="633" t="s"/>
      <c r="G55" s="641" t="s"/>
      <c r="H55" s="641" t="s"/>
      <c r="I55" s="633" t="s"/>
      <c r="J55" s="633" t="s"/>
      <c r="K55" s="633" t="s"/>
      <c r="L55" s="633" t="s"/>
      <c r="M55" s="633" t="s"/>
      <c r="N55" s="633" t="s"/>
      <c r="O55" s="633" t="s"/>
      <c r="P55" s="633" t="s"/>
      <c r="Q55" s="633" t="s"/>
      <c r="R55" s="633" t="s"/>
      <c r="S55" s="633" t="s"/>
      <c r="T55" s="638" t="s"/>
      <c r="U55" s="638" t="s"/>
      <c r="V55" s="638" t="s"/>
      <c r="W55" s="638" t="s"/>
      <c r="X55" s="638" t="s"/>
      <c r="Y55" s="638" t="s"/>
      <c r="Z55" s="638" t="s"/>
    </row>
    <row r="56" spans="1:26" ht="13.5">
      <c r="A56" s="641" t="s"/>
      <c r="B56" s="633" t="s"/>
      <c r="C56" s="633" t="s"/>
      <c r="D56" s="638" t="s"/>
      <c r="E56" s="633" t="s"/>
      <c r="F56" s="633" t="s"/>
      <c r="G56" s="641" t="s"/>
      <c r="H56" s="641" t="s"/>
      <c r="I56" s="633" t="s"/>
      <c r="J56" s="633" t="s"/>
      <c r="K56" s="633" t="s"/>
      <c r="L56" s="633" t="s"/>
      <c r="M56" s="633" t="s"/>
      <c r="N56" s="633" t="s"/>
      <c r="O56" s="633" t="s"/>
      <c r="P56" s="633" t="s"/>
      <c r="Q56" s="633" t="s"/>
      <c r="R56" s="633" t="s"/>
      <c r="S56" s="633" t="s"/>
      <c r="T56" s="638" t="s"/>
      <c r="U56" s="638" t="s"/>
      <c r="V56" s="638" t="s"/>
      <c r="W56" s="638" t="s"/>
      <c r="X56" s="638" t="s"/>
      <c r="Y56" s="638" t="s"/>
      <c r="Z56" s="638" t="s"/>
    </row>
    <row r="57" spans="1:26" ht="13.5">
      <c r="A57" s="641" t="s"/>
      <c r="B57" s="633" t="s"/>
      <c r="C57" s="633" t="s"/>
      <c r="D57" s="638" t="s"/>
      <c r="E57" s="633" t="s"/>
      <c r="F57" s="633" t="s"/>
      <c r="G57" s="641" t="s"/>
      <c r="H57" s="641" t="s"/>
      <c r="I57" s="633" t="s"/>
      <c r="J57" s="633" t="s"/>
      <c r="K57" s="633" t="s"/>
      <c r="L57" s="633" t="s"/>
      <c r="M57" s="633" t="s"/>
      <c r="N57" s="633" t="s"/>
      <c r="O57" s="633" t="s"/>
      <c r="P57" s="633" t="s"/>
      <c r="Q57" s="633" t="s"/>
      <c r="R57" s="633" t="s"/>
      <c r="S57" s="633" t="s"/>
      <c r="T57" s="638" t="s"/>
      <c r="U57" s="638" t="s"/>
      <c r="V57" s="638" t="s"/>
      <c r="W57" s="638" t="s"/>
      <c r="X57" s="638" t="s"/>
      <c r="Y57" s="638" t="s"/>
      <c r="Z57" s="638" t="s"/>
    </row>
    <row r="58" spans="1:26" ht="13.5">
      <c r="A58" s="641" t="s"/>
      <c r="B58" s="633" t="s"/>
      <c r="C58" s="633" t="s"/>
      <c r="D58" s="638" t="s"/>
      <c r="E58" s="633" t="s"/>
      <c r="F58" s="633" t="s"/>
      <c r="G58" s="641" t="s"/>
      <c r="H58" s="641" t="s"/>
      <c r="I58" s="633" t="s"/>
      <c r="J58" s="633" t="s"/>
      <c r="K58" s="633" t="s"/>
      <c r="L58" s="633" t="s"/>
      <c r="M58" s="633" t="s"/>
      <c r="N58" s="633" t="s"/>
      <c r="O58" s="633" t="s"/>
      <c r="P58" s="633" t="s"/>
      <c r="Q58" s="633" t="s"/>
      <c r="R58" s="633" t="s"/>
      <c r="S58" s="633" t="s"/>
      <c r="T58" s="638" t="s"/>
      <c r="U58" s="638" t="s"/>
      <c r="V58" s="638" t="s"/>
      <c r="W58" s="638" t="s"/>
      <c r="X58" s="638" t="s"/>
      <c r="Y58" s="638" t="s"/>
      <c r="Z58" s="638" t="s"/>
    </row>
    <row r="59" spans="1:26" ht="13.5">
      <c r="A59" s="641" t="s"/>
      <c r="B59" s="633" t="s"/>
      <c r="C59" s="633" t="s"/>
      <c r="D59" s="638" t="s"/>
      <c r="E59" s="633" t="s"/>
      <c r="F59" s="633" t="s"/>
      <c r="G59" s="641" t="s"/>
      <c r="H59" s="641" t="s"/>
      <c r="I59" s="633" t="s"/>
      <c r="J59" s="633" t="s"/>
      <c r="K59" s="633" t="s"/>
      <c r="L59" s="633" t="s"/>
      <c r="M59" s="633" t="s"/>
      <c r="N59" s="633" t="s"/>
      <c r="O59" s="633" t="s"/>
      <c r="P59" s="633" t="s"/>
      <c r="Q59" s="633" t="s"/>
      <c r="R59" s="633" t="s"/>
      <c r="S59" s="633" t="s"/>
      <c r="T59" s="638" t="s"/>
      <c r="U59" s="638" t="s"/>
      <c r="V59" s="638" t="s"/>
      <c r="W59" s="638" t="s"/>
      <c r="X59" s="638" t="s"/>
      <c r="Y59" s="638" t="s"/>
      <c r="Z59" s="638" t="s"/>
    </row>
    <row r="60" spans="1:26" ht="13.5">
      <c r="A60" s="641" t="s"/>
      <c r="B60" s="633" t="s"/>
      <c r="C60" s="633" t="s"/>
      <c r="D60" s="638" t="s"/>
      <c r="E60" s="633" t="s"/>
      <c r="F60" s="633" t="s"/>
      <c r="G60" s="641" t="s"/>
      <c r="H60" s="641" t="s"/>
      <c r="I60" s="633" t="s"/>
      <c r="J60" s="633" t="s"/>
      <c r="K60" s="633" t="s"/>
      <c r="L60" s="633" t="s"/>
      <c r="M60" s="633" t="s"/>
      <c r="N60" s="633" t="s"/>
      <c r="O60" s="633" t="s"/>
      <c r="P60" s="633" t="s"/>
      <c r="Q60" s="633" t="s"/>
      <c r="R60" s="633" t="s"/>
      <c r="S60" s="633" t="s"/>
      <c r="T60" s="638" t="s"/>
      <c r="U60" s="638" t="s"/>
      <c r="V60" s="638" t="s"/>
      <c r="W60" s="638" t="s"/>
      <c r="X60" s="638" t="s"/>
      <c r="Y60" s="638" t="s"/>
      <c r="Z60" s="638" t="s"/>
    </row>
    <row r="61" spans="1:26" ht="13.5">
      <c r="A61" s="641" t="s"/>
      <c r="B61" s="633" t="s"/>
      <c r="C61" s="633" t="s"/>
      <c r="D61" s="638" t="s"/>
      <c r="E61" s="633" t="s"/>
      <c r="F61" s="633" t="s"/>
      <c r="G61" s="641" t="s"/>
      <c r="H61" s="641" t="s"/>
      <c r="I61" s="633" t="s"/>
      <c r="J61" s="633" t="s"/>
      <c r="K61" s="633" t="s"/>
      <c r="L61" s="633" t="s"/>
      <c r="M61" s="633" t="s"/>
      <c r="N61" s="633" t="s"/>
      <c r="O61" s="633" t="s"/>
      <c r="P61" s="633" t="s"/>
      <c r="Q61" s="633" t="s"/>
      <c r="R61" s="633" t="s"/>
      <c r="S61" s="633" t="s"/>
      <c r="T61" s="638" t="s"/>
      <c r="U61" s="638" t="s"/>
      <c r="V61" s="638" t="s"/>
      <c r="W61" s="638" t="s"/>
      <c r="X61" s="638" t="s"/>
      <c r="Y61" s="638" t="s"/>
      <c r="Z61" s="638" t="s"/>
    </row>
    <row r="62" spans="1:26" ht="13.5">
      <c r="A62" s="641" t="s"/>
      <c r="B62" s="633" t="s"/>
      <c r="C62" s="633" t="s"/>
      <c r="D62" s="638" t="s"/>
      <c r="E62" s="633" t="s"/>
      <c r="F62" s="633" t="s"/>
      <c r="G62" s="641" t="s"/>
      <c r="H62" s="641" t="s"/>
      <c r="I62" s="633" t="s"/>
      <c r="J62" s="633" t="s"/>
      <c r="K62" s="633" t="s"/>
      <c r="L62" s="633" t="s"/>
      <c r="M62" s="633" t="s"/>
      <c r="N62" s="633" t="s"/>
      <c r="O62" s="633" t="s"/>
      <c r="P62" s="633" t="s"/>
      <c r="Q62" s="633" t="s"/>
      <c r="R62" s="633" t="s"/>
      <c r="S62" s="633" t="s"/>
      <c r="T62" s="638" t="s"/>
      <c r="U62" s="638" t="s"/>
      <c r="V62" s="638" t="s"/>
      <c r="W62" s="638" t="s"/>
      <c r="X62" s="638" t="s"/>
      <c r="Y62" s="638" t="s"/>
      <c r="Z62" s="638" t="s"/>
    </row>
    <row r="63" spans="1:26" ht="13.5">
      <c r="A63" s="641" t="s"/>
      <c r="B63" s="633" t="s"/>
      <c r="C63" s="633" t="s"/>
      <c r="D63" s="638" t="s"/>
      <c r="E63" s="633" t="s"/>
      <c r="F63" s="633" t="s"/>
      <c r="G63" s="641" t="s"/>
      <c r="H63" s="641" t="s"/>
      <c r="I63" s="633" t="s"/>
      <c r="J63" s="633" t="s"/>
      <c r="K63" s="633" t="s"/>
      <c r="L63" s="633" t="s"/>
      <c r="M63" s="633" t="s"/>
      <c r="N63" s="633" t="s"/>
      <c r="O63" s="633" t="s"/>
      <c r="P63" s="633" t="s"/>
      <c r="Q63" s="633" t="s"/>
      <c r="R63" s="633" t="s"/>
      <c r="S63" s="633" t="s"/>
      <c r="T63" s="638" t="s"/>
      <c r="U63" s="638" t="s"/>
      <c r="V63" s="638" t="s"/>
      <c r="W63" s="638" t="s"/>
      <c r="X63" s="638" t="s"/>
      <c r="Y63" s="638" t="s"/>
      <c r="Z63" s="638" t="s"/>
    </row>
    <row r="64" spans="1:26" ht="13.5">
      <c r="A64" s="641" t="s"/>
      <c r="B64" s="633" t="s"/>
      <c r="C64" s="633" t="s"/>
      <c r="D64" s="638" t="s"/>
      <c r="E64" s="633" t="s"/>
      <c r="F64" s="633" t="s"/>
      <c r="G64" s="641" t="s"/>
      <c r="H64" s="641" t="s"/>
      <c r="I64" s="633" t="s"/>
      <c r="J64" s="633" t="s"/>
      <c r="K64" s="633" t="s"/>
      <c r="L64" s="633" t="s"/>
      <c r="M64" s="633" t="s"/>
      <c r="N64" s="633" t="s"/>
      <c r="O64" s="633" t="s"/>
      <c r="P64" s="633" t="s"/>
      <c r="Q64" s="633" t="s"/>
      <c r="R64" s="633" t="s"/>
      <c r="S64" s="633" t="s"/>
      <c r="T64" s="638" t="s"/>
      <c r="U64" s="638" t="s"/>
      <c r="V64" s="638" t="s"/>
      <c r="W64" s="638" t="s"/>
      <c r="X64" s="638" t="s"/>
      <c r="Y64" s="638" t="s"/>
      <c r="Z64" s="638" t="s"/>
    </row>
    <row r="65" spans="1:26" ht="13.5">
      <c r="A65" s="641" t="s"/>
      <c r="B65" s="633" t="s"/>
      <c r="C65" s="633" t="s"/>
      <c r="D65" s="638" t="s"/>
      <c r="E65" s="633" t="s"/>
      <c r="F65" s="633" t="s"/>
      <c r="G65" s="641" t="s"/>
      <c r="H65" s="641" t="s"/>
      <c r="I65" s="633" t="s"/>
      <c r="J65" s="633" t="s"/>
      <c r="K65" s="633" t="s"/>
      <c r="L65" s="633" t="s"/>
      <c r="M65" s="633" t="s"/>
      <c r="N65" s="633" t="s"/>
      <c r="O65" s="633" t="s"/>
      <c r="P65" s="633" t="s"/>
      <c r="Q65" s="633" t="s"/>
      <c r="R65" s="633" t="s"/>
      <c r="S65" s="633" t="s"/>
      <c r="T65" s="638" t="s"/>
      <c r="U65" s="638" t="s"/>
      <c r="V65" s="638" t="s"/>
      <c r="W65" s="638" t="s"/>
      <c r="X65" s="638" t="s"/>
      <c r="Y65" s="638" t="s"/>
      <c r="Z65" s="638" t="s"/>
    </row>
    <row r="66" spans="1:26" ht="13.5">
      <c r="A66" s="641" t="s"/>
      <c r="B66" s="633" t="s"/>
      <c r="C66" s="633" t="s"/>
      <c r="D66" s="638" t="s"/>
      <c r="E66" s="633" t="s"/>
      <c r="F66" s="633" t="s"/>
      <c r="G66" s="641" t="s"/>
      <c r="H66" s="641" t="s"/>
      <c r="I66" s="633" t="s"/>
      <c r="J66" s="633" t="s"/>
      <c r="K66" s="633" t="s"/>
      <c r="L66" s="633" t="s"/>
      <c r="M66" s="633" t="s"/>
      <c r="N66" s="633" t="s"/>
      <c r="O66" s="633" t="s"/>
      <c r="P66" s="633" t="s"/>
      <c r="Q66" s="633" t="s"/>
      <c r="R66" s="633" t="s"/>
      <c r="S66" s="633" t="s"/>
      <c r="T66" s="638" t="s"/>
      <c r="U66" s="638" t="s"/>
      <c r="V66" s="638" t="s"/>
      <c r="W66" s="638" t="s"/>
      <c r="X66" s="638" t="s"/>
      <c r="Y66" s="638" t="s"/>
      <c r="Z66" s="638" t="s"/>
    </row>
    <row r="67" spans="1:26" ht="13.5">
      <c r="A67" s="641" t="s"/>
      <c r="B67" s="633" t="s"/>
      <c r="C67" s="633" t="s"/>
      <c r="D67" s="638" t="s"/>
      <c r="E67" s="633" t="s"/>
      <c r="F67" s="633" t="s"/>
      <c r="G67" s="641" t="s"/>
      <c r="H67" s="641" t="s"/>
      <c r="I67" s="633" t="s"/>
      <c r="J67" s="633" t="s"/>
      <c r="K67" s="633" t="s"/>
      <c r="L67" s="633" t="s"/>
      <c r="M67" s="633" t="s"/>
      <c r="N67" s="633" t="s"/>
      <c r="O67" s="633" t="s"/>
      <c r="P67" s="633" t="s"/>
      <c r="Q67" s="633" t="s"/>
      <c r="R67" s="633" t="s"/>
      <c r="S67" s="633" t="s"/>
      <c r="T67" s="638" t="s"/>
      <c r="U67" s="638" t="s"/>
      <c r="V67" s="638" t="s"/>
      <c r="W67" s="638" t="s"/>
      <c r="X67" s="638" t="s"/>
      <c r="Y67" s="638" t="s"/>
      <c r="Z67" s="638" t="s"/>
    </row>
    <row r="68" spans="1:26" ht="13.5">
      <c r="A68" s="641" t="s"/>
      <c r="B68" s="633" t="s"/>
      <c r="C68" s="633" t="s"/>
      <c r="D68" s="638" t="s"/>
      <c r="E68" s="633" t="s"/>
      <c r="F68" s="633" t="s"/>
      <c r="G68" s="641" t="s"/>
      <c r="H68" s="641" t="s"/>
      <c r="I68" s="633" t="s"/>
      <c r="J68" s="633" t="s"/>
      <c r="K68" s="633" t="s"/>
      <c r="L68" s="633" t="s"/>
      <c r="M68" s="633" t="s"/>
      <c r="N68" s="633" t="s"/>
      <c r="O68" s="633" t="s"/>
      <c r="P68" s="633" t="s"/>
      <c r="Q68" s="633" t="s"/>
      <c r="R68" s="633" t="s"/>
      <c r="S68" s="633" t="s"/>
      <c r="T68" s="638" t="s"/>
      <c r="U68" s="638" t="s"/>
      <c r="V68" s="638" t="s"/>
      <c r="W68" s="638" t="s"/>
      <c r="X68" s="638" t="s"/>
      <c r="Y68" s="638" t="s"/>
      <c r="Z68" s="638" t="s"/>
    </row>
    <row r="69" spans="1:26" ht="13.5">
      <c r="A69" s="641" t="s"/>
      <c r="B69" s="633" t="s"/>
      <c r="C69" s="633" t="s"/>
      <c r="D69" s="638" t="s"/>
      <c r="E69" s="633" t="s"/>
      <c r="F69" s="633" t="s"/>
      <c r="G69" s="641" t="s"/>
      <c r="H69" s="641" t="s"/>
      <c r="I69" s="633" t="s"/>
      <c r="J69" s="633" t="s"/>
      <c r="K69" s="633" t="s"/>
      <c r="L69" s="633" t="s"/>
      <c r="M69" s="633" t="s"/>
      <c r="N69" s="633" t="s"/>
      <c r="O69" s="633" t="s"/>
      <c r="P69" s="633" t="s"/>
      <c r="Q69" s="633" t="s"/>
      <c r="R69" s="633" t="s"/>
      <c r="S69" s="633" t="s"/>
      <c r="T69" s="638" t="s"/>
      <c r="U69" s="638" t="s"/>
      <c r="V69" s="638" t="s"/>
      <c r="W69" s="638" t="s"/>
      <c r="X69" s="638" t="s"/>
      <c r="Y69" s="638" t="s"/>
      <c r="Z69" s="638" t="s"/>
    </row>
    <row r="70" spans="1:26" ht="13.5">
      <c r="A70" s="641" t="s"/>
      <c r="B70" s="633" t="s"/>
      <c r="C70" s="633" t="s"/>
      <c r="D70" s="638" t="s"/>
      <c r="E70" s="633" t="s"/>
      <c r="F70" s="633" t="s"/>
      <c r="G70" s="641" t="s"/>
      <c r="H70" s="641" t="s"/>
      <c r="I70" s="633" t="s"/>
      <c r="J70" s="633" t="s"/>
      <c r="K70" s="633" t="s"/>
      <c r="L70" s="633" t="s"/>
      <c r="M70" s="633" t="s"/>
      <c r="N70" s="633" t="s"/>
      <c r="O70" s="633" t="s"/>
      <c r="P70" s="633" t="s"/>
      <c r="Q70" s="633" t="s"/>
      <c r="R70" s="633" t="s"/>
      <c r="S70" s="633" t="s"/>
      <c r="T70" s="638" t="s"/>
      <c r="U70" s="638" t="s"/>
      <c r="V70" s="638" t="s"/>
      <c r="W70" s="638" t="s"/>
      <c r="X70" s="638" t="s"/>
      <c r="Y70" s="638" t="s"/>
      <c r="Z70" s="638" t="s"/>
    </row>
    <row r="71" spans="1:26" ht="13.5">
      <c r="A71" s="641" t="s"/>
      <c r="B71" s="633" t="s"/>
      <c r="C71" s="633" t="s"/>
      <c r="D71" s="638" t="s"/>
      <c r="E71" s="633" t="s"/>
      <c r="F71" s="633" t="s"/>
      <c r="G71" s="641" t="s"/>
      <c r="H71" s="641" t="s"/>
      <c r="I71" s="633" t="s"/>
      <c r="J71" s="633" t="s"/>
      <c r="K71" s="633" t="s"/>
      <c r="L71" s="633" t="s"/>
      <c r="M71" s="633" t="s"/>
      <c r="N71" s="633" t="s"/>
      <c r="O71" s="633" t="s"/>
      <c r="P71" s="633" t="s"/>
      <c r="Q71" s="633" t="s"/>
      <c r="R71" s="633" t="s"/>
      <c r="S71" s="633" t="s"/>
      <c r="T71" s="638" t="s"/>
      <c r="U71" s="638" t="s"/>
      <c r="V71" s="638" t="s"/>
      <c r="W71" s="638" t="s"/>
      <c r="X71" s="638" t="s"/>
      <c r="Y71" s="638" t="s"/>
      <c r="Z71" s="638" t="s"/>
    </row>
    <row r="72" spans="1:26" ht="13.5">
      <c r="A72" s="641" t="s"/>
      <c r="B72" s="633" t="s"/>
      <c r="C72" s="633" t="s"/>
      <c r="D72" s="638" t="s"/>
      <c r="E72" s="633" t="s"/>
      <c r="F72" s="633" t="s"/>
      <c r="G72" s="641" t="s"/>
      <c r="H72" s="641" t="s"/>
      <c r="I72" s="633" t="s"/>
      <c r="J72" s="633" t="s"/>
      <c r="K72" s="633" t="s"/>
      <c r="L72" s="633" t="s"/>
      <c r="M72" s="633" t="s"/>
      <c r="N72" s="633" t="s"/>
      <c r="O72" s="633" t="s"/>
      <c r="P72" s="633" t="s"/>
      <c r="Q72" s="633" t="s"/>
      <c r="R72" s="633" t="s"/>
      <c r="S72" s="633" t="s"/>
      <c r="T72" s="638" t="s"/>
      <c r="U72" s="638" t="s"/>
      <c r="V72" s="638" t="s"/>
      <c r="W72" s="638" t="s"/>
      <c r="X72" s="638" t="s"/>
      <c r="Y72" s="638" t="s"/>
      <c r="Z72" s="638" t="s"/>
    </row>
    <row r="73" spans="1:26" ht="13.5">
      <c r="A73" s="641" t="s"/>
      <c r="B73" s="633" t="s"/>
      <c r="C73" s="633" t="s"/>
      <c r="D73" s="638" t="s"/>
      <c r="E73" s="633" t="s"/>
      <c r="F73" s="633" t="s"/>
      <c r="G73" s="641" t="s"/>
      <c r="H73" s="641" t="s"/>
      <c r="I73" s="633" t="s"/>
      <c r="J73" s="633" t="s"/>
      <c r="K73" s="633" t="s"/>
      <c r="L73" s="633" t="s"/>
      <c r="M73" s="633" t="s"/>
      <c r="N73" s="633" t="s"/>
      <c r="O73" s="633" t="s"/>
      <c r="P73" s="633" t="s"/>
      <c r="Q73" s="633" t="s"/>
      <c r="R73" s="633" t="s"/>
      <c r="S73" s="633" t="s"/>
      <c r="T73" s="638" t="s"/>
      <c r="U73" s="638" t="s"/>
      <c r="V73" s="638" t="s"/>
      <c r="W73" s="638" t="s"/>
      <c r="X73" s="638" t="s"/>
      <c r="Y73" s="638" t="s"/>
      <c r="Z73" s="638" t="s"/>
    </row>
    <row r="74" spans="1:26" ht="13.5">
      <c r="A74" s="641" t="s"/>
      <c r="B74" s="633" t="s"/>
      <c r="C74" s="633" t="s"/>
      <c r="D74" s="638" t="s"/>
      <c r="E74" s="633" t="s"/>
      <c r="F74" s="633" t="s"/>
      <c r="G74" s="641" t="s"/>
      <c r="H74" s="641" t="s"/>
      <c r="I74" s="633" t="s"/>
      <c r="J74" s="633" t="s"/>
      <c r="K74" s="633" t="s"/>
      <c r="L74" s="633" t="s"/>
      <c r="M74" s="633" t="s"/>
      <c r="N74" s="633" t="s"/>
      <c r="O74" s="633" t="s"/>
      <c r="P74" s="633" t="s"/>
      <c r="Q74" s="633" t="s"/>
      <c r="R74" s="633" t="s"/>
      <c r="S74" s="633" t="s"/>
      <c r="T74" s="638" t="s"/>
      <c r="U74" s="638" t="s"/>
      <c r="V74" s="638" t="s"/>
      <c r="W74" s="638" t="s"/>
      <c r="X74" s="638" t="s"/>
      <c r="Y74" s="638" t="s"/>
      <c r="Z74" s="638" t="s"/>
    </row>
    <row r="75" spans="1:26" ht="13.5">
      <c r="A75" s="641" t="s"/>
      <c r="B75" s="633" t="s"/>
      <c r="C75" s="633" t="s"/>
      <c r="D75" s="638" t="s"/>
      <c r="E75" s="633" t="s"/>
      <c r="F75" s="633" t="s"/>
      <c r="G75" s="641" t="s"/>
      <c r="H75" s="641" t="s"/>
      <c r="I75" s="633" t="s"/>
      <c r="J75" s="633" t="s"/>
      <c r="K75" s="633" t="s"/>
      <c r="L75" s="633" t="s"/>
      <c r="M75" s="633" t="s"/>
      <c r="N75" s="633" t="s"/>
      <c r="O75" s="633" t="s"/>
      <c r="P75" s="633" t="s"/>
      <c r="Q75" s="633" t="s"/>
      <c r="R75" s="633" t="s"/>
      <c r="S75" s="633" t="s"/>
      <c r="T75" s="638" t="s"/>
      <c r="U75" s="638" t="s"/>
      <c r="V75" s="638" t="s"/>
      <c r="W75" s="638" t="s"/>
      <c r="X75" s="638" t="s"/>
      <c r="Y75" s="638" t="s"/>
      <c r="Z75" s="638" t="s"/>
    </row>
    <row r="76" spans="1:26" ht="13.5">
      <c r="A76" s="641" t="s"/>
      <c r="B76" s="633" t="s"/>
      <c r="C76" s="633" t="s"/>
      <c r="D76" s="638" t="s"/>
      <c r="E76" s="633" t="s"/>
      <c r="F76" s="633" t="s"/>
      <c r="G76" s="641" t="s"/>
      <c r="H76" s="641" t="s"/>
      <c r="I76" s="633" t="s"/>
      <c r="J76" s="633" t="s"/>
      <c r="K76" s="633" t="s"/>
      <c r="L76" s="633" t="s"/>
      <c r="M76" s="633" t="s"/>
      <c r="N76" s="633" t="s"/>
      <c r="O76" s="633" t="s"/>
      <c r="P76" s="633" t="s"/>
      <c r="Q76" s="633" t="s"/>
      <c r="R76" s="633" t="s"/>
      <c r="S76" s="633" t="s"/>
      <c r="T76" s="638" t="s"/>
      <c r="U76" s="638" t="s"/>
      <c r="V76" s="638" t="s"/>
      <c r="W76" s="638" t="s"/>
      <c r="X76" s="638" t="s"/>
      <c r="Y76" s="638" t="s"/>
      <c r="Z76" s="638" t="s"/>
    </row>
    <row r="77" spans="1:26" ht="13.5">
      <c r="A77" s="641" t="s"/>
      <c r="B77" s="633" t="s"/>
      <c r="C77" s="633" t="s"/>
      <c r="D77" s="638" t="s"/>
      <c r="E77" s="633" t="s"/>
      <c r="F77" s="633" t="s"/>
      <c r="G77" s="641" t="s"/>
      <c r="H77" s="641" t="s"/>
      <c r="I77" s="633" t="s"/>
      <c r="J77" s="633" t="s"/>
      <c r="K77" s="633" t="s"/>
      <c r="L77" s="633" t="s"/>
      <c r="M77" s="633" t="s"/>
      <c r="N77" s="633" t="s"/>
      <c r="O77" s="633" t="s"/>
      <c r="P77" s="633" t="s"/>
      <c r="Q77" s="633" t="s"/>
      <c r="R77" s="633" t="s"/>
      <c r="S77" s="633" t="s"/>
      <c r="T77" s="638" t="s"/>
      <c r="U77" s="638" t="s"/>
      <c r="V77" s="638" t="s"/>
      <c r="W77" s="638" t="s"/>
      <c r="X77" s="638" t="s"/>
      <c r="Y77" s="638" t="s"/>
      <c r="Z77" s="638" t="s"/>
    </row>
    <row r="78" spans="1:26" ht="13.5">
      <c r="A78" s="641" t="s"/>
      <c r="B78" s="633" t="s"/>
      <c r="C78" s="633" t="s"/>
      <c r="D78" s="638" t="s"/>
      <c r="E78" s="633" t="s"/>
      <c r="F78" s="633" t="s"/>
      <c r="G78" s="641" t="s"/>
      <c r="H78" s="641" t="s"/>
      <c r="I78" s="633" t="s"/>
      <c r="J78" s="633" t="s"/>
      <c r="K78" s="633" t="s"/>
      <c r="L78" s="633" t="s"/>
      <c r="M78" s="633" t="s"/>
      <c r="N78" s="633" t="s"/>
      <c r="O78" s="633" t="s"/>
      <c r="P78" s="633" t="s"/>
      <c r="Q78" s="633" t="s"/>
      <c r="R78" s="633" t="s"/>
      <c r="S78" s="633" t="s"/>
      <c r="T78" s="638" t="s"/>
      <c r="U78" s="638" t="s"/>
      <c r="V78" s="638" t="s"/>
      <c r="W78" s="638" t="s"/>
      <c r="X78" s="638" t="s"/>
      <c r="Y78" s="638" t="s"/>
      <c r="Z78" s="638" t="s"/>
    </row>
    <row r="79" spans="1:26" ht="13.5">
      <c r="A79" s="641" t="s"/>
      <c r="B79" s="633" t="s"/>
      <c r="C79" s="633" t="s"/>
      <c r="D79" s="638" t="s"/>
      <c r="E79" s="633" t="s"/>
      <c r="F79" s="633" t="s"/>
      <c r="G79" s="641" t="s"/>
      <c r="H79" s="641" t="s"/>
      <c r="I79" s="633" t="s"/>
      <c r="J79" s="633" t="s"/>
      <c r="K79" s="633" t="s"/>
      <c r="L79" s="633" t="s"/>
      <c r="M79" s="633" t="s"/>
      <c r="N79" s="633" t="s"/>
      <c r="O79" s="633" t="s"/>
      <c r="P79" s="633" t="s"/>
      <c r="Q79" s="633" t="s"/>
      <c r="R79" s="633" t="s"/>
      <c r="S79" s="633" t="s"/>
      <c r="T79" s="638" t="s"/>
      <c r="U79" s="638" t="s"/>
      <c r="V79" s="638" t="s"/>
      <c r="W79" s="638" t="s"/>
      <c r="X79" s="638" t="s"/>
      <c r="Y79" s="638" t="s"/>
      <c r="Z79" s="638" t="s"/>
    </row>
    <row r="80" spans="1:26" ht="13.5">
      <c r="A80" s="641" t="s"/>
      <c r="B80" s="633" t="s"/>
      <c r="C80" s="633" t="s"/>
      <c r="D80" s="638" t="s"/>
      <c r="E80" s="633" t="s"/>
      <c r="F80" s="633" t="s"/>
      <c r="G80" s="641" t="s"/>
      <c r="H80" s="641" t="s"/>
      <c r="I80" s="633" t="s"/>
      <c r="J80" s="633" t="s"/>
      <c r="K80" s="633" t="s"/>
      <c r="L80" s="633" t="s"/>
      <c r="M80" s="633" t="s"/>
      <c r="N80" s="633" t="s"/>
      <c r="O80" s="633" t="s"/>
      <c r="P80" s="633" t="s"/>
      <c r="Q80" s="633" t="s"/>
      <c r="R80" s="633" t="s"/>
      <c r="S80" s="633" t="s"/>
      <c r="T80" s="638" t="s"/>
      <c r="U80" s="638" t="s"/>
      <c r="V80" s="638" t="s"/>
      <c r="W80" s="638" t="s"/>
      <c r="X80" s="638" t="s"/>
      <c r="Y80" s="638" t="s"/>
      <c r="Z80" s="638" t="s"/>
    </row>
    <row r="81" spans="1:26" ht="13.5">
      <c r="A81" s="641" t="s"/>
      <c r="B81" s="633" t="s"/>
      <c r="C81" s="633" t="s"/>
      <c r="D81" s="638" t="s"/>
      <c r="E81" s="633" t="s"/>
      <c r="F81" s="633" t="s"/>
      <c r="G81" s="641" t="s"/>
      <c r="H81" s="641" t="s"/>
      <c r="I81" s="633" t="s"/>
      <c r="J81" s="633" t="s"/>
      <c r="K81" s="633" t="s"/>
      <c r="L81" s="633" t="s"/>
      <c r="M81" s="633" t="s"/>
      <c r="N81" s="633" t="s"/>
      <c r="O81" s="633" t="s"/>
      <c r="P81" s="633" t="s"/>
      <c r="Q81" s="633" t="s"/>
      <c r="R81" s="633" t="s"/>
      <c r="S81" s="633" t="s"/>
      <c r="T81" s="638" t="s"/>
      <c r="U81" s="638" t="s"/>
      <c r="V81" s="638" t="s"/>
      <c r="W81" s="638" t="s"/>
      <c r="X81" s="638" t="s"/>
      <c r="Y81" s="638" t="s"/>
      <c r="Z81" s="638" t="s"/>
    </row>
    <row r="82" spans="1:26" ht="13.5">
      <c r="A82" s="641" t="s"/>
      <c r="B82" s="633" t="s"/>
      <c r="C82" s="633" t="s"/>
      <c r="D82" s="638" t="s"/>
      <c r="E82" s="633" t="s"/>
      <c r="F82" s="633" t="s"/>
      <c r="G82" s="641" t="s"/>
      <c r="H82" s="641" t="s"/>
      <c r="I82" s="633" t="s"/>
      <c r="J82" s="633" t="s"/>
      <c r="K82" s="633" t="s"/>
      <c r="L82" s="633" t="s"/>
      <c r="M82" s="633" t="s"/>
      <c r="N82" s="633" t="s"/>
      <c r="O82" s="633" t="s"/>
      <c r="P82" s="633" t="s"/>
      <c r="Q82" s="633" t="s"/>
      <c r="R82" s="633" t="s"/>
      <c r="S82" s="633" t="s"/>
      <c r="T82" s="638" t="s"/>
      <c r="U82" s="638" t="s"/>
      <c r="V82" s="638" t="s"/>
      <c r="W82" s="638" t="s"/>
      <c r="X82" s="638" t="s"/>
      <c r="Y82" s="638" t="s"/>
      <c r="Z82" s="638" t="s"/>
    </row>
    <row r="83" spans="1:26" ht="13.5">
      <c r="A83" s="641" t="s"/>
      <c r="B83" s="633" t="s"/>
      <c r="C83" s="633" t="s"/>
      <c r="D83" s="638" t="s"/>
      <c r="E83" s="633" t="s"/>
      <c r="F83" s="633" t="s"/>
      <c r="G83" s="641" t="s"/>
      <c r="H83" s="641" t="s"/>
      <c r="I83" s="633" t="s"/>
      <c r="J83" s="633" t="s"/>
      <c r="K83" s="633" t="s"/>
      <c r="L83" s="633" t="s"/>
      <c r="M83" s="633" t="s"/>
      <c r="N83" s="633" t="s"/>
      <c r="O83" s="633" t="s"/>
      <c r="P83" s="633" t="s"/>
      <c r="Q83" s="633" t="s"/>
      <c r="R83" s="633" t="s"/>
      <c r="S83" s="633" t="s"/>
      <c r="T83" s="638" t="s"/>
      <c r="U83" s="638" t="s"/>
      <c r="V83" s="638" t="s"/>
      <c r="W83" s="638" t="s"/>
      <c r="X83" s="638" t="s"/>
      <c r="Y83" s="638" t="s"/>
      <c r="Z83" s="638" t="s"/>
    </row>
    <row r="84" spans="1:26" ht="13.5">
      <c r="A84" s="641" t="s"/>
      <c r="B84" s="633" t="s"/>
      <c r="C84" s="633" t="s"/>
      <c r="D84" s="638" t="s"/>
      <c r="E84" s="633" t="s"/>
      <c r="F84" s="633" t="s"/>
      <c r="G84" s="641" t="s"/>
      <c r="H84" s="641" t="s"/>
      <c r="I84" s="633" t="s"/>
      <c r="J84" s="633" t="s"/>
      <c r="K84" s="633" t="s"/>
      <c r="L84" s="633" t="s"/>
      <c r="M84" s="633" t="s"/>
      <c r="N84" s="633" t="s"/>
      <c r="O84" s="633" t="s"/>
      <c r="P84" s="633" t="s"/>
      <c r="Q84" s="633" t="s"/>
      <c r="R84" s="633" t="s"/>
      <c r="S84" s="633" t="s"/>
      <c r="T84" s="638" t="s"/>
      <c r="U84" s="638" t="s"/>
      <c r="V84" s="638" t="s"/>
      <c r="W84" s="638" t="s"/>
      <c r="X84" s="638" t="s"/>
      <c r="Y84" s="638" t="s"/>
      <c r="Z84" s="638" t="s"/>
    </row>
    <row r="85" spans="1:26" ht="13.5">
      <c r="A85" s="641" t="s"/>
      <c r="B85" s="633" t="s"/>
      <c r="C85" s="633" t="s"/>
      <c r="D85" s="638" t="s"/>
      <c r="E85" s="633" t="s"/>
      <c r="F85" s="633" t="s"/>
      <c r="G85" s="641" t="s"/>
      <c r="H85" s="641" t="s"/>
      <c r="I85" s="633" t="s"/>
      <c r="J85" s="633" t="s"/>
      <c r="K85" s="633" t="s"/>
      <c r="L85" s="633" t="s"/>
      <c r="M85" s="633" t="s"/>
      <c r="N85" s="633" t="s"/>
      <c r="O85" s="633" t="s"/>
      <c r="P85" s="633" t="s"/>
      <c r="Q85" s="633" t="s"/>
      <c r="R85" s="633" t="s"/>
      <c r="S85" s="633" t="s"/>
      <c r="T85" s="638" t="s"/>
      <c r="U85" s="638" t="s"/>
      <c r="V85" s="638" t="s"/>
      <c r="W85" s="638" t="s"/>
      <c r="X85" s="638" t="s"/>
      <c r="Y85" s="638" t="s"/>
      <c r="Z85" s="638" t="s"/>
    </row>
    <row r="86" spans="1:26" ht="13.5">
      <c r="A86" s="641" t="s"/>
      <c r="B86" s="633" t="s"/>
      <c r="C86" s="633" t="s"/>
      <c r="D86" s="638" t="s"/>
      <c r="E86" s="633" t="s"/>
      <c r="F86" s="633" t="s"/>
      <c r="G86" s="641" t="s"/>
      <c r="H86" s="641" t="s"/>
      <c r="I86" s="633" t="s"/>
      <c r="J86" s="633" t="s"/>
      <c r="K86" s="633" t="s"/>
      <c r="L86" s="633" t="s"/>
      <c r="M86" s="633" t="s"/>
      <c r="N86" s="633" t="s"/>
      <c r="O86" s="633" t="s"/>
      <c r="P86" s="633" t="s"/>
      <c r="Q86" s="633" t="s"/>
      <c r="R86" s="633" t="s"/>
      <c r="S86" s="633" t="s"/>
      <c r="T86" s="638" t="s"/>
      <c r="U86" s="638" t="s"/>
      <c r="V86" s="638" t="s"/>
      <c r="W86" s="638" t="s"/>
      <c r="X86" s="638" t="s"/>
      <c r="Y86" s="638" t="s"/>
      <c r="Z86" s="638" t="s"/>
    </row>
    <row r="87" spans="1:26" ht="13.5">
      <c r="A87" s="641" t="s"/>
      <c r="B87" s="633" t="s"/>
      <c r="C87" s="633" t="s"/>
      <c r="D87" s="638" t="s"/>
      <c r="E87" s="633" t="s"/>
      <c r="F87" s="633" t="s"/>
      <c r="G87" s="641" t="s"/>
      <c r="H87" s="641" t="s"/>
      <c r="I87" s="633" t="s"/>
      <c r="J87" s="633" t="s"/>
      <c r="K87" s="633" t="s"/>
      <c r="L87" s="633" t="s"/>
      <c r="M87" s="633" t="s"/>
      <c r="N87" s="633" t="s"/>
      <c r="O87" s="633" t="s"/>
      <c r="P87" s="633" t="s"/>
      <c r="Q87" s="633" t="s"/>
      <c r="R87" s="633" t="s"/>
      <c r="S87" s="633" t="s"/>
      <c r="T87" s="638" t="s"/>
      <c r="U87" s="638" t="s"/>
      <c r="V87" s="638" t="s"/>
      <c r="W87" s="638" t="s"/>
      <c r="X87" s="638" t="s"/>
      <c r="Y87" s="638" t="s"/>
      <c r="Z87" s="638" t="s"/>
    </row>
    <row r="88" spans="1:26" ht="13.5">
      <c r="A88" s="641" t="s"/>
      <c r="B88" s="633" t="s"/>
      <c r="C88" s="633" t="s"/>
      <c r="D88" s="638" t="s"/>
      <c r="E88" s="633" t="s"/>
      <c r="F88" s="633" t="s"/>
      <c r="G88" s="641" t="s"/>
      <c r="H88" s="641" t="s"/>
      <c r="I88" s="633" t="s"/>
      <c r="J88" s="633" t="s"/>
      <c r="K88" s="633" t="s"/>
      <c r="L88" s="633" t="s"/>
      <c r="M88" s="633" t="s"/>
      <c r="N88" s="633" t="s"/>
      <c r="O88" s="633" t="s"/>
      <c r="P88" s="633" t="s"/>
      <c r="Q88" s="633" t="s"/>
      <c r="R88" s="633" t="s"/>
      <c r="S88" s="633" t="s"/>
      <c r="T88" s="638" t="s"/>
      <c r="U88" s="638" t="s"/>
      <c r="V88" s="638" t="s"/>
      <c r="W88" s="638" t="s"/>
      <c r="X88" s="638" t="s"/>
      <c r="Y88" s="638" t="s"/>
      <c r="Z88" s="638" t="s"/>
    </row>
    <row r="89" spans="1:26" ht="13.5">
      <c r="A89" s="641" t="s"/>
      <c r="B89" s="633" t="s"/>
      <c r="C89" s="633" t="s"/>
      <c r="D89" s="638" t="s"/>
      <c r="E89" s="633" t="s"/>
      <c r="F89" s="633" t="s"/>
      <c r="G89" s="641" t="s"/>
      <c r="H89" s="641" t="s"/>
      <c r="I89" s="633" t="s"/>
      <c r="J89" s="633" t="s"/>
      <c r="K89" s="633" t="s"/>
      <c r="L89" s="633" t="s"/>
      <c r="M89" s="633" t="s"/>
      <c r="N89" s="633" t="s"/>
      <c r="O89" s="633" t="s"/>
      <c r="P89" s="633" t="s"/>
      <c r="Q89" s="633" t="s"/>
      <c r="R89" s="633" t="s"/>
      <c r="S89" s="633" t="s"/>
      <c r="T89" s="638" t="s"/>
      <c r="U89" s="638" t="s"/>
      <c r="V89" s="638" t="s"/>
      <c r="W89" s="638" t="s"/>
      <c r="X89" s="638" t="s"/>
      <c r="Y89" s="638" t="s"/>
      <c r="Z89" s="638" t="s"/>
    </row>
    <row r="90" spans="1:26" ht="13.5">
      <c r="A90" s="641" t="s"/>
      <c r="B90" s="633" t="s"/>
      <c r="C90" s="633" t="s"/>
      <c r="D90" s="638" t="s"/>
      <c r="E90" s="633" t="s"/>
      <c r="F90" s="633" t="s"/>
      <c r="G90" s="641" t="s"/>
      <c r="H90" s="641" t="s"/>
      <c r="I90" s="633" t="s"/>
      <c r="J90" s="633" t="s"/>
      <c r="K90" s="633" t="s"/>
      <c r="L90" s="633" t="s"/>
      <c r="M90" s="633" t="s"/>
      <c r="N90" s="633" t="s"/>
      <c r="O90" s="633" t="s"/>
      <c r="P90" s="633" t="s"/>
      <c r="Q90" s="633" t="s"/>
      <c r="R90" s="633" t="s"/>
      <c r="S90" s="633" t="s"/>
      <c r="T90" s="638" t="s"/>
      <c r="U90" s="638" t="s"/>
      <c r="V90" s="638" t="s"/>
      <c r="W90" s="638" t="s"/>
      <c r="X90" s="638" t="s"/>
      <c r="Y90" s="638" t="s"/>
      <c r="Z90" s="638" t="s"/>
    </row>
    <row r="91" spans="1:26" ht="13.5">
      <c r="A91" s="641" t="s"/>
      <c r="B91" s="633" t="s"/>
      <c r="C91" s="633" t="s"/>
      <c r="D91" s="638" t="s"/>
      <c r="E91" s="633" t="s"/>
      <c r="F91" s="633" t="s"/>
      <c r="G91" s="641" t="s"/>
      <c r="H91" s="641" t="s"/>
      <c r="I91" s="633" t="s"/>
      <c r="J91" s="633" t="s"/>
      <c r="K91" s="633" t="s"/>
      <c r="L91" s="633" t="s"/>
      <c r="M91" s="633" t="s"/>
      <c r="N91" s="633" t="s"/>
      <c r="O91" s="633" t="s"/>
      <c r="P91" s="633" t="s"/>
      <c r="Q91" s="633" t="s"/>
      <c r="R91" s="633" t="s"/>
      <c r="S91" s="633" t="s"/>
      <c r="T91" s="638" t="s"/>
      <c r="U91" s="638" t="s"/>
      <c r="V91" s="638" t="s"/>
      <c r="W91" s="638" t="s"/>
      <c r="X91" s="638" t="s"/>
      <c r="Y91" s="638" t="s"/>
      <c r="Z91" s="638" t="s"/>
    </row>
    <row r="92" spans="1:26" ht="13.5">
      <c r="A92" s="641" t="s"/>
      <c r="B92" s="633" t="s"/>
      <c r="C92" s="633" t="s"/>
      <c r="D92" s="638" t="s"/>
      <c r="E92" s="633" t="s"/>
      <c r="F92" s="633" t="s"/>
      <c r="G92" s="641" t="s"/>
      <c r="H92" s="641" t="s"/>
      <c r="I92" s="633" t="s"/>
      <c r="J92" s="633" t="s"/>
      <c r="K92" s="633" t="s"/>
      <c r="L92" s="633" t="s"/>
      <c r="M92" s="633" t="s"/>
      <c r="N92" s="633" t="s"/>
      <c r="O92" s="633" t="s"/>
      <c r="P92" s="633" t="s"/>
      <c r="Q92" s="633" t="s"/>
      <c r="R92" s="633" t="s"/>
      <c r="S92" s="633" t="s"/>
      <c r="T92" s="638" t="s"/>
      <c r="U92" s="638" t="s"/>
      <c r="V92" s="638" t="s"/>
      <c r="W92" s="638" t="s"/>
      <c r="X92" s="638" t="s"/>
      <c r="Y92" s="638" t="s"/>
      <c r="Z92" s="638" t="s"/>
    </row>
    <row r="93" spans="1:26" ht="13.5">
      <c r="A93" s="641" t="s"/>
      <c r="B93" s="633" t="s"/>
      <c r="C93" s="633" t="s"/>
      <c r="D93" s="638" t="s"/>
      <c r="E93" s="633" t="s"/>
      <c r="F93" s="633" t="s"/>
      <c r="G93" s="641" t="s"/>
      <c r="H93" s="641" t="s"/>
      <c r="I93" s="633" t="s"/>
      <c r="J93" s="633" t="s"/>
      <c r="K93" s="633" t="s"/>
      <c r="L93" s="633" t="s"/>
      <c r="M93" s="633" t="s"/>
      <c r="N93" s="633" t="s"/>
      <c r="O93" s="633" t="s"/>
      <c r="P93" s="633" t="s"/>
      <c r="Q93" s="633" t="s"/>
      <c r="R93" s="633" t="s"/>
      <c r="S93" s="633" t="s"/>
      <c r="T93" s="638" t="s"/>
      <c r="U93" s="638" t="s"/>
      <c r="V93" s="638" t="s"/>
      <c r="W93" s="638" t="s"/>
      <c r="X93" s="638" t="s"/>
      <c r="Y93" s="638" t="s"/>
      <c r="Z93" s="638" t="s"/>
    </row>
    <row r="94" spans="1:26" ht="13.5">
      <c r="A94" s="641" t="s"/>
      <c r="B94" s="633" t="s"/>
      <c r="C94" s="633" t="s"/>
      <c r="D94" s="638" t="s"/>
      <c r="E94" s="633" t="s"/>
      <c r="F94" s="633" t="s"/>
      <c r="G94" s="641" t="s"/>
      <c r="H94" s="641" t="s"/>
      <c r="I94" s="633" t="s"/>
      <c r="J94" s="633" t="s"/>
      <c r="K94" s="633" t="s"/>
      <c r="L94" s="633" t="s"/>
      <c r="M94" s="633" t="s"/>
      <c r="N94" s="633" t="s"/>
      <c r="O94" s="633" t="s"/>
      <c r="P94" s="633" t="s"/>
      <c r="Q94" s="633" t="s"/>
      <c r="R94" s="633" t="s"/>
      <c r="S94" s="633" t="s"/>
      <c r="T94" s="638" t="s"/>
      <c r="U94" s="638" t="s"/>
      <c r="V94" s="638" t="s"/>
      <c r="W94" s="638" t="s"/>
      <c r="X94" s="638" t="s"/>
      <c r="Y94" s="638" t="s"/>
      <c r="Z94" s="638" t="s"/>
    </row>
    <row r="95" spans="1:26" ht="13.5">
      <c r="A95" s="641" t="s"/>
      <c r="B95" s="633" t="s"/>
      <c r="C95" s="633" t="s"/>
      <c r="D95" s="638" t="s"/>
      <c r="E95" s="633" t="s"/>
      <c r="F95" s="633" t="s"/>
      <c r="G95" s="641" t="s"/>
      <c r="H95" s="641" t="s"/>
      <c r="I95" s="633" t="s"/>
      <c r="J95" s="633" t="s"/>
      <c r="K95" s="633" t="s"/>
      <c r="L95" s="633" t="s"/>
      <c r="M95" s="633" t="s"/>
      <c r="N95" s="633" t="s"/>
      <c r="O95" s="633" t="s"/>
      <c r="P95" s="633" t="s"/>
      <c r="Q95" s="633" t="s"/>
      <c r="R95" s="633" t="s"/>
      <c r="S95" s="633" t="s"/>
      <c r="T95" s="638" t="s"/>
      <c r="U95" s="638" t="s"/>
      <c r="V95" s="638" t="s"/>
      <c r="W95" s="638" t="s"/>
      <c r="X95" s="638" t="s"/>
      <c r="Y95" s="638" t="s"/>
      <c r="Z95" s="638" t="s"/>
    </row>
    <row r="96" spans="1:26" ht="13.5">
      <c r="A96" s="641" t="s"/>
      <c r="B96" s="633" t="s"/>
      <c r="C96" s="633" t="s"/>
      <c r="D96" s="638" t="s"/>
      <c r="E96" s="633" t="s"/>
      <c r="F96" s="633" t="s"/>
      <c r="G96" s="641" t="s"/>
      <c r="H96" s="641" t="s"/>
      <c r="I96" s="633" t="s"/>
      <c r="J96" s="633" t="s"/>
      <c r="K96" s="633" t="s"/>
      <c r="L96" s="633" t="s"/>
      <c r="M96" s="633" t="s"/>
      <c r="N96" s="633" t="s"/>
      <c r="O96" s="633" t="s"/>
      <c r="P96" s="633" t="s"/>
      <c r="Q96" s="633" t="s"/>
      <c r="R96" s="633" t="s"/>
      <c r="S96" s="633" t="s"/>
      <c r="T96" s="638" t="s"/>
      <c r="U96" s="638" t="s"/>
      <c r="V96" s="638" t="s"/>
      <c r="W96" s="638" t="s"/>
      <c r="X96" s="638" t="s"/>
      <c r="Y96" s="638" t="s"/>
      <c r="Z96" s="638" t="s"/>
    </row>
    <row r="97" spans="1:26" ht="13.5">
      <c r="A97" s="641" t="s"/>
      <c r="B97" s="633" t="s"/>
      <c r="C97" s="633" t="s"/>
      <c r="D97" s="638" t="s"/>
      <c r="E97" s="633" t="s"/>
      <c r="F97" s="633" t="s"/>
      <c r="G97" s="641" t="s"/>
      <c r="H97" s="641" t="s"/>
      <c r="I97" s="633" t="s"/>
      <c r="J97" s="633" t="s"/>
      <c r="K97" s="633" t="s"/>
      <c r="L97" s="633" t="s"/>
      <c r="M97" s="633" t="s"/>
      <c r="N97" s="633" t="s"/>
      <c r="O97" s="633" t="s"/>
      <c r="P97" s="633" t="s"/>
      <c r="Q97" s="633" t="s"/>
      <c r="R97" s="633" t="s"/>
      <c r="S97" s="633" t="s"/>
      <c r="T97" s="638" t="s"/>
      <c r="U97" s="638" t="s"/>
      <c r="V97" s="638" t="s"/>
      <c r="W97" s="638" t="s"/>
      <c r="X97" s="638" t="s"/>
      <c r="Y97" s="638" t="s"/>
      <c r="Z97" s="638" t="s"/>
    </row>
    <row r="98" spans="1:26" ht="13.5">
      <c r="A98" s="641" t="s"/>
      <c r="B98" s="633" t="s"/>
      <c r="C98" s="633" t="s"/>
      <c r="D98" s="638" t="s"/>
      <c r="E98" s="633" t="s"/>
      <c r="F98" s="633" t="s"/>
      <c r="G98" s="641" t="s"/>
      <c r="H98" s="641" t="s"/>
      <c r="I98" s="633" t="s"/>
      <c r="J98" s="633" t="s"/>
      <c r="K98" s="633" t="s"/>
      <c r="L98" s="633" t="s"/>
      <c r="M98" s="633" t="s"/>
      <c r="N98" s="633" t="s"/>
      <c r="O98" s="633" t="s"/>
      <c r="P98" s="633" t="s"/>
      <c r="Q98" s="633" t="s"/>
      <c r="R98" s="633" t="s"/>
      <c r="S98" s="633" t="s"/>
      <c r="T98" s="638" t="s"/>
      <c r="U98" s="638" t="s"/>
      <c r="V98" s="638" t="s"/>
      <c r="W98" s="638" t="s"/>
      <c r="X98" s="638" t="s"/>
      <c r="Y98" s="638" t="s"/>
      <c r="Z98" s="638" t="s"/>
    </row>
    <row r="99" spans="1:26" ht="13.5">
      <c r="A99" s="641" t="s"/>
      <c r="B99" s="633" t="s"/>
      <c r="C99" s="633" t="s"/>
      <c r="D99" s="638" t="s"/>
      <c r="E99" s="633" t="s"/>
      <c r="F99" s="633" t="s"/>
      <c r="G99" s="641" t="s"/>
      <c r="H99" s="641" t="s"/>
      <c r="I99" s="633" t="s"/>
      <c r="J99" s="633" t="s"/>
      <c r="K99" s="633" t="s"/>
      <c r="L99" s="633" t="s"/>
      <c r="M99" s="633" t="s"/>
      <c r="N99" s="633" t="s"/>
      <c r="O99" s="633" t="s"/>
      <c r="P99" s="633" t="s"/>
      <c r="Q99" s="633" t="s"/>
      <c r="R99" s="633" t="s"/>
      <c r="S99" s="633" t="s"/>
      <c r="T99" s="638" t="s"/>
      <c r="U99" s="638" t="s"/>
      <c r="V99" s="638" t="s"/>
      <c r="W99" s="638" t="s"/>
      <c r="X99" s="638" t="s"/>
      <c r="Y99" s="638" t="s"/>
      <c r="Z99" s="638" t="s"/>
    </row>
    <row r="100" spans="1:26" ht="13.5">
      <c r="A100" s="641" t="s"/>
      <c r="B100" s="633" t="s"/>
      <c r="C100" s="633" t="s"/>
      <c r="D100" s="638" t="s"/>
      <c r="E100" s="633" t="s"/>
      <c r="F100" s="633" t="s"/>
      <c r="G100" s="641" t="s"/>
      <c r="H100" s="641" t="s"/>
      <c r="I100" s="633" t="s"/>
      <c r="J100" s="633" t="s"/>
      <c r="K100" s="633" t="s"/>
      <c r="L100" s="633" t="s"/>
      <c r="M100" s="633" t="s"/>
      <c r="N100" s="633" t="s"/>
      <c r="O100" s="633" t="s"/>
      <c r="P100" s="633" t="s"/>
      <c r="Q100" s="633" t="s"/>
      <c r="R100" s="633" t="s"/>
      <c r="S100" s="633" t="s"/>
      <c r="T100" s="638" t="s"/>
      <c r="U100" s="638" t="s"/>
      <c r="V100" s="638" t="s"/>
      <c r="W100" s="638" t="s"/>
      <c r="X100" s="638" t="s"/>
      <c r="Y100" s="638" t="s"/>
      <c r="Z100" s="638" t="s"/>
    </row>
    <row r="101" spans="1:26" ht="13.5">
      <c r="A101" s="641" t="s"/>
      <c r="B101" s="633" t="s"/>
      <c r="C101" s="633" t="s"/>
      <c r="D101" s="638" t="s"/>
      <c r="E101" s="633" t="s"/>
      <c r="F101" s="633" t="s"/>
      <c r="G101" s="641" t="s"/>
      <c r="H101" s="641" t="s"/>
      <c r="I101" s="633" t="s"/>
      <c r="J101" s="633" t="s"/>
      <c r="K101" s="633" t="s"/>
      <c r="L101" s="633" t="s"/>
      <c r="M101" s="633" t="s"/>
      <c r="N101" s="633" t="s"/>
      <c r="O101" s="633" t="s"/>
      <c r="P101" s="633" t="s"/>
      <c r="Q101" s="633" t="s"/>
      <c r="R101" s="633" t="s"/>
      <c r="S101" s="633" t="s"/>
      <c r="T101" s="638" t="s"/>
      <c r="U101" s="638" t="s"/>
      <c r="V101" s="638" t="s"/>
      <c r="W101" s="638" t="s"/>
      <c r="X101" s="638" t="s"/>
      <c r="Y101" s="638" t="s"/>
      <c r="Z101" s="638" t="s"/>
    </row>
    <row r="102" spans="1:26" ht="13.5">
      <c r="A102" s="641" t="s"/>
      <c r="B102" s="633" t="s"/>
      <c r="C102" s="633" t="s"/>
      <c r="D102" s="638" t="s"/>
      <c r="E102" s="633" t="s"/>
      <c r="F102" s="633" t="s"/>
      <c r="G102" s="641" t="s"/>
      <c r="H102" s="641" t="s"/>
      <c r="I102" s="633" t="s"/>
      <c r="J102" s="633" t="s"/>
      <c r="K102" s="633" t="s"/>
      <c r="L102" s="633" t="s"/>
      <c r="M102" s="633" t="s"/>
      <c r="N102" s="633" t="s"/>
      <c r="O102" s="633" t="s"/>
      <c r="P102" s="633" t="s"/>
      <c r="Q102" s="633" t="s"/>
      <c r="R102" s="633" t="s"/>
      <c r="S102" s="633" t="s"/>
      <c r="T102" s="638" t="s"/>
      <c r="U102" s="638" t="s"/>
      <c r="V102" s="638" t="s"/>
      <c r="W102" s="638" t="s"/>
      <c r="X102" s="638" t="s"/>
      <c r="Y102" s="638" t="s"/>
      <c r="Z102" s="638" t="s"/>
    </row>
    <row r="103" spans="1:26" ht="13.5">
      <c r="A103" s="641" t="s"/>
      <c r="B103" s="633" t="s"/>
      <c r="C103" s="633" t="s"/>
      <c r="D103" s="638" t="s"/>
      <c r="E103" s="633" t="s"/>
      <c r="F103" s="633" t="s"/>
      <c r="G103" s="641" t="s"/>
      <c r="H103" s="641" t="s"/>
      <c r="I103" s="633" t="s"/>
      <c r="J103" s="633" t="s"/>
      <c r="K103" s="633" t="s"/>
      <c r="L103" s="633" t="s"/>
      <c r="M103" s="633" t="s"/>
      <c r="N103" s="633" t="s"/>
      <c r="O103" s="633" t="s"/>
      <c r="P103" s="633" t="s"/>
      <c r="Q103" s="633" t="s"/>
      <c r="R103" s="633" t="s"/>
      <c r="S103" s="633" t="s"/>
      <c r="T103" s="638" t="s"/>
      <c r="U103" s="638" t="s"/>
      <c r="V103" s="638" t="s"/>
      <c r="W103" s="638" t="s"/>
      <c r="X103" s="638" t="s"/>
      <c r="Y103" s="638" t="s"/>
      <c r="Z103" s="638" t="s"/>
    </row>
    <row r="104" spans="1:26" ht="13.5">
      <c r="A104" s="641" t="s"/>
      <c r="B104" s="633" t="s"/>
      <c r="C104" s="633" t="s"/>
      <c r="D104" s="638" t="s"/>
      <c r="E104" s="633" t="s"/>
      <c r="F104" s="633" t="s"/>
      <c r="G104" s="641" t="s"/>
      <c r="H104" s="641" t="s"/>
      <c r="I104" s="633" t="s"/>
      <c r="J104" s="633" t="s"/>
      <c r="K104" s="633" t="s"/>
      <c r="L104" s="633" t="s"/>
      <c r="M104" s="633" t="s"/>
      <c r="N104" s="633" t="s"/>
      <c r="O104" s="633" t="s"/>
      <c r="P104" s="633" t="s"/>
      <c r="Q104" s="633" t="s"/>
      <c r="R104" s="633" t="s"/>
      <c r="S104" s="633" t="s"/>
      <c r="T104" s="638" t="s"/>
      <c r="U104" s="638" t="s"/>
      <c r="V104" s="638" t="s"/>
      <c r="W104" s="638" t="s"/>
      <c r="X104" s="638" t="s"/>
      <c r="Y104" s="638" t="s"/>
      <c r="Z104" s="638" t="s"/>
    </row>
    <row r="105" spans="1:26" ht="13.5">
      <c r="A105" s="641" t="s"/>
      <c r="B105" s="633" t="s"/>
      <c r="C105" s="633" t="s"/>
      <c r="D105" s="638" t="s"/>
      <c r="E105" s="633" t="s"/>
      <c r="F105" s="633" t="s"/>
      <c r="G105" s="641" t="s"/>
      <c r="H105" s="641" t="s"/>
      <c r="I105" s="633" t="s"/>
      <c r="J105" s="633" t="s"/>
      <c r="K105" s="633" t="s"/>
      <c r="L105" s="633" t="s"/>
      <c r="M105" s="633" t="s"/>
      <c r="N105" s="633" t="s"/>
      <c r="O105" s="633" t="s"/>
      <c r="P105" s="633" t="s"/>
      <c r="Q105" s="633" t="s"/>
      <c r="R105" s="633" t="s"/>
      <c r="S105" s="633" t="s"/>
      <c r="T105" s="638" t="s"/>
      <c r="U105" s="638" t="s"/>
      <c r="V105" s="638" t="s"/>
      <c r="W105" s="638" t="s"/>
      <c r="X105" s="638" t="s"/>
      <c r="Y105" s="638" t="s"/>
      <c r="Z105" s="638" t="s"/>
    </row>
    <row r="106" spans="1:26" ht="13.5">
      <c r="A106" s="641" t="s"/>
      <c r="B106" s="633" t="s"/>
      <c r="C106" s="633" t="s"/>
      <c r="D106" s="638" t="s"/>
      <c r="E106" s="633" t="s"/>
      <c r="F106" s="633" t="s"/>
      <c r="G106" s="641" t="s"/>
      <c r="H106" s="641" t="s"/>
      <c r="I106" s="633" t="s"/>
      <c r="J106" s="633" t="s"/>
      <c r="K106" s="633" t="s"/>
      <c r="L106" s="633" t="s"/>
      <c r="M106" s="633" t="s"/>
      <c r="N106" s="633" t="s"/>
      <c r="O106" s="633" t="s"/>
      <c r="P106" s="633" t="s"/>
      <c r="Q106" s="633" t="s"/>
      <c r="R106" s="633" t="s"/>
      <c r="S106" s="633" t="s"/>
      <c r="T106" s="638" t="s"/>
      <c r="U106" s="638" t="s"/>
      <c r="V106" s="638" t="s"/>
      <c r="W106" s="638" t="s"/>
      <c r="X106" s="638" t="s"/>
      <c r="Y106" s="638" t="s"/>
      <c r="Z106" s="638" t="s"/>
    </row>
    <row r="107" spans="1:26" ht="13.5">
      <c r="A107" s="641" t="s"/>
      <c r="B107" s="633" t="s"/>
      <c r="C107" s="633" t="s"/>
      <c r="D107" s="638" t="s"/>
      <c r="E107" s="633" t="s"/>
      <c r="F107" s="633" t="s"/>
      <c r="G107" s="641" t="s"/>
      <c r="H107" s="641" t="s"/>
      <c r="I107" s="633" t="s"/>
      <c r="J107" s="633" t="s"/>
      <c r="K107" s="633" t="s"/>
      <c r="L107" s="633" t="s"/>
      <c r="M107" s="633" t="s"/>
      <c r="N107" s="633" t="s"/>
      <c r="O107" s="633" t="s"/>
      <c r="P107" s="633" t="s"/>
      <c r="Q107" s="633" t="s"/>
      <c r="R107" s="633" t="s"/>
      <c r="S107" s="633" t="s"/>
      <c r="T107" s="638" t="s"/>
      <c r="U107" s="638" t="s"/>
      <c r="V107" s="638" t="s"/>
      <c r="W107" s="638" t="s"/>
      <c r="X107" s="638" t="s"/>
      <c r="Y107" s="638" t="s"/>
      <c r="Z107" s="638" t="s"/>
    </row>
    <row r="108" spans="1:26" ht="13.5">
      <c r="A108" s="641" t="s"/>
      <c r="B108" s="633" t="s"/>
      <c r="C108" s="633" t="s"/>
      <c r="D108" s="638" t="s"/>
      <c r="E108" s="633" t="s"/>
      <c r="F108" s="633" t="s"/>
      <c r="G108" s="641" t="s"/>
      <c r="H108" s="641" t="s"/>
      <c r="I108" s="633" t="s"/>
      <c r="J108" s="633" t="s"/>
      <c r="K108" s="633" t="s"/>
      <c r="L108" s="633" t="s"/>
      <c r="M108" s="633" t="s"/>
      <c r="N108" s="633" t="s"/>
      <c r="O108" s="633" t="s"/>
      <c r="P108" s="633" t="s"/>
      <c r="Q108" s="633" t="s"/>
      <c r="R108" s="633" t="s"/>
      <c r="S108" s="633" t="s"/>
      <c r="T108" s="638" t="s"/>
      <c r="U108" s="638" t="s"/>
      <c r="V108" s="638" t="s"/>
      <c r="W108" s="638" t="s"/>
      <c r="X108" s="638" t="s"/>
      <c r="Y108" s="638" t="s"/>
      <c r="Z108" s="638" t="s"/>
    </row>
    <row r="109" spans="1:26" ht="13.5">
      <c r="A109" s="641" t="s"/>
      <c r="B109" s="633" t="s"/>
      <c r="C109" s="633" t="s"/>
      <c r="D109" s="638" t="s"/>
      <c r="E109" s="633" t="s"/>
      <c r="F109" s="633" t="s"/>
      <c r="G109" s="641" t="s"/>
      <c r="H109" s="641" t="s"/>
      <c r="I109" s="633" t="s"/>
      <c r="J109" s="633" t="s"/>
      <c r="K109" s="633" t="s"/>
      <c r="L109" s="633" t="s"/>
      <c r="M109" s="633" t="s"/>
      <c r="N109" s="633" t="s"/>
      <c r="O109" s="633" t="s"/>
      <c r="P109" s="633" t="s"/>
      <c r="Q109" s="633" t="s"/>
      <c r="R109" s="633" t="s"/>
      <c r="S109" s="633" t="s"/>
      <c r="T109" s="638" t="s"/>
      <c r="U109" s="638" t="s"/>
      <c r="V109" s="638" t="s"/>
      <c r="W109" s="638" t="s"/>
      <c r="X109" s="638" t="s"/>
      <c r="Y109" s="638" t="s"/>
      <c r="Z109" s="638" t="s"/>
    </row>
    <row r="110" spans="1:26" ht="13.5">
      <c r="A110" s="641" t="s"/>
      <c r="B110" s="633" t="s"/>
      <c r="C110" s="633" t="s"/>
      <c r="D110" s="638" t="s"/>
      <c r="E110" s="633" t="s"/>
      <c r="F110" s="633" t="s"/>
      <c r="G110" s="641" t="s"/>
      <c r="H110" s="641" t="s"/>
      <c r="I110" s="633" t="s"/>
      <c r="J110" s="633" t="s"/>
      <c r="K110" s="633" t="s"/>
      <c r="L110" s="633" t="s"/>
      <c r="M110" s="633" t="s"/>
      <c r="N110" s="633" t="s"/>
      <c r="O110" s="633" t="s"/>
      <c r="P110" s="633" t="s"/>
      <c r="Q110" s="633" t="s"/>
      <c r="R110" s="633" t="s"/>
      <c r="S110" s="633" t="s"/>
      <c r="T110" s="638" t="s"/>
      <c r="U110" s="638" t="s"/>
      <c r="V110" s="638" t="s"/>
      <c r="W110" s="638" t="s"/>
      <c r="X110" s="638" t="s"/>
      <c r="Y110" s="638" t="s"/>
      <c r="Z110" s="638" t="s"/>
    </row>
    <row r="111" spans="1:26" ht="13.5">
      <c r="A111" s="641" t="s"/>
      <c r="B111" s="633" t="s"/>
      <c r="C111" s="633" t="s"/>
      <c r="D111" s="638" t="s"/>
      <c r="E111" s="633" t="s"/>
      <c r="F111" s="633" t="s"/>
      <c r="G111" s="641" t="s"/>
      <c r="H111" s="641" t="s"/>
      <c r="I111" s="633" t="s"/>
      <c r="J111" s="633" t="s"/>
      <c r="K111" s="633" t="s"/>
      <c r="L111" s="633" t="s"/>
      <c r="M111" s="633" t="s"/>
      <c r="N111" s="633" t="s"/>
      <c r="O111" s="633" t="s"/>
      <c r="P111" s="633" t="s"/>
      <c r="Q111" s="633" t="s"/>
      <c r="R111" s="633" t="s"/>
      <c r="S111" s="633" t="s"/>
      <c r="T111" s="638" t="s"/>
      <c r="U111" s="638" t="s"/>
      <c r="V111" s="638" t="s"/>
      <c r="W111" s="638" t="s"/>
      <c r="X111" s="638" t="s"/>
      <c r="Y111" s="638" t="s"/>
      <c r="Z111" s="638" t="s"/>
    </row>
    <row r="112" spans="1:26" ht="13.5">
      <c r="A112" s="641" t="s"/>
      <c r="B112" s="633" t="s"/>
      <c r="C112" s="633" t="s"/>
      <c r="D112" s="638" t="s"/>
      <c r="E112" s="633" t="s"/>
      <c r="F112" s="633" t="s"/>
      <c r="G112" s="641" t="s"/>
      <c r="H112" s="641" t="s"/>
      <c r="I112" s="633" t="s"/>
      <c r="J112" s="633" t="s"/>
      <c r="K112" s="633" t="s"/>
      <c r="L112" s="633" t="s"/>
      <c r="M112" s="633" t="s"/>
      <c r="N112" s="633" t="s"/>
      <c r="O112" s="633" t="s"/>
      <c r="P112" s="633" t="s"/>
      <c r="Q112" s="633" t="s"/>
      <c r="R112" s="633" t="s"/>
      <c r="S112" s="633" t="s"/>
      <c r="T112" s="638" t="s"/>
      <c r="U112" s="638" t="s"/>
      <c r="V112" s="638" t="s"/>
      <c r="W112" s="638" t="s"/>
      <c r="X112" s="638" t="s"/>
      <c r="Y112" s="638" t="s"/>
      <c r="Z112" s="638" t="s"/>
    </row>
    <row r="113" spans="1:26" ht="13.5">
      <c r="A113" s="641" t="s"/>
      <c r="B113" s="633" t="s"/>
      <c r="C113" s="633" t="s"/>
      <c r="D113" s="638" t="s"/>
      <c r="E113" s="633" t="s"/>
      <c r="F113" s="633" t="s"/>
      <c r="G113" s="641" t="s"/>
      <c r="H113" s="641" t="s"/>
      <c r="I113" s="633" t="s"/>
      <c r="J113" s="633" t="s"/>
      <c r="K113" s="633" t="s"/>
      <c r="L113" s="633" t="s"/>
      <c r="M113" s="633" t="s"/>
      <c r="N113" s="633" t="s"/>
      <c r="O113" s="633" t="s"/>
      <c r="P113" s="633" t="s"/>
      <c r="Q113" s="633" t="s"/>
      <c r="R113" s="633" t="s"/>
      <c r="S113" s="633" t="s"/>
      <c r="T113" s="638" t="s"/>
      <c r="U113" s="638" t="s"/>
      <c r="V113" s="638" t="s"/>
      <c r="W113" s="638" t="s"/>
      <c r="X113" s="638" t="s"/>
      <c r="Y113" s="638" t="s"/>
      <c r="Z113" s="638" t="s"/>
    </row>
    <row r="114" spans="1:26" ht="13.5">
      <c r="A114" s="641" t="s"/>
      <c r="B114" s="633" t="s"/>
      <c r="C114" s="633" t="s"/>
      <c r="D114" s="638" t="s"/>
      <c r="E114" s="633" t="s"/>
      <c r="F114" s="633" t="s"/>
      <c r="G114" s="641" t="s"/>
      <c r="H114" s="641" t="s"/>
      <c r="I114" s="633" t="s"/>
      <c r="J114" s="633" t="s"/>
      <c r="K114" s="633" t="s"/>
      <c r="L114" s="633" t="s"/>
      <c r="M114" s="633" t="s"/>
      <c r="N114" s="633" t="s"/>
      <c r="O114" s="633" t="s"/>
      <c r="P114" s="633" t="s"/>
      <c r="Q114" s="633" t="s"/>
      <c r="R114" s="633" t="s"/>
      <c r="S114" s="633" t="s"/>
      <c r="T114" s="638" t="s"/>
      <c r="U114" s="638" t="s"/>
      <c r="V114" s="638" t="s"/>
      <c r="W114" s="638" t="s"/>
      <c r="X114" s="638" t="s"/>
      <c r="Y114" s="638" t="s"/>
      <c r="Z114" s="638" t="s"/>
    </row>
    <row r="115" spans="1:26" ht="13.5">
      <c r="A115" s="641" t="s"/>
      <c r="B115" s="633" t="s"/>
      <c r="C115" s="633" t="s"/>
      <c r="D115" s="638" t="s"/>
      <c r="E115" s="633" t="s"/>
      <c r="F115" s="633" t="s"/>
      <c r="G115" s="641" t="s"/>
      <c r="H115" s="641" t="s"/>
      <c r="I115" s="633" t="s"/>
      <c r="J115" s="633" t="s"/>
      <c r="K115" s="633" t="s"/>
      <c r="L115" s="633" t="s"/>
      <c r="M115" s="633" t="s"/>
      <c r="N115" s="633" t="s"/>
      <c r="O115" s="633" t="s"/>
      <c r="P115" s="633" t="s"/>
      <c r="Q115" s="633" t="s"/>
      <c r="R115" s="633" t="s"/>
      <c r="S115" s="633" t="s"/>
      <c r="T115" s="638" t="s"/>
      <c r="U115" s="638" t="s"/>
      <c r="V115" s="638" t="s"/>
      <c r="W115" s="638" t="s"/>
      <c r="X115" s="638" t="s"/>
      <c r="Y115" s="638" t="s"/>
      <c r="Z115" s="638" t="s"/>
    </row>
    <row r="116" spans="1:26" ht="13.5">
      <c r="A116" s="641" t="s"/>
      <c r="B116" s="633" t="s"/>
      <c r="C116" s="633" t="s"/>
      <c r="D116" s="638" t="s"/>
      <c r="E116" s="633" t="s"/>
      <c r="F116" s="633" t="s"/>
      <c r="G116" s="641" t="s"/>
      <c r="H116" s="641" t="s"/>
      <c r="I116" s="633" t="s"/>
      <c r="J116" s="633" t="s"/>
      <c r="K116" s="633" t="s"/>
      <c r="L116" s="633" t="s"/>
      <c r="M116" s="633" t="s"/>
      <c r="N116" s="633" t="s"/>
      <c r="O116" s="633" t="s"/>
      <c r="P116" s="633" t="s"/>
      <c r="Q116" s="633" t="s"/>
      <c r="R116" s="633" t="s"/>
      <c r="S116" s="633" t="s"/>
      <c r="T116" s="638" t="s"/>
      <c r="U116" s="638" t="s"/>
      <c r="V116" s="638" t="s"/>
      <c r="W116" s="638" t="s"/>
      <c r="X116" s="638" t="s"/>
      <c r="Y116" s="638" t="s"/>
      <c r="Z116" s="638" t="s"/>
    </row>
    <row r="117" spans="1:26" ht="13.5">
      <c r="A117" s="641" t="s"/>
      <c r="B117" s="633" t="s"/>
      <c r="C117" s="633" t="s"/>
      <c r="D117" s="638" t="s"/>
      <c r="E117" s="633" t="s"/>
      <c r="F117" s="633" t="s"/>
      <c r="G117" s="641" t="s"/>
      <c r="H117" s="641" t="s"/>
      <c r="I117" s="633" t="s"/>
      <c r="J117" s="633" t="s"/>
      <c r="K117" s="633" t="s"/>
      <c r="L117" s="633" t="s"/>
      <c r="M117" s="633" t="s"/>
      <c r="N117" s="633" t="s"/>
      <c r="O117" s="633" t="s"/>
      <c r="P117" s="633" t="s"/>
      <c r="Q117" s="633" t="s"/>
      <c r="R117" s="633" t="s"/>
      <c r="S117" s="633" t="s"/>
      <c r="T117" s="638" t="s"/>
      <c r="U117" s="638" t="s"/>
      <c r="V117" s="638" t="s"/>
      <c r="W117" s="638" t="s"/>
      <c r="X117" s="638" t="s"/>
      <c r="Y117" s="638" t="s"/>
      <c r="Z117" s="638" t="s"/>
    </row>
    <row r="118" spans="1:26" ht="13.5">
      <c r="A118" s="641" t="s"/>
      <c r="B118" s="633" t="s"/>
      <c r="C118" s="633" t="s"/>
      <c r="D118" s="638" t="s"/>
      <c r="E118" s="633" t="s"/>
      <c r="F118" s="633" t="s"/>
      <c r="G118" s="641" t="s"/>
      <c r="H118" s="641" t="s"/>
      <c r="I118" s="633" t="s"/>
      <c r="J118" s="633" t="s"/>
      <c r="K118" s="633" t="s"/>
      <c r="L118" s="633" t="s"/>
      <c r="M118" s="633" t="s"/>
      <c r="N118" s="633" t="s"/>
      <c r="O118" s="633" t="s"/>
      <c r="P118" s="633" t="s"/>
      <c r="Q118" s="633" t="s"/>
      <c r="R118" s="633" t="s"/>
      <c r="S118" s="633" t="s"/>
      <c r="T118" s="638" t="s"/>
      <c r="U118" s="638" t="s"/>
      <c r="V118" s="638" t="s"/>
      <c r="W118" s="638" t="s"/>
      <c r="X118" s="638" t="s"/>
      <c r="Y118" s="638" t="s"/>
      <c r="Z118" s="638" t="s"/>
    </row>
    <row r="119" spans="1:26" ht="13.5">
      <c r="A119" s="641" t="s"/>
      <c r="B119" s="633" t="s"/>
      <c r="C119" s="633" t="s"/>
      <c r="D119" s="638" t="s"/>
      <c r="E119" s="633" t="s"/>
      <c r="F119" s="633" t="s"/>
      <c r="G119" s="641" t="s"/>
      <c r="H119" s="641" t="s"/>
      <c r="I119" s="633" t="s"/>
      <c r="J119" s="633" t="s"/>
      <c r="K119" s="633" t="s"/>
      <c r="L119" s="633" t="s"/>
      <c r="M119" s="633" t="s"/>
      <c r="N119" s="633" t="s"/>
      <c r="O119" s="633" t="s"/>
      <c r="P119" s="633" t="s"/>
      <c r="Q119" s="633" t="s"/>
      <c r="R119" s="633" t="s"/>
      <c r="S119" s="633" t="s"/>
      <c r="T119" s="638" t="s"/>
      <c r="U119" s="638" t="s"/>
      <c r="V119" s="638" t="s"/>
      <c r="W119" s="638" t="s"/>
      <c r="X119" s="638" t="s"/>
      <c r="Y119" s="638" t="s"/>
      <c r="Z119" s="638" t="s"/>
    </row>
    <row r="120" spans="1:26" ht="13.5">
      <c r="A120" s="641" t="s"/>
      <c r="B120" s="633" t="s"/>
      <c r="C120" s="633" t="s"/>
      <c r="D120" s="638" t="s"/>
      <c r="E120" s="633" t="s"/>
      <c r="F120" s="633" t="s"/>
      <c r="G120" s="641" t="s"/>
      <c r="H120" s="641" t="s"/>
      <c r="I120" s="633" t="s"/>
      <c r="J120" s="633" t="s"/>
      <c r="K120" s="633" t="s"/>
      <c r="L120" s="633" t="s"/>
      <c r="M120" s="633" t="s"/>
      <c r="N120" s="633" t="s"/>
      <c r="O120" s="633" t="s"/>
      <c r="P120" s="633" t="s"/>
      <c r="Q120" s="633" t="s"/>
      <c r="R120" s="633" t="s"/>
      <c r="S120" s="633" t="s"/>
      <c r="T120" s="638" t="s"/>
      <c r="U120" s="638" t="s"/>
      <c r="V120" s="638" t="s"/>
      <c r="W120" s="638" t="s"/>
      <c r="X120" s="638" t="s"/>
      <c r="Y120" s="638" t="s"/>
      <c r="Z120" s="638" t="s"/>
    </row>
    <row r="121" spans="1:26" ht="13.5">
      <c r="A121" s="641" t="s"/>
      <c r="B121" s="633" t="s"/>
      <c r="C121" s="633" t="s"/>
      <c r="D121" s="638" t="s"/>
      <c r="E121" s="633" t="s"/>
      <c r="F121" s="633" t="s"/>
      <c r="G121" s="641" t="s"/>
      <c r="H121" s="641" t="s"/>
      <c r="I121" s="633" t="s"/>
      <c r="J121" s="633" t="s"/>
      <c r="K121" s="633" t="s"/>
      <c r="L121" s="633" t="s"/>
      <c r="M121" s="633" t="s"/>
      <c r="N121" s="633" t="s"/>
      <c r="O121" s="633" t="s"/>
      <c r="P121" s="633" t="s"/>
      <c r="Q121" s="633" t="s"/>
      <c r="R121" s="633" t="s"/>
      <c r="S121" s="633" t="s"/>
      <c r="T121" s="638" t="s"/>
      <c r="U121" s="638" t="s"/>
      <c r="V121" s="638" t="s"/>
      <c r="W121" s="638" t="s"/>
      <c r="X121" s="638" t="s"/>
      <c r="Y121" s="638" t="s"/>
      <c r="Z121" s="638" t="s"/>
    </row>
    <row r="122" spans="1:26" ht="13.5">
      <c r="A122" s="641" t="s"/>
      <c r="B122" s="633" t="s"/>
      <c r="C122" s="633" t="s"/>
      <c r="D122" s="638" t="s"/>
      <c r="E122" s="633" t="s"/>
      <c r="F122" s="633" t="s"/>
      <c r="G122" s="641" t="s"/>
      <c r="H122" s="641" t="s"/>
      <c r="I122" s="633" t="s"/>
      <c r="J122" s="633" t="s"/>
      <c r="K122" s="633" t="s"/>
      <c r="L122" s="633" t="s"/>
      <c r="M122" s="633" t="s"/>
      <c r="N122" s="633" t="s"/>
      <c r="O122" s="633" t="s"/>
      <c r="P122" s="633" t="s"/>
      <c r="Q122" s="633" t="s"/>
      <c r="R122" s="633" t="s"/>
      <c r="S122" s="633" t="s"/>
      <c r="T122" s="638" t="s"/>
      <c r="U122" s="638" t="s"/>
      <c r="V122" s="638" t="s"/>
      <c r="W122" s="638" t="s"/>
      <c r="X122" s="638" t="s"/>
      <c r="Y122" s="638" t="s"/>
      <c r="Z122" s="638" t="s"/>
    </row>
    <row r="123" spans="1:26" ht="13.5">
      <c r="A123" s="641" t="s"/>
      <c r="B123" s="633" t="s"/>
      <c r="C123" s="633" t="s"/>
      <c r="D123" s="638" t="s"/>
      <c r="E123" s="633" t="s"/>
      <c r="F123" s="633" t="s"/>
      <c r="G123" s="641" t="s"/>
      <c r="H123" s="641" t="s"/>
      <c r="I123" s="633" t="s"/>
      <c r="J123" s="633" t="s"/>
      <c r="K123" s="633" t="s"/>
      <c r="L123" s="633" t="s"/>
      <c r="M123" s="633" t="s"/>
      <c r="N123" s="633" t="s"/>
      <c r="O123" s="633" t="s"/>
      <c r="P123" s="633" t="s"/>
      <c r="Q123" s="633" t="s"/>
      <c r="R123" s="633" t="s"/>
      <c r="S123" s="633" t="s"/>
      <c r="T123" s="638" t="s"/>
      <c r="U123" s="638" t="s"/>
      <c r="V123" s="638" t="s"/>
      <c r="W123" s="638" t="s"/>
      <c r="X123" s="638" t="s"/>
      <c r="Y123" s="638" t="s"/>
      <c r="Z123" s="638" t="s"/>
    </row>
    <row r="124" spans="1:26" ht="13.5">
      <c r="A124" s="641" t="s"/>
      <c r="B124" s="633" t="s"/>
      <c r="C124" s="633" t="s"/>
      <c r="D124" s="638" t="s"/>
      <c r="E124" s="633" t="s"/>
      <c r="F124" s="633" t="s"/>
      <c r="G124" s="641" t="s"/>
      <c r="H124" s="641" t="s"/>
      <c r="I124" s="633" t="s"/>
      <c r="J124" s="633" t="s"/>
      <c r="K124" s="633" t="s"/>
      <c r="L124" s="633" t="s"/>
      <c r="M124" s="633" t="s"/>
      <c r="N124" s="633" t="s"/>
      <c r="O124" s="633" t="s"/>
      <c r="P124" s="633" t="s"/>
      <c r="Q124" s="633" t="s"/>
      <c r="R124" s="633" t="s"/>
      <c r="S124" s="633" t="s"/>
      <c r="T124" s="638" t="s"/>
      <c r="U124" s="638" t="s"/>
      <c r="V124" s="638" t="s"/>
      <c r="W124" s="638" t="s"/>
      <c r="X124" s="638" t="s"/>
      <c r="Y124" s="638" t="s"/>
      <c r="Z124" s="638" t="s"/>
    </row>
    <row r="125" spans="1:26" ht="13.5">
      <c r="A125" s="641" t="s"/>
      <c r="B125" s="633" t="s"/>
      <c r="C125" s="633" t="s"/>
      <c r="D125" s="638" t="s"/>
      <c r="E125" s="633" t="s"/>
      <c r="F125" s="633" t="s"/>
      <c r="G125" s="641" t="s"/>
      <c r="H125" s="641" t="s"/>
      <c r="I125" s="633" t="s"/>
      <c r="J125" s="633" t="s"/>
      <c r="K125" s="633" t="s"/>
      <c r="L125" s="633" t="s"/>
      <c r="M125" s="633" t="s"/>
      <c r="N125" s="633" t="s"/>
      <c r="O125" s="633" t="s"/>
      <c r="P125" s="633" t="s"/>
      <c r="Q125" s="633" t="s"/>
      <c r="R125" s="633" t="s"/>
      <c r="S125" s="633" t="s"/>
      <c r="T125" s="638" t="s"/>
      <c r="U125" s="638" t="s"/>
      <c r="V125" s="638" t="s"/>
      <c r="W125" s="638" t="s"/>
      <c r="X125" s="638" t="s"/>
      <c r="Y125" s="638" t="s"/>
      <c r="Z125" s="638" t="s"/>
    </row>
    <row r="126" spans="1:26" ht="13.5">
      <c r="A126" s="641" t="s"/>
      <c r="B126" s="633" t="s"/>
      <c r="C126" s="633" t="s"/>
      <c r="D126" s="638" t="s"/>
      <c r="E126" s="633" t="s"/>
      <c r="F126" s="633" t="s"/>
      <c r="G126" s="641" t="s"/>
      <c r="H126" s="641" t="s"/>
      <c r="I126" s="633" t="s"/>
      <c r="J126" s="633" t="s"/>
      <c r="K126" s="633" t="s"/>
      <c r="L126" s="633" t="s"/>
      <c r="M126" s="633" t="s"/>
      <c r="N126" s="633" t="s"/>
      <c r="O126" s="633" t="s"/>
      <c r="P126" s="633" t="s"/>
      <c r="Q126" s="633" t="s"/>
      <c r="R126" s="633" t="s"/>
      <c r="S126" s="633" t="s"/>
      <c r="T126" s="638" t="s"/>
      <c r="U126" s="638" t="s"/>
      <c r="V126" s="638" t="s"/>
      <c r="W126" s="638" t="s"/>
      <c r="X126" s="638" t="s"/>
      <c r="Y126" s="638" t="s"/>
      <c r="Z126" s="638" t="s"/>
    </row>
    <row r="127" spans="1:26" ht="13.5">
      <c r="A127" s="641" t="s"/>
      <c r="B127" s="633" t="s"/>
      <c r="C127" s="633" t="s"/>
      <c r="D127" s="638" t="s"/>
      <c r="E127" s="633" t="s"/>
      <c r="F127" s="633" t="s"/>
      <c r="G127" s="641" t="s"/>
      <c r="H127" s="641" t="s"/>
      <c r="I127" s="633" t="s"/>
      <c r="J127" s="633" t="s"/>
      <c r="K127" s="633" t="s"/>
      <c r="L127" s="633" t="s"/>
      <c r="M127" s="633" t="s"/>
      <c r="N127" s="633" t="s"/>
      <c r="O127" s="633" t="s"/>
      <c r="P127" s="633" t="s"/>
      <c r="Q127" s="633" t="s"/>
      <c r="R127" s="633" t="s"/>
      <c r="S127" s="633" t="s"/>
      <c r="T127" s="638" t="s"/>
      <c r="U127" s="638" t="s"/>
      <c r="V127" s="638" t="s"/>
      <c r="W127" s="638" t="s"/>
      <c r="X127" s="638" t="s"/>
      <c r="Y127" s="638" t="s"/>
      <c r="Z127" s="638" t="s"/>
    </row>
    <row r="128" spans="1:26" ht="13.5">
      <c r="A128" s="641" t="s"/>
      <c r="B128" s="633" t="s"/>
      <c r="C128" s="633" t="s"/>
      <c r="D128" s="638" t="s"/>
      <c r="E128" s="633" t="s"/>
      <c r="F128" s="633" t="s"/>
      <c r="G128" s="641" t="s"/>
      <c r="H128" s="641" t="s"/>
      <c r="I128" s="633" t="s"/>
      <c r="J128" s="633" t="s"/>
      <c r="K128" s="633" t="s"/>
      <c r="L128" s="633" t="s"/>
      <c r="M128" s="633" t="s"/>
      <c r="N128" s="633" t="s"/>
      <c r="O128" s="633" t="s"/>
      <c r="P128" s="633" t="s"/>
      <c r="Q128" s="633" t="s"/>
      <c r="R128" s="633" t="s"/>
      <c r="S128" s="633" t="s"/>
      <c r="T128" s="638" t="s"/>
      <c r="U128" s="638" t="s"/>
      <c r="V128" s="638" t="s"/>
      <c r="W128" s="638" t="s"/>
      <c r="X128" s="638" t="s"/>
      <c r="Y128" s="638" t="s"/>
      <c r="Z128" s="638" t="s"/>
    </row>
    <row r="129" spans="1:26" ht="13.5">
      <c r="A129" s="641" t="s"/>
      <c r="B129" s="633" t="s"/>
      <c r="C129" s="633" t="s"/>
      <c r="D129" s="638" t="s"/>
      <c r="E129" s="633" t="s"/>
      <c r="F129" s="633" t="s"/>
      <c r="G129" s="641" t="s"/>
      <c r="H129" s="641" t="s"/>
      <c r="I129" s="633" t="s"/>
      <c r="J129" s="633" t="s"/>
      <c r="K129" s="633" t="s"/>
      <c r="L129" s="633" t="s"/>
      <c r="M129" s="633" t="s"/>
      <c r="N129" s="633" t="s"/>
      <c r="O129" s="633" t="s"/>
      <c r="P129" s="633" t="s"/>
      <c r="Q129" s="633" t="s"/>
      <c r="R129" s="633" t="s"/>
      <c r="S129" s="633" t="s"/>
      <c r="T129" s="638" t="s"/>
      <c r="U129" s="638" t="s"/>
      <c r="V129" s="638" t="s"/>
      <c r="W129" s="638" t="s"/>
      <c r="X129" s="638" t="s"/>
      <c r="Y129" s="638" t="s"/>
      <c r="Z129" s="638" t="s"/>
    </row>
    <row r="130" spans="1:26" ht="13.5">
      <c r="A130" s="641" t="s"/>
      <c r="B130" s="633" t="s"/>
      <c r="C130" s="633" t="s"/>
      <c r="D130" s="638" t="s"/>
      <c r="E130" s="633" t="s"/>
      <c r="F130" s="633" t="s"/>
      <c r="G130" s="641" t="s"/>
      <c r="H130" s="641" t="s"/>
      <c r="I130" s="633" t="s"/>
      <c r="J130" s="633" t="s"/>
      <c r="K130" s="633" t="s"/>
      <c r="L130" s="633" t="s"/>
      <c r="M130" s="633" t="s"/>
      <c r="N130" s="633" t="s"/>
      <c r="O130" s="633" t="s"/>
      <c r="P130" s="633" t="s"/>
      <c r="Q130" s="633" t="s"/>
      <c r="R130" s="633" t="s"/>
      <c r="S130" s="633" t="s"/>
      <c r="T130" s="638" t="s"/>
      <c r="U130" s="638" t="s"/>
      <c r="V130" s="638" t="s"/>
      <c r="W130" s="638" t="s"/>
      <c r="X130" s="638" t="s"/>
      <c r="Y130" s="638" t="s"/>
      <c r="Z130" s="638" t="s"/>
    </row>
    <row r="131" spans="1:26" ht="13.5">
      <c r="A131" s="641" t="s"/>
      <c r="B131" s="633" t="s"/>
      <c r="C131" s="633" t="s"/>
      <c r="D131" s="638" t="s"/>
      <c r="E131" s="633" t="s"/>
      <c r="F131" s="633" t="s"/>
      <c r="G131" s="641" t="s"/>
      <c r="H131" s="641" t="s"/>
      <c r="I131" s="633" t="s"/>
      <c r="J131" s="633" t="s"/>
      <c r="K131" s="633" t="s"/>
      <c r="L131" s="633" t="s"/>
      <c r="M131" s="633" t="s"/>
      <c r="N131" s="633" t="s"/>
      <c r="O131" s="633" t="s"/>
      <c r="P131" s="633" t="s"/>
      <c r="Q131" s="633" t="s"/>
      <c r="R131" s="633" t="s"/>
      <c r="S131" s="633" t="s"/>
      <c r="T131" s="638" t="s"/>
      <c r="U131" s="638" t="s"/>
      <c r="V131" s="638" t="s"/>
      <c r="W131" s="638" t="s"/>
      <c r="X131" s="638" t="s"/>
      <c r="Y131" s="638" t="s"/>
      <c r="Z131" s="638" t="s"/>
    </row>
    <row r="132" spans="1:26" ht="13.5">
      <c r="A132" s="641" t="s"/>
      <c r="B132" s="633" t="s"/>
      <c r="C132" s="633" t="s"/>
      <c r="D132" s="638" t="s"/>
      <c r="E132" s="633" t="s"/>
      <c r="F132" s="633" t="s"/>
      <c r="G132" s="641" t="s"/>
      <c r="H132" s="641" t="s"/>
      <c r="I132" s="633" t="s"/>
      <c r="J132" s="633" t="s"/>
      <c r="K132" s="633" t="s"/>
      <c r="L132" s="633" t="s"/>
      <c r="M132" s="633" t="s"/>
      <c r="N132" s="633" t="s"/>
      <c r="O132" s="633" t="s"/>
      <c r="P132" s="633" t="s"/>
      <c r="Q132" s="633" t="s"/>
      <c r="R132" s="633" t="s"/>
      <c r="S132" s="633" t="s"/>
      <c r="T132" s="638" t="s"/>
      <c r="U132" s="638" t="s"/>
      <c r="V132" s="638" t="s"/>
      <c r="W132" s="638" t="s"/>
      <c r="X132" s="638" t="s"/>
      <c r="Y132" s="638" t="s"/>
      <c r="Z132" s="638" t="s"/>
    </row>
    <row r="133" spans="1:26" ht="13.5">
      <c r="A133" s="641" t="s"/>
      <c r="B133" s="633" t="s"/>
      <c r="C133" s="633" t="s"/>
      <c r="D133" s="638" t="s"/>
      <c r="E133" s="633" t="s"/>
      <c r="F133" s="633" t="s"/>
      <c r="G133" s="641" t="s"/>
      <c r="H133" s="641" t="s"/>
      <c r="I133" s="633" t="s"/>
      <c r="J133" s="633" t="s"/>
      <c r="K133" s="633" t="s"/>
      <c r="L133" s="633" t="s"/>
      <c r="M133" s="633" t="s"/>
      <c r="N133" s="633" t="s"/>
      <c r="O133" s="633" t="s"/>
      <c r="P133" s="633" t="s"/>
      <c r="Q133" s="633" t="s"/>
      <c r="R133" s="633" t="s"/>
      <c r="S133" s="633" t="s"/>
      <c r="T133" s="638" t="s"/>
      <c r="U133" s="638" t="s"/>
      <c r="V133" s="638" t="s"/>
      <c r="W133" s="638" t="s"/>
      <c r="X133" s="638" t="s"/>
      <c r="Y133" s="638" t="s"/>
      <c r="Z133" s="638" t="s"/>
    </row>
    <row r="134" spans="1:26" ht="13.5">
      <c r="A134" s="641" t="s"/>
      <c r="B134" s="633" t="s"/>
      <c r="C134" s="633" t="s"/>
      <c r="D134" s="638" t="s"/>
      <c r="E134" s="633" t="s"/>
      <c r="F134" s="633" t="s"/>
      <c r="G134" s="641" t="s"/>
      <c r="H134" s="641" t="s"/>
      <c r="I134" s="633" t="s"/>
      <c r="J134" s="633" t="s"/>
      <c r="K134" s="633" t="s"/>
      <c r="L134" s="633" t="s"/>
      <c r="M134" s="633" t="s"/>
      <c r="N134" s="633" t="s"/>
      <c r="O134" s="633" t="s"/>
      <c r="P134" s="633" t="s"/>
      <c r="Q134" s="633" t="s"/>
      <c r="R134" s="633" t="s"/>
      <c r="S134" s="633" t="s"/>
      <c r="T134" s="638" t="s"/>
      <c r="U134" s="638" t="s"/>
      <c r="V134" s="638" t="s"/>
      <c r="W134" s="638" t="s"/>
      <c r="X134" s="638" t="s"/>
      <c r="Y134" s="638" t="s"/>
      <c r="Z134" s="638" t="s"/>
    </row>
    <row r="135" spans="1:26" ht="13.5">
      <c r="A135" s="641" t="s"/>
      <c r="B135" s="633" t="s"/>
      <c r="C135" s="633" t="s"/>
      <c r="D135" s="638" t="s"/>
      <c r="E135" s="633" t="s"/>
      <c r="F135" s="633" t="s"/>
      <c r="G135" s="641" t="s"/>
      <c r="H135" s="641" t="s"/>
      <c r="I135" s="633" t="s"/>
      <c r="J135" s="633" t="s"/>
      <c r="K135" s="633" t="s"/>
      <c r="L135" s="633" t="s"/>
      <c r="M135" s="633" t="s"/>
      <c r="N135" s="633" t="s"/>
      <c r="O135" s="633" t="s"/>
      <c r="P135" s="633" t="s"/>
      <c r="Q135" s="633" t="s"/>
      <c r="R135" s="633" t="s"/>
      <c r="S135" s="633" t="s"/>
      <c r="T135" s="638" t="s"/>
      <c r="U135" s="638" t="s"/>
      <c r="V135" s="638" t="s"/>
      <c r="W135" s="638" t="s"/>
      <c r="X135" s="638" t="s"/>
      <c r="Y135" s="638" t="s"/>
      <c r="Z135" s="638" t="s"/>
    </row>
    <row r="136" spans="1:26" ht="13.5">
      <c r="A136" s="641" t="s"/>
      <c r="B136" s="633" t="s"/>
      <c r="C136" s="633" t="s"/>
      <c r="D136" s="638" t="s"/>
      <c r="E136" s="633" t="s"/>
      <c r="F136" s="633" t="s"/>
      <c r="G136" s="641" t="s"/>
      <c r="H136" s="641" t="s"/>
      <c r="I136" s="633" t="s"/>
      <c r="J136" s="633" t="s"/>
      <c r="K136" s="633" t="s"/>
      <c r="L136" s="633" t="s"/>
      <c r="M136" s="633" t="s"/>
      <c r="N136" s="633" t="s"/>
      <c r="O136" s="633" t="s"/>
      <c r="P136" s="633" t="s"/>
      <c r="Q136" s="633" t="s"/>
      <c r="R136" s="633" t="s"/>
      <c r="S136" s="633" t="s"/>
      <c r="T136" s="638" t="s"/>
      <c r="U136" s="638" t="s"/>
      <c r="V136" s="638" t="s"/>
      <c r="W136" s="638" t="s"/>
      <c r="X136" s="638" t="s"/>
      <c r="Y136" s="638" t="s"/>
      <c r="Z136" s="638" t="s"/>
    </row>
    <row r="137" spans="1:26" ht="13.5">
      <c r="A137" s="641" t="s"/>
      <c r="B137" s="633" t="s"/>
      <c r="C137" s="633" t="s"/>
      <c r="D137" s="638" t="s"/>
      <c r="E137" s="633" t="s"/>
      <c r="F137" s="633" t="s"/>
      <c r="G137" s="641" t="s"/>
      <c r="H137" s="641" t="s"/>
      <c r="I137" s="633" t="s"/>
      <c r="J137" s="633" t="s"/>
      <c r="K137" s="633" t="s"/>
      <c r="L137" s="633" t="s"/>
      <c r="M137" s="633" t="s"/>
      <c r="N137" s="633" t="s"/>
      <c r="O137" s="633" t="s"/>
      <c r="P137" s="633" t="s"/>
      <c r="Q137" s="633" t="s"/>
      <c r="R137" s="633" t="s"/>
      <c r="S137" s="633" t="s"/>
      <c r="T137" s="638" t="s"/>
      <c r="U137" s="638" t="s"/>
      <c r="V137" s="638" t="s"/>
      <c r="W137" s="638" t="s"/>
      <c r="X137" s="638" t="s"/>
      <c r="Y137" s="638" t="s"/>
      <c r="Z137" s="638" t="s"/>
    </row>
    <row r="138" spans="1:26" ht="13.5">
      <c r="A138" s="641" t="s"/>
      <c r="B138" s="633" t="s"/>
      <c r="C138" s="633" t="s"/>
      <c r="D138" s="638" t="s"/>
      <c r="E138" s="633" t="s"/>
      <c r="F138" s="633" t="s"/>
      <c r="G138" s="641" t="s"/>
      <c r="H138" s="641" t="s"/>
      <c r="I138" s="633" t="s"/>
      <c r="J138" s="633" t="s"/>
      <c r="K138" s="633" t="s"/>
      <c r="L138" s="633" t="s"/>
      <c r="M138" s="633" t="s"/>
      <c r="N138" s="633" t="s"/>
      <c r="O138" s="633" t="s"/>
      <c r="P138" s="633" t="s"/>
      <c r="Q138" s="633" t="s"/>
      <c r="R138" s="633" t="s"/>
      <c r="S138" s="633" t="s"/>
      <c r="T138" s="638" t="s"/>
      <c r="U138" s="638" t="s"/>
      <c r="V138" s="638" t="s"/>
      <c r="W138" s="638" t="s"/>
      <c r="X138" s="638" t="s"/>
      <c r="Y138" s="638" t="s"/>
      <c r="Z138" s="638" t="s"/>
    </row>
    <row r="139" spans="1:26" ht="13.5">
      <c r="A139" s="641" t="s"/>
      <c r="B139" s="633" t="s"/>
      <c r="C139" s="633" t="s"/>
      <c r="D139" s="638" t="s"/>
      <c r="E139" s="633" t="s"/>
      <c r="F139" s="633" t="s"/>
      <c r="G139" s="641" t="s"/>
      <c r="H139" s="641" t="s"/>
      <c r="I139" s="633" t="s"/>
      <c r="J139" s="633" t="s"/>
      <c r="K139" s="633" t="s"/>
      <c r="L139" s="633" t="s"/>
      <c r="M139" s="633" t="s"/>
      <c r="N139" s="633" t="s"/>
      <c r="O139" s="633" t="s"/>
      <c r="P139" s="633" t="s"/>
      <c r="Q139" s="633" t="s"/>
      <c r="R139" s="633" t="s"/>
      <c r="S139" s="633" t="s"/>
      <c r="T139" s="638" t="s"/>
      <c r="U139" s="638" t="s"/>
      <c r="V139" s="638" t="s"/>
      <c r="W139" s="638" t="s"/>
      <c r="X139" s="638" t="s"/>
      <c r="Y139" s="638" t="s"/>
      <c r="Z139" s="638" t="s"/>
    </row>
    <row r="140" spans="1:26" ht="13.5">
      <c r="A140" s="641" t="s"/>
      <c r="B140" s="633" t="s"/>
      <c r="C140" s="633" t="s"/>
      <c r="D140" s="638" t="s"/>
      <c r="E140" s="633" t="s"/>
      <c r="F140" s="633" t="s"/>
      <c r="G140" s="641" t="s"/>
      <c r="H140" s="641" t="s"/>
      <c r="I140" s="633" t="s"/>
      <c r="J140" s="633" t="s"/>
      <c r="K140" s="633" t="s"/>
      <c r="L140" s="633" t="s"/>
      <c r="M140" s="633" t="s"/>
      <c r="N140" s="633" t="s"/>
      <c r="O140" s="633" t="s"/>
      <c r="P140" s="633" t="s"/>
      <c r="Q140" s="633" t="s"/>
      <c r="R140" s="633" t="s"/>
      <c r="S140" s="633" t="s"/>
      <c r="T140" s="638" t="s"/>
      <c r="U140" s="638" t="s"/>
      <c r="V140" s="638" t="s"/>
      <c r="W140" s="638" t="s"/>
      <c r="X140" s="638" t="s"/>
      <c r="Y140" s="638" t="s"/>
      <c r="Z140" s="638" t="s"/>
    </row>
    <row r="141" spans="1:26" ht="13.5">
      <c r="A141" s="641" t="s"/>
      <c r="B141" s="633" t="s"/>
      <c r="C141" s="633" t="s"/>
      <c r="D141" s="638" t="s"/>
      <c r="E141" s="633" t="s"/>
      <c r="F141" s="633" t="s"/>
      <c r="G141" s="641" t="s"/>
      <c r="H141" s="641" t="s"/>
      <c r="I141" s="633" t="s"/>
      <c r="J141" s="633" t="s"/>
      <c r="K141" s="633" t="s"/>
      <c r="L141" s="633" t="s"/>
      <c r="M141" s="633" t="s"/>
      <c r="N141" s="633" t="s"/>
      <c r="O141" s="633" t="s"/>
      <c r="P141" s="633" t="s"/>
      <c r="Q141" s="633" t="s"/>
      <c r="R141" s="633" t="s"/>
      <c r="S141" s="633" t="s"/>
      <c r="T141" s="638" t="s"/>
      <c r="U141" s="638" t="s"/>
      <c r="V141" s="638" t="s"/>
      <c r="W141" s="638" t="s"/>
      <c r="X141" s="638" t="s"/>
      <c r="Y141" s="638" t="s"/>
      <c r="Z141" s="638" t="s"/>
    </row>
    <row r="142" spans="1:26" ht="13.5">
      <c r="A142" s="641" t="s"/>
      <c r="B142" s="633" t="s"/>
      <c r="C142" s="633" t="s"/>
      <c r="D142" s="638" t="s"/>
      <c r="E142" s="633" t="s"/>
      <c r="F142" s="633" t="s"/>
      <c r="G142" s="641" t="s"/>
      <c r="H142" s="641" t="s"/>
      <c r="I142" s="633" t="s"/>
      <c r="J142" s="633" t="s"/>
      <c r="K142" s="633" t="s"/>
      <c r="L142" s="633" t="s"/>
      <c r="M142" s="633" t="s"/>
      <c r="N142" s="633" t="s"/>
      <c r="O142" s="633" t="s"/>
      <c r="P142" s="633" t="s"/>
      <c r="Q142" s="633" t="s"/>
      <c r="R142" s="633" t="s"/>
      <c r="S142" s="633" t="s"/>
      <c r="T142" s="638" t="s"/>
      <c r="U142" s="638" t="s"/>
      <c r="V142" s="638" t="s"/>
      <c r="W142" s="638" t="s"/>
      <c r="X142" s="638" t="s"/>
      <c r="Y142" s="638" t="s"/>
      <c r="Z142" s="638" t="s"/>
    </row>
    <row r="143" spans="1:26" ht="13.5">
      <c r="A143" s="641" t="s"/>
      <c r="B143" s="633" t="s"/>
      <c r="C143" s="633" t="s"/>
      <c r="D143" s="638" t="s"/>
      <c r="E143" s="633" t="s"/>
      <c r="F143" s="633" t="s"/>
      <c r="G143" s="641" t="s"/>
      <c r="H143" s="641" t="s"/>
      <c r="I143" s="633" t="s"/>
      <c r="J143" s="633" t="s"/>
      <c r="K143" s="633" t="s"/>
      <c r="L143" s="633" t="s"/>
      <c r="M143" s="633" t="s"/>
      <c r="N143" s="633" t="s"/>
      <c r="O143" s="633" t="s"/>
      <c r="P143" s="633" t="s"/>
      <c r="Q143" s="633" t="s"/>
      <c r="R143" s="633" t="s"/>
      <c r="S143" s="633" t="s"/>
      <c r="T143" s="638" t="s"/>
      <c r="U143" s="638" t="s"/>
      <c r="V143" s="638" t="s"/>
      <c r="W143" s="638" t="s"/>
      <c r="X143" s="638" t="s"/>
      <c r="Y143" s="638" t="s"/>
      <c r="Z143" s="638" t="s"/>
    </row>
    <row r="144" spans="1:26" ht="13.5">
      <c r="A144" s="641" t="s"/>
      <c r="B144" s="633" t="s"/>
      <c r="C144" s="633" t="s"/>
      <c r="D144" s="638" t="s"/>
      <c r="E144" s="633" t="s"/>
      <c r="F144" s="633" t="s"/>
      <c r="G144" s="641" t="s"/>
      <c r="H144" s="641" t="s"/>
      <c r="I144" s="633" t="s"/>
      <c r="J144" s="633" t="s"/>
      <c r="K144" s="633" t="s"/>
      <c r="L144" s="633" t="s"/>
      <c r="M144" s="633" t="s"/>
      <c r="N144" s="633" t="s"/>
      <c r="O144" s="633" t="s"/>
      <c r="P144" s="633" t="s"/>
      <c r="Q144" s="633" t="s"/>
      <c r="R144" s="633" t="s"/>
      <c r="S144" s="633" t="s"/>
      <c r="T144" s="638" t="s"/>
      <c r="U144" s="638" t="s"/>
      <c r="V144" s="638" t="s"/>
      <c r="W144" s="638" t="s"/>
      <c r="X144" s="638" t="s"/>
      <c r="Y144" s="638" t="s"/>
      <c r="Z144" s="638" t="s"/>
    </row>
    <row r="145" spans="1:26" ht="13.5">
      <c r="A145" s="641" t="s"/>
      <c r="B145" s="633" t="s"/>
      <c r="C145" s="633" t="s"/>
      <c r="D145" s="638" t="s"/>
      <c r="E145" s="633" t="s"/>
      <c r="F145" s="633" t="s"/>
      <c r="G145" s="641" t="s"/>
      <c r="H145" s="641" t="s"/>
      <c r="I145" s="633" t="s"/>
      <c r="J145" s="633" t="s"/>
      <c r="K145" s="633" t="s"/>
      <c r="L145" s="633" t="s"/>
      <c r="M145" s="633" t="s"/>
      <c r="N145" s="633" t="s"/>
      <c r="O145" s="633" t="s"/>
      <c r="P145" s="633" t="s"/>
      <c r="Q145" s="633" t="s"/>
      <c r="R145" s="633" t="s"/>
      <c r="S145" s="633" t="s"/>
      <c r="T145" s="638" t="s"/>
      <c r="U145" s="638" t="s"/>
      <c r="V145" s="638" t="s"/>
      <c r="W145" s="638" t="s"/>
      <c r="X145" s="638" t="s"/>
      <c r="Y145" s="638" t="s"/>
      <c r="Z145" s="638" t="s"/>
    </row>
    <row r="146" spans="1:26" ht="13.5">
      <c r="A146" s="641" t="s"/>
      <c r="B146" s="633" t="s"/>
      <c r="C146" s="633" t="s"/>
      <c r="D146" s="638" t="s"/>
      <c r="E146" s="633" t="s"/>
      <c r="F146" s="633" t="s"/>
      <c r="G146" s="641" t="s"/>
      <c r="H146" s="641" t="s"/>
      <c r="I146" s="633" t="s"/>
      <c r="J146" s="633" t="s"/>
      <c r="K146" s="633" t="s"/>
      <c r="L146" s="633" t="s"/>
      <c r="M146" s="633" t="s"/>
      <c r="N146" s="633" t="s"/>
      <c r="O146" s="633" t="s"/>
      <c r="P146" s="633" t="s"/>
      <c r="Q146" s="633" t="s"/>
      <c r="R146" s="633" t="s"/>
      <c r="S146" s="633" t="s"/>
      <c r="T146" s="638" t="s"/>
      <c r="U146" s="638" t="s"/>
      <c r="V146" s="638" t="s"/>
      <c r="W146" s="638" t="s"/>
      <c r="X146" s="638" t="s"/>
      <c r="Y146" s="638" t="s"/>
      <c r="Z146" s="638" t="s"/>
    </row>
    <row r="147" spans="1:26" ht="13.5">
      <c r="A147" s="641" t="s"/>
      <c r="B147" s="633" t="s"/>
      <c r="C147" s="633" t="s"/>
      <c r="D147" s="638" t="s"/>
      <c r="E147" s="633" t="s"/>
      <c r="F147" s="633" t="s"/>
      <c r="G147" s="641" t="s"/>
      <c r="H147" s="641" t="s"/>
      <c r="I147" s="633" t="s"/>
      <c r="J147" s="633" t="s"/>
      <c r="K147" s="633" t="s"/>
      <c r="L147" s="633" t="s"/>
      <c r="M147" s="633" t="s"/>
      <c r="N147" s="633" t="s"/>
      <c r="O147" s="633" t="s"/>
      <c r="P147" s="633" t="s"/>
      <c r="Q147" s="633" t="s"/>
      <c r="R147" s="633" t="s"/>
      <c r="S147" s="633" t="s"/>
      <c r="T147" s="638" t="s"/>
      <c r="U147" s="638" t="s"/>
      <c r="V147" s="638" t="s"/>
      <c r="W147" s="638" t="s"/>
      <c r="X147" s="638" t="s"/>
      <c r="Y147" s="638" t="s"/>
      <c r="Z147" s="638" t="s"/>
    </row>
    <row r="148" spans="1:26" ht="13.5">
      <c r="A148" s="641" t="s"/>
      <c r="B148" s="633" t="s"/>
      <c r="C148" s="633" t="s"/>
      <c r="D148" s="638" t="s"/>
      <c r="E148" s="633" t="s"/>
      <c r="F148" s="633" t="s"/>
      <c r="G148" s="641" t="s"/>
      <c r="H148" s="641" t="s"/>
      <c r="I148" s="633" t="s"/>
      <c r="J148" s="633" t="s"/>
      <c r="K148" s="633" t="s"/>
      <c r="L148" s="633" t="s"/>
      <c r="M148" s="633" t="s"/>
      <c r="N148" s="633" t="s"/>
      <c r="O148" s="633" t="s"/>
      <c r="P148" s="633" t="s"/>
      <c r="Q148" s="633" t="s"/>
      <c r="R148" s="633" t="s"/>
      <c r="S148" s="633" t="s"/>
      <c r="T148" s="638" t="s"/>
      <c r="U148" s="638" t="s"/>
      <c r="V148" s="638" t="s"/>
      <c r="W148" s="638" t="s"/>
      <c r="X148" s="638" t="s"/>
      <c r="Y148" s="638" t="s"/>
      <c r="Z148" s="638" t="s"/>
    </row>
    <row r="149" spans="1:26" ht="13.5">
      <c r="A149" s="641" t="s"/>
      <c r="B149" s="633" t="s"/>
      <c r="C149" s="633" t="s"/>
      <c r="D149" s="638" t="s"/>
      <c r="E149" s="633" t="s"/>
      <c r="F149" s="633" t="s"/>
      <c r="G149" s="641" t="s"/>
      <c r="H149" s="641" t="s"/>
      <c r="I149" s="633" t="s"/>
      <c r="J149" s="633" t="s"/>
      <c r="K149" s="633" t="s"/>
      <c r="L149" s="633" t="s"/>
      <c r="M149" s="633" t="s"/>
      <c r="N149" s="633" t="s"/>
      <c r="O149" s="633" t="s"/>
      <c r="P149" s="633" t="s"/>
      <c r="Q149" s="633" t="s"/>
      <c r="R149" s="633" t="s"/>
      <c r="S149" s="633" t="s"/>
      <c r="T149" s="638" t="s"/>
      <c r="U149" s="638" t="s"/>
      <c r="V149" s="638" t="s"/>
      <c r="W149" s="638" t="s"/>
      <c r="X149" s="638" t="s"/>
      <c r="Y149" s="638" t="s"/>
      <c r="Z149" s="638" t="s"/>
    </row>
    <row r="150" spans="1:26" ht="13.5">
      <c r="A150" s="641" t="s"/>
      <c r="B150" s="633" t="s"/>
      <c r="C150" s="633" t="s"/>
      <c r="D150" s="638" t="s"/>
      <c r="E150" s="633" t="s"/>
      <c r="F150" s="633" t="s"/>
      <c r="G150" s="641" t="s"/>
      <c r="H150" s="641" t="s"/>
      <c r="I150" s="633" t="s"/>
      <c r="J150" s="633" t="s"/>
      <c r="K150" s="633" t="s"/>
      <c r="L150" s="633" t="s"/>
      <c r="M150" s="633" t="s"/>
      <c r="N150" s="633" t="s"/>
      <c r="O150" s="633" t="s"/>
      <c r="P150" s="633" t="s"/>
      <c r="Q150" s="633" t="s"/>
      <c r="R150" s="633" t="s"/>
      <c r="S150" s="633" t="s"/>
      <c r="T150" s="638" t="s"/>
      <c r="U150" s="638" t="s"/>
      <c r="V150" s="638" t="s"/>
      <c r="W150" s="638" t="s"/>
      <c r="X150" s="638" t="s"/>
      <c r="Y150" s="638" t="s"/>
      <c r="Z150" s="638" t="s"/>
    </row>
    <row r="151" spans="1:26" ht="13.5">
      <c r="A151" s="641" t="s"/>
      <c r="B151" s="633" t="s"/>
      <c r="C151" s="633" t="s"/>
      <c r="D151" s="638" t="s"/>
      <c r="E151" s="633" t="s"/>
      <c r="F151" s="633" t="s"/>
      <c r="G151" s="641" t="s"/>
      <c r="H151" s="641" t="s"/>
      <c r="I151" s="633" t="s"/>
      <c r="J151" s="633" t="s"/>
      <c r="K151" s="633" t="s"/>
      <c r="L151" s="633" t="s"/>
      <c r="M151" s="633" t="s"/>
      <c r="N151" s="633" t="s"/>
      <c r="O151" s="633" t="s"/>
      <c r="P151" s="633" t="s"/>
      <c r="Q151" s="633" t="s"/>
      <c r="R151" s="633" t="s"/>
      <c r="S151" s="633" t="s"/>
      <c r="T151" s="638" t="s"/>
      <c r="U151" s="638" t="s"/>
      <c r="V151" s="638" t="s"/>
      <c r="W151" s="638" t="s"/>
      <c r="X151" s="638" t="s"/>
      <c r="Y151" s="638" t="s"/>
      <c r="Z151" s="638" t="s"/>
    </row>
    <row r="152" spans="1:26" ht="13.5">
      <c r="A152" s="641" t="s"/>
      <c r="B152" s="633" t="s"/>
      <c r="C152" s="633" t="s"/>
      <c r="D152" s="638" t="s"/>
      <c r="E152" s="633" t="s"/>
      <c r="F152" s="633" t="s"/>
      <c r="G152" s="641" t="s"/>
      <c r="H152" s="641" t="s"/>
      <c r="I152" s="633" t="s"/>
      <c r="J152" s="633" t="s"/>
      <c r="K152" s="633" t="s"/>
      <c r="L152" s="633" t="s"/>
      <c r="M152" s="633" t="s"/>
      <c r="N152" s="633" t="s"/>
      <c r="O152" s="633" t="s"/>
      <c r="P152" s="633" t="s"/>
      <c r="Q152" s="633" t="s"/>
      <c r="R152" s="633" t="s"/>
      <c r="S152" s="633" t="s"/>
      <c r="T152" s="638" t="s"/>
      <c r="U152" s="638" t="s"/>
      <c r="V152" s="638" t="s"/>
      <c r="W152" s="638" t="s"/>
      <c r="X152" s="638" t="s"/>
      <c r="Y152" s="638" t="s"/>
      <c r="Z152" s="638" t="s"/>
    </row>
    <row r="153" spans="1:26" ht="13.5">
      <c r="A153" s="641" t="s"/>
      <c r="B153" s="633" t="s"/>
      <c r="C153" s="633" t="s"/>
      <c r="D153" s="638" t="s"/>
      <c r="E153" s="633" t="s"/>
      <c r="F153" s="633" t="s"/>
      <c r="G153" s="641" t="s"/>
      <c r="H153" s="641" t="s"/>
      <c r="I153" s="633" t="s"/>
      <c r="J153" s="633" t="s"/>
      <c r="K153" s="633" t="s"/>
      <c r="L153" s="633" t="s"/>
      <c r="M153" s="633" t="s"/>
      <c r="N153" s="633" t="s"/>
      <c r="O153" s="633" t="s"/>
      <c r="P153" s="633" t="s"/>
      <c r="Q153" s="633" t="s"/>
      <c r="R153" s="633" t="s"/>
      <c r="S153" s="633" t="s"/>
      <c r="T153" s="638" t="s"/>
      <c r="U153" s="638" t="s"/>
      <c r="V153" s="638" t="s"/>
      <c r="W153" s="638" t="s"/>
      <c r="X153" s="638" t="s"/>
      <c r="Y153" s="638" t="s"/>
      <c r="Z153" s="638" t="s"/>
    </row>
    <row r="154" spans="1:26" ht="13.5">
      <c r="A154" s="641" t="s"/>
      <c r="B154" s="633" t="s"/>
      <c r="C154" s="633" t="s"/>
      <c r="D154" s="638" t="s"/>
      <c r="E154" s="633" t="s"/>
      <c r="F154" s="633" t="s"/>
      <c r="G154" s="641" t="s"/>
      <c r="H154" s="641" t="s"/>
      <c r="I154" s="633" t="s"/>
      <c r="J154" s="633" t="s"/>
      <c r="K154" s="633" t="s"/>
      <c r="L154" s="633" t="s"/>
      <c r="M154" s="633" t="s"/>
      <c r="N154" s="633" t="s"/>
      <c r="O154" s="633" t="s"/>
      <c r="P154" s="633" t="s"/>
      <c r="Q154" s="633" t="s"/>
      <c r="R154" s="633" t="s"/>
      <c r="S154" s="633" t="s"/>
      <c r="T154" s="638" t="s"/>
      <c r="U154" s="638" t="s"/>
      <c r="V154" s="638" t="s"/>
      <c r="W154" s="638" t="s"/>
      <c r="X154" s="638" t="s"/>
      <c r="Y154" s="638" t="s"/>
      <c r="Z154" s="638" t="s"/>
    </row>
    <row r="155" spans="1:26" ht="13.5">
      <c r="A155" s="641" t="s"/>
      <c r="B155" s="633" t="s"/>
      <c r="C155" s="633" t="s"/>
      <c r="D155" s="638" t="s"/>
      <c r="E155" s="633" t="s"/>
      <c r="F155" s="633" t="s"/>
      <c r="G155" s="641" t="s"/>
      <c r="H155" s="641" t="s"/>
      <c r="I155" s="633" t="s"/>
      <c r="J155" s="633" t="s"/>
      <c r="K155" s="633" t="s"/>
      <c r="L155" s="633" t="s"/>
      <c r="M155" s="633" t="s"/>
      <c r="N155" s="633" t="s"/>
      <c r="O155" s="633" t="s"/>
      <c r="P155" s="633" t="s"/>
      <c r="Q155" s="633" t="s"/>
      <c r="R155" s="633" t="s"/>
      <c r="S155" s="633" t="s"/>
      <c r="T155" s="638" t="s"/>
      <c r="U155" s="638" t="s"/>
      <c r="V155" s="638" t="s"/>
      <c r="W155" s="638" t="s"/>
      <c r="X155" s="638" t="s"/>
      <c r="Y155" s="638" t="s"/>
      <c r="Z155" s="638" t="s"/>
    </row>
    <row r="156" spans="1:26" ht="13.5">
      <c r="A156" s="641" t="s"/>
      <c r="B156" s="633" t="s"/>
      <c r="C156" s="633" t="s"/>
      <c r="D156" s="638" t="s"/>
      <c r="E156" s="633" t="s"/>
      <c r="F156" s="633" t="s"/>
      <c r="G156" s="641" t="s"/>
      <c r="H156" s="641" t="s"/>
      <c r="I156" s="633" t="s"/>
      <c r="J156" s="633" t="s"/>
      <c r="K156" s="633" t="s"/>
      <c r="L156" s="633" t="s"/>
      <c r="M156" s="633" t="s"/>
      <c r="N156" s="633" t="s"/>
      <c r="O156" s="633" t="s"/>
      <c r="P156" s="633" t="s"/>
      <c r="Q156" s="633" t="s"/>
      <c r="R156" s="633" t="s"/>
      <c r="S156" s="633" t="s"/>
      <c r="T156" s="638" t="s"/>
      <c r="U156" s="638" t="s"/>
      <c r="V156" s="638" t="s"/>
      <c r="W156" s="638" t="s"/>
      <c r="X156" s="638" t="s"/>
      <c r="Y156" s="638" t="s"/>
      <c r="Z156" s="638" t="s"/>
    </row>
    <row r="157" spans="1:26" ht="13.5">
      <c r="A157" s="641" t="s"/>
      <c r="B157" s="633" t="s"/>
      <c r="C157" s="633" t="s"/>
      <c r="D157" s="638" t="s"/>
      <c r="E157" s="633" t="s"/>
      <c r="F157" s="633" t="s"/>
      <c r="G157" s="641" t="s"/>
      <c r="H157" s="641" t="s"/>
      <c r="I157" s="633" t="s"/>
      <c r="J157" s="633" t="s"/>
      <c r="K157" s="633" t="s"/>
      <c r="L157" s="633" t="s"/>
      <c r="M157" s="633" t="s"/>
      <c r="N157" s="633" t="s"/>
      <c r="O157" s="633" t="s"/>
      <c r="P157" s="633" t="s"/>
      <c r="Q157" s="633" t="s"/>
      <c r="R157" s="633" t="s"/>
      <c r="S157" s="633" t="s"/>
      <c r="T157" s="638" t="s"/>
      <c r="U157" s="638" t="s"/>
      <c r="V157" s="638" t="s"/>
      <c r="W157" s="638" t="s"/>
      <c r="X157" s="638" t="s"/>
      <c r="Y157" s="638" t="s"/>
      <c r="Z157" s="638" t="s"/>
    </row>
    <row r="158" spans="1:26" ht="13.5">
      <c r="A158" s="641" t="s"/>
      <c r="B158" s="633" t="s"/>
      <c r="C158" s="633" t="s"/>
      <c r="D158" s="638" t="s"/>
      <c r="E158" s="633" t="s"/>
      <c r="F158" s="633" t="s"/>
      <c r="G158" s="641" t="s"/>
      <c r="H158" s="641" t="s"/>
      <c r="I158" s="633" t="s"/>
      <c r="J158" s="633" t="s"/>
      <c r="K158" s="633" t="s"/>
      <c r="L158" s="633" t="s"/>
      <c r="M158" s="633" t="s"/>
      <c r="N158" s="633" t="s"/>
      <c r="O158" s="633" t="s"/>
      <c r="P158" s="633" t="s"/>
      <c r="Q158" s="633" t="s"/>
      <c r="R158" s="633" t="s"/>
      <c r="S158" s="633" t="s"/>
      <c r="T158" s="638" t="s"/>
      <c r="U158" s="638" t="s"/>
      <c r="V158" s="638" t="s"/>
      <c r="W158" s="638" t="s"/>
      <c r="X158" s="638" t="s"/>
      <c r="Y158" s="638" t="s"/>
      <c r="Z158" s="638" t="s"/>
    </row>
    <row r="159" spans="1:26" ht="13.5">
      <c r="A159" s="641" t="s"/>
      <c r="B159" s="633" t="s"/>
      <c r="C159" s="633" t="s"/>
      <c r="D159" s="638" t="s"/>
      <c r="E159" s="633" t="s"/>
      <c r="F159" s="633" t="s"/>
      <c r="G159" s="641" t="s"/>
      <c r="H159" s="641" t="s"/>
      <c r="I159" s="633" t="s"/>
      <c r="J159" s="633" t="s"/>
      <c r="K159" s="633" t="s"/>
      <c r="L159" s="633" t="s"/>
      <c r="M159" s="633" t="s"/>
      <c r="N159" s="633" t="s"/>
      <c r="O159" s="633" t="s"/>
      <c r="P159" s="633" t="s"/>
      <c r="Q159" s="633" t="s"/>
      <c r="R159" s="633" t="s"/>
      <c r="S159" s="633" t="s"/>
      <c r="T159" s="638" t="s"/>
      <c r="U159" s="638" t="s"/>
      <c r="V159" s="638" t="s"/>
      <c r="W159" s="638" t="s"/>
      <c r="X159" s="638" t="s"/>
      <c r="Y159" s="638" t="s"/>
      <c r="Z159" s="638" t="s"/>
    </row>
    <row r="160" spans="1:26" ht="13.5">
      <c r="A160" s="641" t="s"/>
      <c r="B160" s="633" t="s"/>
      <c r="C160" s="633" t="s"/>
      <c r="D160" s="638" t="s"/>
      <c r="E160" s="633" t="s"/>
      <c r="F160" s="633" t="s"/>
      <c r="G160" s="641" t="s"/>
      <c r="H160" s="641" t="s"/>
      <c r="I160" s="633" t="s"/>
      <c r="J160" s="633" t="s"/>
      <c r="K160" s="633" t="s"/>
      <c r="L160" s="633" t="s"/>
      <c r="M160" s="633" t="s"/>
      <c r="N160" s="633" t="s"/>
      <c r="O160" s="633" t="s"/>
      <c r="P160" s="633" t="s"/>
      <c r="Q160" s="633" t="s"/>
      <c r="R160" s="633" t="s"/>
      <c r="S160" s="633" t="s"/>
      <c r="T160" s="638" t="s"/>
      <c r="U160" s="638" t="s"/>
      <c r="V160" s="638" t="s"/>
      <c r="W160" s="638" t="s"/>
      <c r="X160" s="638" t="s"/>
      <c r="Y160" s="638" t="s"/>
      <c r="Z160" s="638" t="s"/>
    </row>
    <row r="161" spans="1:26" ht="13.5">
      <c r="A161" s="641" t="s"/>
      <c r="B161" s="633" t="s"/>
      <c r="C161" s="633" t="s"/>
      <c r="D161" s="638" t="s"/>
      <c r="E161" s="633" t="s"/>
      <c r="F161" s="633" t="s"/>
      <c r="G161" s="641" t="s"/>
      <c r="H161" s="641" t="s"/>
      <c r="I161" s="633" t="s"/>
      <c r="J161" s="633" t="s"/>
      <c r="K161" s="633" t="s"/>
      <c r="L161" s="633" t="s"/>
      <c r="M161" s="633" t="s"/>
      <c r="N161" s="633" t="s"/>
      <c r="O161" s="633" t="s"/>
      <c r="P161" s="633" t="s"/>
      <c r="Q161" s="633" t="s"/>
      <c r="R161" s="633" t="s"/>
      <c r="S161" s="633" t="s"/>
      <c r="T161" s="638" t="s"/>
      <c r="U161" s="638" t="s"/>
      <c r="V161" s="638" t="s"/>
      <c r="W161" s="638" t="s"/>
      <c r="X161" s="638" t="s"/>
      <c r="Y161" s="638" t="s"/>
      <c r="Z161" s="638" t="s"/>
    </row>
    <row r="162" spans="1:26" ht="13.5">
      <c r="A162" s="641" t="s"/>
      <c r="B162" s="633" t="s"/>
      <c r="C162" s="633" t="s"/>
      <c r="D162" s="638" t="s"/>
      <c r="E162" s="633" t="s"/>
      <c r="F162" s="633" t="s"/>
      <c r="G162" s="641" t="s"/>
      <c r="H162" s="641" t="s"/>
      <c r="I162" s="633" t="s"/>
      <c r="J162" s="633" t="s"/>
      <c r="K162" s="633" t="s"/>
      <c r="L162" s="633" t="s"/>
      <c r="M162" s="633" t="s"/>
      <c r="N162" s="633" t="s"/>
      <c r="O162" s="633" t="s"/>
      <c r="P162" s="633" t="s"/>
      <c r="Q162" s="633" t="s"/>
      <c r="R162" s="633" t="s"/>
      <c r="S162" s="633" t="s"/>
      <c r="T162" s="638" t="s"/>
      <c r="U162" s="638" t="s"/>
      <c r="V162" s="638" t="s"/>
      <c r="W162" s="638" t="s"/>
      <c r="X162" s="638" t="s"/>
      <c r="Y162" s="638" t="s"/>
      <c r="Z162" s="638" t="s"/>
    </row>
    <row r="163" spans="1:26" ht="13.5">
      <c r="A163" s="641" t="s"/>
      <c r="B163" s="633" t="s"/>
      <c r="C163" s="633" t="s"/>
      <c r="D163" s="638" t="s"/>
      <c r="E163" s="633" t="s"/>
      <c r="F163" s="633" t="s"/>
      <c r="G163" s="641" t="s"/>
      <c r="H163" s="641" t="s"/>
      <c r="I163" s="633" t="s"/>
      <c r="J163" s="633" t="s"/>
      <c r="K163" s="633" t="s"/>
      <c r="L163" s="633" t="s"/>
      <c r="M163" s="633" t="s"/>
      <c r="N163" s="633" t="s"/>
      <c r="O163" s="633" t="s"/>
      <c r="P163" s="633" t="s"/>
      <c r="Q163" s="633" t="s"/>
      <c r="R163" s="633" t="s"/>
      <c r="S163" s="633" t="s"/>
      <c r="T163" s="638" t="s"/>
      <c r="U163" s="638" t="s"/>
      <c r="V163" s="638" t="s"/>
      <c r="W163" s="638" t="s"/>
      <c r="X163" s="638" t="s"/>
      <c r="Y163" s="638" t="s"/>
      <c r="Z163" s="638" t="s"/>
    </row>
    <row r="164" spans="1:26" ht="13.5">
      <c r="A164" s="641" t="s"/>
      <c r="B164" s="633" t="s"/>
      <c r="C164" s="633" t="s"/>
      <c r="D164" s="638" t="s"/>
      <c r="E164" s="633" t="s"/>
      <c r="F164" s="633" t="s"/>
      <c r="G164" s="641" t="s"/>
      <c r="H164" s="641" t="s"/>
      <c r="I164" s="633" t="s"/>
      <c r="J164" s="633" t="s"/>
      <c r="K164" s="633" t="s"/>
      <c r="L164" s="633" t="s"/>
      <c r="M164" s="633" t="s"/>
      <c r="N164" s="633" t="s"/>
      <c r="O164" s="633" t="s"/>
      <c r="P164" s="633" t="s"/>
      <c r="Q164" s="633" t="s"/>
      <c r="R164" s="633" t="s"/>
      <c r="S164" s="633" t="s"/>
      <c r="T164" s="638" t="s"/>
      <c r="U164" s="638" t="s"/>
      <c r="V164" s="638" t="s"/>
      <c r="W164" s="638" t="s"/>
      <c r="X164" s="638" t="s"/>
      <c r="Y164" s="638" t="s"/>
      <c r="Z164" s="638" t="s"/>
    </row>
    <row r="165" spans="1:26" ht="13.5">
      <c r="A165" s="641" t="s"/>
      <c r="B165" s="633" t="s"/>
      <c r="C165" s="633" t="s"/>
      <c r="D165" s="638" t="s"/>
      <c r="E165" s="633" t="s"/>
      <c r="F165" s="633" t="s"/>
      <c r="G165" s="641" t="s"/>
      <c r="H165" s="641" t="s"/>
      <c r="I165" s="633" t="s"/>
      <c r="J165" s="633" t="s"/>
      <c r="K165" s="633" t="s"/>
      <c r="L165" s="633" t="s"/>
      <c r="M165" s="633" t="s"/>
      <c r="N165" s="633" t="s"/>
      <c r="O165" s="633" t="s"/>
      <c r="P165" s="633" t="s"/>
      <c r="Q165" s="633" t="s"/>
      <c r="R165" s="633" t="s"/>
      <c r="S165" s="633" t="s"/>
      <c r="T165" s="638" t="s"/>
      <c r="U165" s="638" t="s"/>
      <c r="V165" s="638" t="s"/>
      <c r="W165" s="638" t="s"/>
      <c r="X165" s="638" t="s"/>
      <c r="Y165" s="638" t="s"/>
      <c r="Z165" s="638" t="s"/>
    </row>
    <row r="166" spans="1:26" ht="13.5">
      <c r="A166" s="641" t="s"/>
      <c r="B166" s="633" t="s"/>
      <c r="C166" s="633" t="s"/>
      <c r="D166" s="638" t="s"/>
      <c r="E166" s="633" t="s"/>
      <c r="F166" s="633" t="s"/>
      <c r="G166" s="641" t="s"/>
      <c r="H166" s="641" t="s"/>
      <c r="I166" s="633" t="s"/>
      <c r="J166" s="633" t="s"/>
      <c r="K166" s="633" t="s"/>
      <c r="L166" s="633" t="s"/>
      <c r="M166" s="633" t="s"/>
      <c r="N166" s="633" t="s"/>
      <c r="O166" s="633" t="s"/>
      <c r="P166" s="633" t="s"/>
      <c r="Q166" s="633" t="s"/>
      <c r="R166" s="633" t="s"/>
      <c r="S166" s="633" t="s"/>
      <c r="T166" s="638" t="s"/>
      <c r="U166" s="638" t="s"/>
      <c r="V166" s="638" t="s"/>
      <c r="W166" s="638" t="s"/>
      <c r="X166" s="638" t="s"/>
      <c r="Y166" s="638" t="s"/>
      <c r="Z166" s="638" t="s"/>
    </row>
    <row r="167" spans="1:26" ht="13.5">
      <c r="A167" s="641" t="s"/>
      <c r="B167" s="633" t="s"/>
      <c r="C167" s="633" t="s"/>
      <c r="D167" s="638" t="s"/>
      <c r="E167" s="633" t="s"/>
      <c r="F167" s="633" t="s"/>
      <c r="G167" s="641" t="s"/>
      <c r="H167" s="641" t="s"/>
      <c r="I167" s="633" t="s"/>
      <c r="J167" s="633" t="s"/>
      <c r="K167" s="633" t="s"/>
      <c r="L167" s="633" t="s"/>
      <c r="M167" s="633" t="s"/>
      <c r="N167" s="633" t="s"/>
      <c r="O167" s="633" t="s"/>
      <c r="P167" s="633" t="s"/>
      <c r="Q167" s="633" t="s"/>
      <c r="R167" s="633" t="s"/>
      <c r="S167" s="633" t="s"/>
      <c r="T167" s="638" t="s"/>
      <c r="U167" s="638" t="s"/>
      <c r="V167" s="638" t="s"/>
      <c r="W167" s="638" t="s"/>
      <c r="X167" s="638" t="s"/>
      <c r="Y167" s="638" t="s"/>
      <c r="Z167" s="638" t="s"/>
    </row>
    <row r="168" spans="1:26" ht="13.5">
      <c r="A168" s="641" t="s"/>
      <c r="B168" s="633" t="s"/>
      <c r="C168" s="633" t="s"/>
      <c r="D168" s="638" t="s"/>
      <c r="E168" s="633" t="s"/>
      <c r="F168" s="633" t="s"/>
      <c r="G168" s="641" t="s"/>
      <c r="H168" s="641" t="s"/>
      <c r="I168" s="633" t="s"/>
      <c r="J168" s="633" t="s"/>
      <c r="K168" s="633" t="s"/>
      <c r="L168" s="633" t="s"/>
      <c r="M168" s="633" t="s"/>
      <c r="N168" s="633" t="s"/>
      <c r="O168" s="633" t="s"/>
      <c r="P168" s="633" t="s"/>
      <c r="Q168" s="633" t="s"/>
      <c r="R168" s="633" t="s"/>
      <c r="S168" s="633" t="s"/>
      <c r="T168" s="638" t="s"/>
      <c r="U168" s="638" t="s"/>
      <c r="V168" s="638" t="s"/>
      <c r="W168" s="638" t="s"/>
      <c r="X168" s="638" t="s"/>
      <c r="Y168" s="638" t="s"/>
      <c r="Z168" s="638" t="s"/>
    </row>
    <row r="169" spans="1:26" ht="13.5">
      <c r="A169" s="641" t="s"/>
      <c r="B169" s="633" t="s"/>
      <c r="C169" s="633" t="s"/>
      <c r="D169" s="638" t="s"/>
      <c r="E169" s="633" t="s"/>
      <c r="F169" s="633" t="s"/>
      <c r="G169" s="641" t="s"/>
      <c r="H169" s="641" t="s"/>
      <c r="I169" s="633" t="s"/>
      <c r="J169" s="633" t="s"/>
      <c r="K169" s="633" t="s"/>
      <c r="L169" s="633" t="s"/>
      <c r="M169" s="633" t="s"/>
      <c r="N169" s="633" t="s"/>
      <c r="O169" s="633" t="s"/>
      <c r="P169" s="633" t="s"/>
      <c r="Q169" s="633" t="s"/>
      <c r="R169" s="633" t="s"/>
      <c r="S169" s="633" t="s"/>
      <c r="T169" s="638" t="s"/>
      <c r="U169" s="638" t="s"/>
      <c r="V169" s="638" t="s"/>
      <c r="W169" s="638" t="s"/>
      <c r="X169" s="638" t="s"/>
      <c r="Y169" s="638" t="s"/>
      <c r="Z169" s="638" t="s"/>
    </row>
    <row r="170" spans="1:26" ht="13.5">
      <c r="A170" s="641" t="s"/>
      <c r="B170" s="633" t="s"/>
      <c r="C170" s="633" t="s"/>
      <c r="D170" s="638" t="s"/>
      <c r="E170" s="633" t="s"/>
      <c r="F170" s="633" t="s"/>
      <c r="G170" s="641" t="s"/>
      <c r="H170" s="641" t="s"/>
      <c r="I170" s="633" t="s"/>
      <c r="J170" s="633" t="s"/>
      <c r="K170" s="633" t="s"/>
      <c r="L170" s="633" t="s"/>
      <c r="M170" s="633" t="s"/>
      <c r="N170" s="633" t="s"/>
      <c r="O170" s="633" t="s"/>
      <c r="P170" s="633" t="s"/>
      <c r="Q170" s="633" t="s"/>
      <c r="R170" s="633" t="s"/>
      <c r="S170" s="633" t="s"/>
      <c r="T170" s="638" t="s"/>
      <c r="U170" s="638" t="s"/>
      <c r="V170" s="638" t="s"/>
      <c r="W170" s="638" t="s"/>
      <c r="X170" s="638" t="s"/>
      <c r="Y170" s="638" t="s"/>
      <c r="Z170" s="638" t="s"/>
    </row>
    <row r="171" spans="1:26" ht="13.5">
      <c r="A171" s="641" t="s"/>
      <c r="B171" s="633" t="s"/>
      <c r="C171" s="633" t="s"/>
      <c r="D171" s="638" t="s"/>
      <c r="E171" s="633" t="s"/>
      <c r="F171" s="633" t="s"/>
      <c r="G171" s="641" t="s"/>
      <c r="H171" s="641" t="s"/>
      <c r="I171" s="633" t="s"/>
      <c r="J171" s="633" t="s"/>
      <c r="K171" s="633" t="s"/>
      <c r="L171" s="633" t="s"/>
      <c r="M171" s="633" t="s"/>
      <c r="N171" s="633" t="s"/>
      <c r="O171" s="633" t="s"/>
      <c r="P171" s="633" t="s"/>
      <c r="Q171" s="633" t="s"/>
      <c r="R171" s="633" t="s"/>
      <c r="S171" s="633" t="s"/>
      <c r="T171" s="638" t="s"/>
      <c r="U171" s="638" t="s"/>
      <c r="V171" s="638" t="s"/>
      <c r="W171" s="638" t="s"/>
      <c r="X171" s="638" t="s"/>
      <c r="Y171" s="638" t="s"/>
      <c r="Z171" s="638" t="s"/>
    </row>
    <row r="172" spans="1:26" ht="13.5">
      <c r="A172" s="641" t="s"/>
      <c r="B172" s="633" t="s"/>
      <c r="C172" s="633" t="s"/>
      <c r="D172" s="638" t="s"/>
      <c r="E172" s="633" t="s"/>
      <c r="F172" s="633" t="s"/>
      <c r="G172" s="641" t="s"/>
      <c r="H172" s="641" t="s"/>
      <c r="I172" s="633" t="s"/>
      <c r="J172" s="633" t="s"/>
      <c r="K172" s="633" t="s"/>
      <c r="L172" s="633" t="s"/>
      <c r="M172" s="633" t="s"/>
      <c r="N172" s="633" t="s"/>
      <c r="O172" s="633" t="s"/>
      <c r="P172" s="633" t="s"/>
      <c r="Q172" s="633" t="s"/>
      <c r="R172" s="633" t="s"/>
      <c r="S172" s="633" t="s"/>
      <c r="T172" s="638" t="s"/>
      <c r="U172" s="638" t="s"/>
      <c r="V172" s="638" t="s"/>
      <c r="W172" s="638" t="s"/>
      <c r="X172" s="638" t="s"/>
      <c r="Y172" s="638" t="s"/>
      <c r="Z172" s="638" t="s"/>
    </row>
    <row r="173" spans="1:26" ht="13.5">
      <c r="A173" s="641" t="s"/>
      <c r="B173" s="633" t="s"/>
      <c r="C173" s="633" t="s"/>
      <c r="D173" s="638" t="s"/>
      <c r="E173" s="633" t="s"/>
      <c r="F173" s="633" t="s"/>
      <c r="G173" s="641" t="s"/>
      <c r="H173" s="641" t="s"/>
      <c r="I173" s="633" t="s"/>
      <c r="J173" s="633" t="s"/>
      <c r="K173" s="633" t="s"/>
      <c r="L173" s="633" t="s"/>
      <c r="M173" s="633" t="s"/>
      <c r="N173" s="633" t="s"/>
      <c r="O173" s="633" t="s"/>
      <c r="P173" s="633" t="s"/>
      <c r="Q173" s="633" t="s"/>
      <c r="R173" s="633" t="s"/>
      <c r="S173" s="633" t="s"/>
      <c r="T173" s="638" t="s"/>
      <c r="U173" s="638" t="s"/>
      <c r="V173" s="638" t="s"/>
      <c r="W173" s="638" t="s"/>
      <c r="X173" s="638" t="s"/>
      <c r="Y173" s="638" t="s"/>
      <c r="Z173" s="638" t="s"/>
    </row>
    <row r="174" spans="1:26" ht="13.5">
      <c r="A174" s="641" t="s"/>
      <c r="B174" s="633" t="s"/>
      <c r="C174" s="633" t="s"/>
      <c r="D174" s="638" t="s"/>
      <c r="E174" s="633" t="s"/>
      <c r="F174" s="633" t="s"/>
      <c r="G174" s="641" t="s"/>
      <c r="H174" s="641" t="s"/>
      <c r="I174" s="633" t="s"/>
      <c r="J174" s="633" t="s"/>
      <c r="K174" s="633" t="s"/>
      <c r="L174" s="633" t="s"/>
      <c r="M174" s="633" t="s"/>
      <c r="N174" s="633" t="s"/>
      <c r="O174" s="633" t="s"/>
      <c r="P174" s="633" t="s"/>
      <c r="Q174" s="633" t="s"/>
      <c r="R174" s="633" t="s"/>
      <c r="S174" s="633" t="s"/>
      <c r="T174" s="638" t="s"/>
      <c r="U174" s="638" t="s"/>
      <c r="V174" s="638" t="s"/>
      <c r="W174" s="638" t="s"/>
      <c r="X174" s="638" t="s"/>
      <c r="Y174" s="638" t="s"/>
      <c r="Z174" s="638" t="s"/>
    </row>
    <row r="175" spans="1:26" ht="13.5">
      <c r="A175" s="641" t="s"/>
      <c r="B175" s="633" t="s"/>
      <c r="C175" s="633" t="s"/>
      <c r="D175" s="638" t="s"/>
      <c r="E175" s="633" t="s"/>
      <c r="F175" s="633" t="s"/>
      <c r="G175" s="641" t="s"/>
      <c r="H175" s="641" t="s"/>
      <c r="I175" s="633" t="s"/>
      <c r="J175" s="633" t="s"/>
      <c r="K175" s="633" t="s"/>
      <c r="L175" s="633" t="s"/>
      <c r="M175" s="633" t="s"/>
      <c r="N175" s="633" t="s"/>
      <c r="O175" s="633" t="s"/>
      <c r="P175" s="633" t="s"/>
      <c r="Q175" s="633" t="s"/>
      <c r="R175" s="633" t="s"/>
      <c r="S175" s="633" t="s"/>
      <c r="T175" s="638" t="s"/>
      <c r="U175" s="638" t="s"/>
      <c r="V175" s="638" t="s"/>
      <c r="W175" s="638" t="s"/>
      <c r="X175" s="638" t="s"/>
      <c r="Y175" s="638" t="s"/>
      <c r="Z175" s="638" t="s"/>
    </row>
    <row r="176" spans="1:26" ht="13.5">
      <c r="A176" s="641" t="s"/>
      <c r="B176" s="633" t="s"/>
      <c r="C176" s="633" t="s"/>
      <c r="D176" s="638" t="s"/>
      <c r="E176" s="633" t="s"/>
      <c r="F176" s="633" t="s"/>
      <c r="G176" s="641" t="s"/>
      <c r="H176" s="641" t="s"/>
      <c r="I176" s="633" t="s"/>
      <c r="J176" s="633" t="s"/>
      <c r="K176" s="633" t="s"/>
      <c r="L176" s="633" t="s"/>
      <c r="M176" s="633" t="s"/>
      <c r="N176" s="633" t="s"/>
      <c r="O176" s="633" t="s"/>
      <c r="P176" s="633" t="s"/>
      <c r="Q176" s="633" t="s"/>
      <c r="R176" s="633" t="s"/>
      <c r="S176" s="633" t="s"/>
      <c r="T176" s="638" t="s"/>
      <c r="U176" s="638" t="s"/>
      <c r="V176" s="638" t="s"/>
      <c r="W176" s="638" t="s"/>
      <c r="X176" s="638" t="s"/>
      <c r="Y176" s="638" t="s"/>
      <c r="Z176" s="638" t="s"/>
    </row>
    <row r="177" spans="1:26" ht="13.5">
      <c r="A177" s="641" t="s"/>
      <c r="B177" s="633" t="s"/>
      <c r="C177" s="633" t="s"/>
      <c r="D177" s="638" t="s"/>
      <c r="E177" s="633" t="s"/>
      <c r="F177" s="633" t="s"/>
      <c r="G177" s="641" t="s"/>
      <c r="H177" s="641" t="s"/>
      <c r="I177" s="633" t="s"/>
      <c r="J177" s="633" t="s"/>
      <c r="K177" s="633" t="s"/>
      <c r="L177" s="633" t="s"/>
      <c r="M177" s="633" t="s"/>
      <c r="N177" s="633" t="s"/>
      <c r="O177" s="633" t="s"/>
      <c r="P177" s="633" t="s"/>
      <c r="Q177" s="633" t="s"/>
      <c r="R177" s="633" t="s"/>
      <c r="S177" s="633" t="s"/>
      <c r="T177" s="638" t="s"/>
      <c r="U177" s="638" t="s"/>
      <c r="V177" s="638" t="s"/>
      <c r="W177" s="638" t="s"/>
      <c r="X177" s="638" t="s"/>
      <c r="Y177" s="638" t="s"/>
      <c r="Z177" s="638" t="s"/>
    </row>
  </sheetData>
  <mergeCells count="1">
    <mergeCell ref="A2:A3"/>
  </mergeCells>
  <hyperlinks>
    <hyperlink ref="F2" r:id="rId0" display="变更至2月29  https://itsm.atrust.sangfor.com/#/ticket/detail?id=64544&amp;from=myCreatedTicket&amp;project_id=0  https://itsm.atrust.sangfor.com/itsm/#/ticket/detail?id=74220"/>
  </hyperlinks>
  <pageMargins left="0.75" right="0.75" top="1" bottom="1" header="0.5" footer="0.5"/>
  <headerFooter/>
</worksheet>
</file>

<file path=xl/worksheets/sheet7.xml><?xml version="1.0" encoding="utf-8"?>
<worksheet xmlns="http://schemas.openxmlformats.org/spreadsheetml/2006/main">
  <sheetPr codeName="责任田分析">
    <tabColor rgb="FFFFFFFF"/>
  </sheetPr>
  <dimension ref="H26"/>
  <sheetViews>
    <sheetView showGridLines="true" topLeftCell="A11" workbookViewId="0"/>
  </sheetViews>
  <sheetFormatPr defaultColWidth="10.2857" defaultRowHeight="12.75" outlineLevelCol="5"/>
  <cols>
    <col min="1" max="1" width="24.6857" style="678" customWidth="true"/>
    <col min="2" max="2" width="29.4" style="678" customWidth="true"/>
    <col min="3" max="3" width="16.5905" style="678" customWidth="true"/>
    <col min="4" max="4" width="29.6762" style="678" customWidth="true"/>
    <col min="5" max="5" width="93.3429" style="678" customWidth="true"/>
    <col min="6" max="6" width="77.019" style="678"/>
    <col min="7" max="8" width="77.019" customWidth="true"/>
  </cols>
  <sheetData>
    <row r="1" spans="1:6">
      <c r="A1" s="7" t="s">
        <v>489</v>
      </c>
      <c r="B1" s="7" t="s">
        <v>490</v>
      </c>
      <c r="C1" s="7" t="s">
        <v>9</v>
      </c>
      <c r="D1" s="7" t="s">
        <v>491</v>
      </c>
      <c r="E1" s="7" t="s">
        <v>492</v>
      </c>
      <c r="F1" s="7" t="s">
        <v>493</v>
      </c>
    </row>
    <row r="2" spans="1:6">
      <c r="A2" s="419" t="s">
        <v>494</v>
      </c>
      <c r="B2" s="419" t="s"/>
      <c r="C2" s="419" t="s"/>
      <c r="D2" s="7" t="s"/>
      <c r="E2" s="420" t="s"/>
      <c r="F2" s="420" t="s">
        <v>495</v>
      </c>
    </row>
    <row r="3" spans="1:6">
      <c r="A3" s="419" t="s">
        <v>496</v>
      </c>
      <c r="B3" s="421" t="s">
        <v>910</v>
      </c>
      <c r="C3" s="419" t="s">
        <v>497</v>
      </c>
      <c r="D3" s="7" t="s">
        <v>498</v>
      </c>
      <c r="E3" s="422" t="s"/>
      <c r="F3" s="422" t="s"/>
    </row>
    <row r="4" spans="1:6">
      <c r="A4" s="423" t="s"/>
      <c r="B4" s="424" t="s"/>
      <c r="C4" s="425" t="s"/>
      <c r="D4" s="7" t="s">
        <v>499</v>
      </c>
      <c r="E4" s="420" t="s"/>
      <c r="F4" s="422" t="s"/>
    </row>
    <row r="5" spans="1:6">
      <c r="A5" s="423" t="s"/>
      <c r="B5" s="425" t="s"/>
      <c r="C5" s="7" t="s">
        <v>500</v>
      </c>
      <c r="D5" s="7" t="s"/>
      <c r="E5" s="420" t="s"/>
      <c r="F5" s="422" t="s"/>
    </row>
    <row r="6" spans="1:6">
      <c r="A6" s="423" t="s"/>
      <c r="B6" s="425" t="s"/>
      <c r="C6" s="419" t="s">
        <v>270</v>
      </c>
      <c r="D6" s="419" t="s">
        <v>501</v>
      </c>
      <c r="E6" s="426" t="s"/>
      <c r="F6" s="427" t="s"/>
    </row>
    <row r="7" spans="1:6">
      <c r="A7" s="419" t="s">
        <v>502</v>
      </c>
      <c r="B7" s="421" t="s">
        <v>503</v>
      </c>
      <c r="C7" s="419" t="s">
        <v>497</v>
      </c>
      <c r="D7" s="7" t="s">
        <v>498</v>
      </c>
      <c r="E7" s="422" t="s"/>
      <c r="F7" s="422" t="s"/>
    </row>
    <row r="8" spans="1:6">
      <c r="A8" s="425" t="s"/>
      <c r="B8" s="425" t="s"/>
      <c r="C8" s="428" t="s"/>
      <c r="D8" s="429" t="s">
        <v>504</v>
      </c>
      <c r="E8" s="430" t="s"/>
      <c r="F8" s="121" t="s"/>
    </row>
    <row r="9" spans="1:6">
      <c r="A9" s="423" t="s"/>
      <c r="B9" s="424" t="s"/>
      <c r="C9" s="431" t="s">
        <v>500</v>
      </c>
      <c r="D9" s="429" t="s">
        <v>505</v>
      </c>
      <c r="E9" s="430" t="s"/>
      <c r="F9" s="429" t="s"/>
    </row>
    <row r="10" spans="1:6">
      <c r="A10" s="423" t="s"/>
      <c r="B10" s="424" t="s"/>
      <c r="C10" s="432" t="s"/>
      <c r="D10" s="433" t="s">
        <v>506</v>
      </c>
      <c r="E10" s="430" t="s"/>
      <c r="F10" s="429" t="s"/>
    </row>
    <row r="11" spans="1:6">
      <c r="A11" s="425" t="s"/>
      <c r="B11" s="425" t="s"/>
      <c r="C11" s="428" t="s"/>
      <c r="D11" s="4" t="s">
        <v>507</v>
      </c>
      <c r="E11" s="434" t="s"/>
      <c r="F11" s="7" t="s"/>
    </row>
    <row r="12" spans="1:6">
      <c r="A12" s="365" t="s"/>
      <c r="B12" s="365" t="s"/>
      <c r="C12" s="435" t="s">
        <v>270</v>
      </c>
      <c r="D12" s="7" t="s">
        <v>508</v>
      </c>
      <c r="E12" s="420" t="s"/>
      <c r="F12" s="7" t="s"/>
    </row>
    <row r="13" spans="1:6">
      <c r="A13" s="419" t="s">
        <v>509</v>
      </c>
      <c r="B13" s="424" t="s">
        <v>510</v>
      </c>
      <c r="C13" s="423" t="s">
        <v>497</v>
      </c>
      <c r="D13" s="429" t="s">
        <v>511</v>
      </c>
      <c r="E13" s="436" t="s"/>
      <c r="F13" s="422" t="s"/>
    </row>
    <row r="14" spans="1:6">
      <c r="A14" s="423" t="s"/>
      <c r="B14" s="424" t="s"/>
      <c r="C14" s="425" t="s"/>
      <c r="D14" s="7" t="s">
        <v>498</v>
      </c>
      <c r="E14" s="422" t="s"/>
      <c r="F14" s="422" t="s"/>
    </row>
    <row r="15" spans="1:6">
      <c r="A15" s="423" t="s"/>
      <c r="B15" s="424" t="s"/>
      <c r="C15" s="365" t="s"/>
      <c r="D15" s="7" t="s"/>
      <c r="E15" s="422" t="s"/>
      <c r="F15" s="422" t="s"/>
    </row>
    <row r="16" spans="1:6">
      <c r="A16" s="423" t="s"/>
      <c r="B16" s="424" t="s"/>
      <c r="C16" s="419" t="s">
        <v>500</v>
      </c>
      <c r="D16" s="7" t="s">
        <v>505</v>
      </c>
      <c r="E16" s="422" t="s"/>
      <c r="F16" s="422" t="s"/>
    </row>
    <row r="17" spans="1:6">
      <c r="A17" s="423" t="s"/>
      <c r="B17" s="424" t="s"/>
      <c r="C17" s="423" t="s"/>
      <c r="D17" s="7" t="s">
        <v>512</v>
      </c>
      <c r="E17" s="422" t="s"/>
      <c r="F17" s="422" t="s"/>
    </row>
    <row r="18" spans="1:6">
      <c r="A18" s="423" t="s"/>
      <c r="B18" s="424" t="s"/>
      <c r="C18" s="365" t="s"/>
      <c r="D18" s="7" t="s">
        <v>513</v>
      </c>
      <c r="E18" s="422" t="s"/>
      <c r="F18" s="422" t="s"/>
    </row>
    <row r="19" spans="1:6">
      <c r="A19" s="423" t="s"/>
      <c r="B19" s="424" t="s"/>
      <c r="C19" s="7" t="s">
        <v>270</v>
      </c>
      <c r="D19" s="7" t="s">
        <v>501</v>
      </c>
      <c r="E19" s="422" t="s"/>
      <c r="F19" s="422" t="s"/>
    </row>
    <row r="20" spans="1:6" customFormat="true">
      <c r="A20" s="7" t="s">
        <v>514</v>
      </c>
      <c r="B20" s="4" t="s">
        <v>515</v>
      </c>
      <c r="C20" s="437" t="s">
        <v>497</v>
      </c>
      <c r="D20" s="429" t="s">
        <v>511</v>
      </c>
      <c r="E20" s="436" t="s"/>
      <c r="F20" s="422" t="s"/>
    </row>
    <row r="21" spans="1:6" customFormat="true">
      <c r="A21" s="7" t="s"/>
      <c r="B21" s="4" t="s"/>
      <c r="C21" s="438" t="s"/>
      <c r="D21" s="7" t="s">
        <v>498</v>
      </c>
      <c r="E21" s="422" t="s"/>
      <c r="F21" s="422" t="s"/>
    </row>
    <row r="22" spans="1:6" customFormat="true">
      <c r="A22" s="7" t="s"/>
      <c r="B22" s="4" t="s"/>
      <c r="C22" s="439" t="s"/>
      <c r="D22" s="7" t="s"/>
      <c r="E22" s="422" t="s"/>
      <c r="F22" s="422" t="s"/>
    </row>
    <row r="23" spans="1:6" customFormat="true">
      <c r="A23" s="7" t="s"/>
      <c r="B23" s="4" t="s"/>
      <c r="C23" s="440" t="s">
        <v>500</v>
      </c>
      <c r="D23" s="7" t="s">
        <v>505</v>
      </c>
      <c r="E23" s="422" t="s"/>
      <c r="F23" s="422" t="s"/>
    </row>
    <row r="24" spans="1:6" customFormat="true">
      <c r="A24" s="7" t="s"/>
      <c r="B24" s="4" t="s"/>
      <c r="C24" s="437" t="s"/>
      <c r="D24" s="7" t="s">
        <v>512</v>
      </c>
      <c r="E24" s="422" t="s"/>
      <c r="F24" s="422" t="s"/>
    </row>
    <row r="25" spans="1:6" customFormat="true">
      <c r="A25" s="7" t="s"/>
      <c r="B25" s="4" t="s"/>
      <c r="C25" s="439" t="s"/>
      <c r="D25" s="7" t="s">
        <v>513</v>
      </c>
      <c r="E25" s="422" t="s"/>
      <c r="F25" s="422" t="s"/>
    </row>
    <row r="26" spans="1:6" customFormat="true">
      <c r="A26" s="7" t="s"/>
      <c r="B26" s="4" t="s"/>
      <c r="C26" s="441" t="s">
        <v>270</v>
      </c>
      <c r="D26" s="7" t="s">
        <v>501</v>
      </c>
      <c r="E26" s="422" t="s"/>
      <c r="F26" s="422" t="s"/>
    </row>
  </sheetData>
  <mergeCells count="15">
    <mergeCell ref="A3:A6"/>
    <mergeCell ref="A7:A12"/>
    <mergeCell ref="A13:A19"/>
    <mergeCell ref="A20:A26"/>
    <mergeCell ref="B3:B6"/>
    <mergeCell ref="B7:B12"/>
    <mergeCell ref="B13:B19"/>
    <mergeCell ref="B20:B26"/>
    <mergeCell ref="C3:C4"/>
    <mergeCell ref="C7:C8"/>
    <mergeCell ref="C9:C11"/>
    <mergeCell ref="C13:C15"/>
    <mergeCell ref="C16:C18"/>
    <mergeCell ref="C20:C22"/>
    <mergeCell ref="C23:C25"/>
  </mergeCells>
  <pageMargins left="0.75" right="0.75" top="1" bottom="1" header="0.5" footer="0.5"/>
  <headerFooter/>
</worksheet>
</file>

<file path=xl/worksheets/sheet8.xml><?xml version="1.0" encoding="utf-8"?>
<worksheet xmlns="http://schemas.openxmlformats.org/spreadsheetml/2006/main">
  <sheetPr codeName="业务投资地图(2024H2)">
    <tabColor rgb="FFFFFFFF"/>
  </sheetPr>
  <dimension ref="S65"/>
  <sheetViews>
    <sheetView showGridLines="true" workbookViewId="0">
      <pane ySplit="2" topLeftCell="A3" activePane="bottomLeft" state="frozen"/>
    </sheetView>
  </sheetViews>
  <sheetFormatPr defaultColWidth="10.2857" defaultRowHeight="12.75"/>
  <cols>
    <col min="1" max="1" width="14.1619" style="678" customWidth="true"/>
    <col min="2" max="2" width="11.3333" style="678" hidden="true" customWidth="true"/>
    <col min="3" max="3" width="8.4" style="678" hidden="true" customWidth="true"/>
    <col min="4" max="4" width="18.6095" style="678" customWidth="true"/>
    <col min="5" max="5" width="13.7524" style="678" customWidth="true"/>
    <col min="6" max="6" width="30.3524" style="678" customWidth="true"/>
    <col min="7" max="7" width="7.68571" style="678" customWidth="true"/>
    <col min="8" max="8" width="7.00952" style="678" customWidth="true"/>
    <col min="9" max="9" width="8.21905" style="678" customWidth="true"/>
  </cols>
  <sheetData>
    <row r="1" spans="1:19">
      <c r="A1" s="442" t="s">
        <v>516</v>
      </c>
      <c r="B1" s="443" t="s"/>
      <c r="C1" s="331" t="s"/>
      <c r="D1" s="331" t="s"/>
      <c r="E1" s="331" t="s"/>
      <c r="F1" s="331" t="s"/>
      <c r="G1" s="331" t="s"/>
      <c r="H1" s="331" t="s"/>
      <c r="I1" s="331" t="s"/>
      <c r="J1" s="445" t="s">
        <v>517</v>
      </c>
      <c r="K1" s="6" t="s"/>
      <c r="L1" s="6" t="s"/>
      <c r="M1" s="6" t="s"/>
      <c r="N1" s="6" t="s"/>
      <c r="O1" s="386" t="s"/>
      <c r="P1" s="7" t="s">
        <v>518</v>
      </c>
      <c r="Q1" s="6" t="s"/>
      <c r="R1" s="6" t="s"/>
      <c r="S1" s="6" t="s"/>
    </row>
    <row r="2" spans="1:19" ht="25.5">
      <c r="A2" s="447" t="s">
        <v>605</v>
      </c>
      <c r="B2" s="446" t="s">
        <v>520</v>
      </c>
      <c r="C2" s="447" t="s">
        <v>521</v>
      </c>
      <c r="D2" s="447" t="s">
        <v>522</v>
      </c>
      <c r="E2" s="447" t="s">
        <v>606</v>
      </c>
      <c r="F2" s="447" t="s">
        <v>525</v>
      </c>
      <c r="G2" s="448" t="s">
        <v>78</v>
      </c>
      <c r="H2" s="448" t="s">
        <v>137</v>
      </c>
      <c r="I2" s="442" t="s">
        <v>101</v>
      </c>
      <c r="J2" s="445" t="s">
        <v>78</v>
      </c>
      <c r="K2" s="450" t="s">
        <v>528</v>
      </c>
      <c r="L2" s="450" t="s">
        <v>529</v>
      </c>
      <c r="M2" s="445" t="s">
        <v>101</v>
      </c>
      <c r="N2" s="450" t="s">
        <v>528</v>
      </c>
      <c r="O2" s="450" t="s">
        <v>529</v>
      </c>
      <c r="P2" s="451" t="s">
        <v>607</v>
      </c>
      <c r="Q2" s="452" t="s"/>
      <c r="R2" s="452" t="s"/>
      <c r="S2" s="453" t="s"/>
    </row>
    <row r="3" spans="1:27" ht="19.5" customHeight="true">
      <c r="A3" s="448" t="s">
        <v>405</v>
      </c>
      <c r="B3" s="448" t="s"/>
      <c r="C3" s="448" t="s"/>
      <c r="D3" s="448" t="s">
        <v>608</v>
      </c>
      <c r="E3" s="448">
        <f>=SUM(G3:G15)</f>
        <v>9</v>
      </c>
      <c r="F3" s="448" t="s">
        <v>609</v>
      </c>
      <c r="G3" s="455">
        <v>1</v>
      </c>
      <c r="H3" s="448">
        <v>0</v>
      </c>
      <c r="I3" s="448">
        <v>5</v>
      </c>
      <c r="J3" s="529" t="s">
        <v>329</v>
      </c>
      <c r="K3" s="458">
        <v>1</v>
      </c>
      <c r="L3" s="450">
        <v>1</v>
      </c>
      <c r="M3" s="459" t="s"/>
      <c r="N3" s="450" t="s"/>
      <c r="O3" s="460" t="s"/>
      <c r="P3" s="420" t="s">
        <v>610</v>
      </c>
      <c r="Q3" s="6" t="s"/>
      <c r="R3" s="6" t="s"/>
      <c r="S3" s="6" t="s"/>
      <c r="T3" s="8" t="s"/>
      <c r="U3" s="8" t="s"/>
      <c r="V3" s="8" t="s"/>
      <c r="W3" s="8" t="s"/>
      <c r="X3" s="8" t="s"/>
      <c r="Y3" s="8" t="s"/>
      <c r="Z3" s="8" t="s"/>
      <c r="AA3" s="8" t="s"/>
    </row>
    <row r="4" spans="1:27">
      <c r="A4" s="448" t="s"/>
      <c r="B4" s="448" t="s"/>
      <c r="C4" s="448" t="s"/>
      <c r="D4" s="448" t="s"/>
      <c r="E4" s="371" t="s"/>
      <c r="F4" s="448" t="s">
        <v>611</v>
      </c>
      <c r="G4" s="455">
        <v>1</v>
      </c>
      <c r="H4" s="448">
        <v>0</v>
      </c>
      <c r="I4" s="448" t="s"/>
      <c r="J4" s="529" t="s">
        <v>358</v>
      </c>
      <c r="K4" s="458">
        <v>1</v>
      </c>
      <c r="L4" s="450">
        <v>1</v>
      </c>
      <c r="M4" s="529" t="s">
        <v>382</v>
      </c>
      <c r="N4" s="530">
        <v>1</v>
      </c>
      <c r="O4" s="460">
        <v>1</v>
      </c>
      <c r="P4" s="6" t="s"/>
      <c r="Q4" s="6" t="s"/>
      <c r="R4" s="6" t="s"/>
      <c r="S4" s="6" t="s"/>
      <c r="T4" s="8">
        <v>1</v>
      </c>
      <c r="U4" s="8" t="s"/>
      <c r="V4" s="8" t="s"/>
      <c r="W4" s="8" t="s"/>
      <c r="X4" s="8" t="s"/>
      <c r="Y4" s="8" t="s"/>
      <c r="Z4" s="8" t="s"/>
      <c r="AA4" s="8" t="s"/>
    </row>
    <row r="5" spans="1:27" ht="18" customHeight="true">
      <c r="A5" s="448" t="s"/>
      <c r="B5" s="448" t="s"/>
      <c r="C5" s="448" t="s"/>
      <c r="D5" s="448" t="s"/>
      <c r="E5" s="371" t="s"/>
      <c r="F5" s="448" t="s">
        <v>612</v>
      </c>
      <c r="G5" s="455">
        <v>1</v>
      </c>
      <c r="H5" s="448">
        <v>0</v>
      </c>
      <c r="I5" s="448" t="s"/>
      <c r="J5" s="529" t="s">
        <v>353</v>
      </c>
      <c r="K5" s="450">
        <v>1</v>
      </c>
      <c r="L5" s="450">
        <v>1</v>
      </c>
      <c r="M5" s="531" t="s">
        <v>350</v>
      </c>
      <c r="N5" s="532">
        <v>1</v>
      </c>
      <c r="O5" s="465">
        <v>1</v>
      </c>
      <c r="P5" s="6" t="s"/>
      <c r="Q5" s="6" t="s"/>
      <c r="R5" s="6" t="s"/>
      <c r="S5" s="6" t="s"/>
      <c r="T5" s="8">
        <v>1</v>
      </c>
      <c r="U5" s="8" t="s"/>
      <c r="V5" s="8" t="s"/>
      <c r="W5" s="8" t="s"/>
      <c r="X5" s="8" t="s"/>
      <c r="Y5" s="8" t="s"/>
      <c r="Z5" s="8" t="s"/>
      <c r="AA5" s="8" t="s"/>
    </row>
    <row r="6" spans="1:27">
      <c r="A6" s="448" t="s"/>
      <c r="B6" s="448" t="s"/>
      <c r="C6" s="448" t="s"/>
      <c r="D6" s="448" t="s"/>
      <c r="E6" s="448" t="s"/>
      <c r="F6" s="448" t="s"/>
      <c r="G6" s="455">
        <v>1</v>
      </c>
      <c r="H6" s="448">
        <v>0</v>
      </c>
      <c r="I6" s="442" t="s"/>
      <c r="J6" s="529" t="s">
        <v>320</v>
      </c>
      <c r="K6" s="466">
        <v>1</v>
      </c>
      <c r="L6" s="465">
        <v>1</v>
      </c>
      <c r="M6" s="529" t="s">
        <v>383</v>
      </c>
      <c r="N6" s="530">
        <v>1</v>
      </c>
      <c r="O6" s="450">
        <v>1</v>
      </c>
      <c r="P6" s="468" t="s"/>
      <c r="Q6" s="6" t="s"/>
      <c r="R6" s="6" t="s"/>
      <c r="S6" s="6" t="s"/>
      <c r="T6" s="8">
        <v>1</v>
      </c>
      <c r="U6" s="8" t="s"/>
      <c r="V6" s="8" t="s"/>
      <c r="W6" s="8" t="s"/>
      <c r="X6" s="8" t="s"/>
      <c r="Y6" s="8" t="s"/>
      <c r="Z6" s="8" t="s"/>
      <c r="AA6" s="8" t="s"/>
    </row>
    <row r="7" spans="1:27">
      <c r="A7" s="448" t="s"/>
      <c r="B7" s="448" t="s"/>
      <c r="C7" s="448" t="s"/>
      <c r="D7" s="448" t="s"/>
      <c r="E7" s="448" t="s"/>
      <c r="F7" s="448" t="s"/>
      <c r="G7" s="455">
        <v>1</v>
      </c>
      <c r="H7" s="448">
        <v>0</v>
      </c>
      <c r="I7" s="442" t="s"/>
      <c r="J7" s="529" t="s">
        <v>369</v>
      </c>
      <c r="K7" s="458">
        <v>1</v>
      </c>
      <c r="L7" s="460">
        <v>1</v>
      </c>
      <c r="M7" s="459" t="s">
        <v>324</v>
      </c>
      <c r="N7" s="470">
        <v>1</v>
      </c>
      <c r="O7" s="450">
        <v>1</v>
      </c>
      <c r="P7" s="468" t="s"/>
      <c r="Q7" s="6" t="s"/>
      <c r="R7" s="6" t="s"/>
      <c r="S7" s="6" t="s"/>
      <c r="T7" s="8">
        <v>1</v>
      </c>
      <c r="U7" s="8" t="s"/>
      <c r="V7" s="8" t="s"/>
      <c r="W7" s="8" t="s"/>
      <c r="X7" s="8" t="s"/>
      <c r="Y7" s="8" t="s"/>
      <c r="Z7" s="8" t="s"/>
      <c r="AA7" s="8" t="s"/>
    </row>
    <row r="8" spans="1:27">
      <c r="A8" s="448" t="s"/>
      <c r="B8" s="448" t="s"/>
      <c r="C8" s="448" t="s"/>
      <c r="D8" s="448" t="s"/>
      <c r="E8" s="448" t="s"/>
      <c r="F8" s="448" t="s"/>
      <c r="G8" s="455">
        <v>1</v>
      </c>
      <c r="H8" s="448">
        <v>0</v>
      </c>
      <c r="I8" s="442" t="s"/>
      <c r="J8" s="529" t="s">
        <v>309</v>
      </c>
      <c r="K8" s="450">
        <v>1</v>
      </c>
      <c r="L8" s="460">
        <v>1</v>
      </c>
      <c r="M8" s="529" t="s">
        <v>327</v>
      </c>
      <c r="N8" s="470">
        <v>1</v>
      </c>
      <c r="O8" s="450">
        <v>1</v>
      </c>
      <c r="P8" s="468" t="s"/>
      <c r="Q8" s="6" t="s"/>
      <c r="R8" s="6" t="s"/>
      <c r="S8" s="6" t="s"/>
      <c r="T8" s="8">
        <v>7028</v>
      </c>
      <c r="U8" s="8" t="s"/>
      <c r="V8" s="8" t="s"/>
      <c r="W8" s="8" t="s"/>
      <c r="X8" s="8" t="s"/>
      <c r="Y8" s="8" t="s"/>
      <c r="Z8" s="8" t="s"/>
      <c r="AA8" s="8" t="s"/>
    </row>
    <row r="9" spans="1:27">
      <c r="A9" s="448" t="s"/>
      <c r="B9" s="448" t="s"/>
      <c r="C9" s="448" t="s"/>
      <c r="D9" s="448" t="s"/>
      <c r="E9" s="448" t="s"/>
      <c r="F9" s="448" t="s"/>
      <c r="G9" s="455">
        <v>1</v>
      </c>
      <c r="H9" s="448">
        <v>0</v>
      </c>
      <c r="I9" s="442" t="s"/>
      <c r="J9" s="529" t="s">
        <v>373</v>
      </c>
      <c r="K9" s="450">
        <v>1</v>
      </c>
      <c r="L9" s="460">
        <v>1</v>
      </c>
      <c r="M9" s="529" t="s">
        <v>328</v>
      </c>
      <c r="N9" s="470">
        <v>1</v>
      </c>
      <c r="O9" s="450">
        <v>1</v>
      </c>
      <c r="P9" s="453" t="s"/>
      <c r="Q9" s="533" t="s"/>
      <c r="R9" s="533" t="s"/>
      <c r="S9" s="533" t="s"/>
      <c r="T9" s="8">
        <v>1</v>
      </c>
      <c r="U9" s="8" t="s"/>
      <c r="V9" s="8" t="s"/>
      <c r="W9" s="8" t="s"/>
      <c r="X9" s="8" t="s"/>
      <c r="Y9" s="8" t="s"/>
      <c r="Z9" s="8" t="s"/>
      <c r="AA9" s="8" t="s"/>
    </row>
    <row r="10" spans="1:27" ht="14.25">
      <c r="A10" s="448" t="s"/>
      <c r="B10" s="448" t="s"/>
      <c r="C10" s="448" t="s"/>
      <c r="D10" s="448" t="s"/>
      <c r="E10" s="448" t="s"/>
      <c r="F10" s="448" t="s"/>
      <c r="G10" s="455">
        <v>1</v>
      </c>
      <c r="H10" s="448">
        <v>0</v>
      </c>
      <c r="I10" s="442" t="s"/>
      <c r="J10" s="529" t="s">
        <v>613</v>
      </c>
      <c r="K10" s="450">
        <v>1</v>
      </c>
      <c r="L10" s="450">
        <v>1</v>
      </c>
      <c r="M10" s="534" t="s"/>
      <c r="N10" s="535" t="s"/>
      <c r="O10" s="536" t="s"/>
      <c r="P10" s="356" t="s"/>
      <c r="Q10" s="6" t="s"/>
      <c r="R10" s="6" t="s"/>
      <c r="S10" s="6" t="s"/>
      <c r="T10" s="8" t="s">
        <v>253</v>
      </c>
      <c r="U10" s="8" t="s"/>
      <c r="V10" s="8" t="s"/>
      <c r="W10" s="8" t="s"/>
      <c r="X10" s="8" t="s"/>
      <c r="Y10" s="8" t="s"/>
      <c r="Z10" s="8" t="s"/>
      <c r="AA10" s="8" t="s"/>
    </row>
    <row r="11" spans="1:27" ht="14.25">
      <c r="A11" s="448" t="s"/>
      <c r="B11" s="448" t="s"/>
      <c r="C11" s="448" t="s"/>
      <c r="D11" s="448" t="s"/>
      <c r="E11" s="448" t="s"/>
      <c r="F11" s="448" t="s"/>
      <c r="G11" s="455" t="s"/>
      <c r="H11" s="448">
        <v>0</v>
      </c>
      <c r="I11" s="442" t="s"/>
      <c r="J11" s="529" t="s">
        <v>361</v>
      </c>
      <c r="K11" s="458">
        <v>1</v>
      </c>
      <c r="L11" s="450" t="s"/>
      <c r="M11" s="531" t="s"/>
      <c r="N11" s="532" t="s"/>
      <c r="O11" s="465" t="s"/>
      <c r="P11" s="356" t="s"/>
      <c r="Q11" s="6" t="s"/>
      <c r="R11" s="6" t="s"/>
      <c r="S11" s="6" t="s"/>
      <c r="T11" s="8" t="s">
        <v>253</v>
      </c>
      <c r="U11" s="8" t="s"/>
      <c r="V11" s="8" t="s"/>
      <c r="W11" s="8" t="s"/>
      <c r="X11" s="8" t="s"/>
      <c r="Y11" s="8" t="s"/>
      <c r="Z11" s="8" t="s"/>
      <c r="AA11" s="8" t="s"/>
    </row>
    <row r="12" spans="1:27" ht="14.25">
      <c r="A12" s="448" t="s"/>
      <c r="B12" s="448" t="s"/>
      <c r="C12" s="448" t="s"/>
      <c r="D12" s="448" t="s"/>
      <c r="E12" s="371" t="s"/>
      <c r="F12" s="537" t="s">
        <v>301</v>
      </c>
      <c r="G12" s="455">
        <v>1</v>
      </c>
      <c r="H12" s="448">
        <v>0</v>
      </c>
      <c r="I12" s="442" t="s"/>
      <c r="J12" s="529" t="s">
        <v>295</v>
      </c>
      <c r="K12" s="458">
        <v>1</v>
      </c>
      <c r="L12" s="450">
        <v>1</v>
      </c>
      <c r="M12" s="531" t="s"/>
      <c r="N12" s="532" t="s"/>
      <c r="O12" s="465" t="s"/>
      <c r="P12" s="356" t="s"/>
      <c r="Q12" s="6" t="s"/>
      <c r="R12" s="6" t="s"/>
      <c r="S12" s="6" t="s"/>
      <c r="T12" s="8">
        <v>1</v>
      </c>
      <c r="U12" s="8" t="s"/>
      <c r="V12" s="8" t="s"/>
      <c r="W12" s="8" t="s"/>
      <c r="X12" s="8" t="s"/>
      <c r="Y12" s="8" t="s"/>
      <c r="Z12" s="8" t="s"/>
      <c r="AA12" s="8" t="s"/>
    </row>
    <row r="13" spans="1:27" ht="24">
      <c r="A13" s="448" t="s"/>
      <c r="B13" s="448" t="s"/>
      <c r="C13" s="448" t="s"/>
      <c r="D13" s="448" t="s"/>
      <c r="E13" s="371" t="s"/>
      <c r="F13" s="537" t="s">
        <v>614</v>
      </c>
      <c r="G13" s="455" t="s"/>
      <c r="H13" s="448">
        <v>0</v>
      </c>
      <c r="I13" s="442" t="s"/>
      <c r="J13" s="529" t="s">
        <v>615</v>
      </c>
      <c r="K13" s="450" t="s"/>
      <c r="L13" s="450" t="s"/>
      <c r="M13" s="445" t="s"/>
      <c r="N13" s="450" t="s"/>
      <c r="O13" s="460" t="s"/>
      <c r="P13" s="538" t="s">
        <v>369</v>
      </c>
      <c r="Q13" s="365" t="s"/>
      <c r="R13" s="365" t="s"/>
      <c r="S13" s="365" t="s"/>
      <c r="T13" s="8">
        <v>1</v>
      </c>
      <c r="U13" s="8" t="s"/>
      <c r="V13" s="8" t="s"/>
      <c r="W13" s="8" t="s"/>
      <c r="X13" s="8" t="s"/>
      <c r="Y13" s="8" t="s"/>
      <c r="Z13" s="8" t="s"/>
      <c r="AA13" s="8" t="s"/>
    </row>
    <row r="14" spans="1:27" ht="24">
      <c r="A14" s="448" t="s"/>
      <c r="B14" s="448" t="s"/>
      <c r="C14" s="448" t="s"/>
      <c r="D14" s="448" t="s"/>
      <c r="E14" s="448" t="s"/>
      <c r="F14" s="537" t="s">
        <v>616</v>
      </c>
      <c r="G14" s="455" t="s"/>
      <c r="H14" s="448">
        <v>0</v>
      </c>
      <c r="I14" s="442" t="s"/>
      <c r="J14" s="529" t="s">
        <v>617</v>
      </c>
      <c r="K14" s="458" t="s"/>
      <c r="L14" s="450" t="s"/>
      <c r="M14" s="459" t="s"/>
      <c r="N14" s="450" t="s"/>
      <c r="O14" s="460" t="s"/>
      <c r="P14" s="356" t="s">
        <v>618</v>
      </c>
      <c r="Q14" s="6" t="s"/>
      <c r="R14" s="6" t="s"/>
      <c r="S14" s="6" t="s"/>
      <c r="T14" s="8">
        <v>1</v>
      </c>
      <c r="U14" s="8" t="s"/>
      <c r="V14" s="8" t="s"/>
      <c r="W14" s="8" t="s"/>
      <c r="X14" s="8" t="s"/>
      <c r="Y14" s="8" t="s"/>
      <c r="Z14" s="8" t="s"/>
      <c r="AA14" s="8" t="s"/>
    </row>
    <row r="15" spans="1:27">
      <c r="A15" s="448" t="s"/>
      <c r="B15" s="448" t="s"/>
      <c r="C15" s="448" t="s"/>
      <c r="D15" s="448" t="s"/>
      <c r="E15" s="448" t="s"/>
      <c r="F15" s="537" t="s">
        <v>619</v>
      </c>
      <c r="G15" s="455" t="s"/>
      <c r="H15" s="448">
        <v>0</v>
      </c>
      <c r="I15" s="442" t="s"/>
      <c r="J15" s="529" t="s"/>
      <c r="K15" s="458" t="s"/>
      <c r="L15" s="450" t="s"/>
      <c r="M15" s="459" t="s"/>
      <c r="N15" s="450" t="s"/>
      <c r="O15" s="460" t="s"/>
      <c r="P15" s="539" t="s"/>
      <c r="Q15" s="42" t="s"/>
      <c r="R15" s="42" t="s"/>
      <c r="S15" s="428" t="s"/>
      <c r="T15" s="8" t="s"/>
      <c r="U15" s="8" t="s"/>
      <c r="V15" s="8" t="s"/>
      <c r="W15" s="8" t="s"/>
      <c r="X15" s="8" t="s"/>
      <c r="Y15" s="8" t="s"/>
      <c r="Z15" s="8" t="s"/>
      <c r="AA15" s="8" t="s"/>
    </row>
    <row r="16" spans="1:27" ht="26.25" hidden="true" customHeight="true">
      <c r="A16" s="471" t="s">
        <v>207</v>
      </c>
      <c r="B16" s="448" t="s"/>
      <c r="C16" s="448" t="s"/>
      <c r="D16" s="471" t="s">
        <v>620</v>
      </c>
      <c r="E16" s="448">
        <v>7</v>
      </c>
      <c r="F16" s="540" t="s">
        <v>621</v>
      </c>
      <c r="G16" s="474">
        <v>1</v>
      </c>
      <c r="H16" s="448">
        <v>0</v>
      </c>
      <c r="I16" s="447" t="s"/>
      <c r="J16" s="529" t="s">
        <v>622</v>
      </c>
      <c r="K16" s="489">
        <v>1</v>
      </c>
      <c r="L16" s="490">
        <v>1</v>
      </c>
      <c r="M16" s="541" t="s"/>
      <c r="N16" s="490" t="s"/>
      <c r="O16" s="542" t="s"/>
      <c r="P16" s="356" t="s">
        <v>224</v>
      </c>
      <c r="Q16" s="6" t="s"/>
      <c r="R16" s="6" t="s"/>
      <c r="S16" s="6" t="s"/>
      <c r="T16" s="8" t="s"/>
      <c r="U16" s="8" t="s"/>
      <c r="V16" s="8" t="s"/>
      <c r="W16" s="8" t="s"/>
      <c r="X16" s="8" t="s"/>
      <c r="Y16" s="8" t="s"/>
      <c r="Z16" s="8" t="s"/>
      <c r="AA16" s="8" t="s"/>
    </row>
    <row r="17" spans="1:27" ht="14.25">
      <c r="A17" s="6" t="s"/>
      <c r="B17" s="448" t="s"/>
      <c r="C17" s="448" t="s"/>
      <c r="D17" s="6" t="s"/>
      <c r="E17" s="6" t="s"/>
      <c r="F17" s="540" t="s">
        <v>623</v>
      </c>
      <c r="G17" s="474">
        <v>1</v>
      </c>
      <c r="H17" s="448">
        <v>0</v>
      </c>
      <c r="I17" s="425" t="s"/>
      <c r="J17" s="529" t="s">
        <v>624</v>
      </c>
      <c r="K17" s="458">
        <v>1</v>
      </c>
      <c r="L17" s="450">
        <v>1</v>
      </c>
      <c r="M17" s="529" t="s"/>
      <c r="N17" s="450" t="s"/>
      <c r="O17" s="460" t="s"/>
      <c r="P17" s="356" t="s">
        <v>224</v>
      </c>
      <c r="Q17" s="6" t="s"/>
      <c r="R17" s="6" t="s"/>
      <c r="S17" s="6" t="s"/>
      <c r="T17" s="8" t="s"/>
      <c r="U17" s="8" t="s"/>
      <c r="V17" s="8" t="s"/>
      <c r="W17" s="8" t="s"/>
      <c r="X17" s="8" t="s"/>
      <c r="Y17" s="8" t="s"/>
      <c r="Z17" s="8" t="s"/>
      <c r="AA17" s="8" t="s"/>
    </row>
    <row r="18" spans="1:27" ht="14.25">
      <c r="A18" s="6" t="s"/>
      <c r="B18" s="448" t="s"/>
      <c r="C18" s="448" t="s"/>
      <c r="D18" s="6" t="s"/>
      <c r="E18" s="6" t="s"/>
      <c r="F18" s="540" t="s">
        <v>616</v>
      </c>
      <c r="G18" s="474" t="s"/>
      <c r="H18" s="448" t="s"/>
      <c r="I18" s="425" t="s"/>
      <c r="J18" s="529" t="s"/>
      <c r="K18" s="458" t="s"/>
      <c r="L18" s="450" t="s"/>
      <c r="M18" s="529" t="s"/>
      <c r="N18" s="450" t="s"/>
      <c r="O18" s="460" t="s"/>
      <c r="P18" s="356" t="s">
        <v>405</v>
      </c>
      <c r="Q18" s="6" t="s"/>
      <c r="R18" s="6" t="s"/>
      <c r="S18" s="6" t="s"/>
      <c r="T18" s="8" t="s"/>
      <c r="U18" s="8" t="s"/>
      <c r="V18" s="8" t="s"/>
      <c r="W18" s="8" t="s"/>
      <c r="X18" s="8" t="s"/>
      <c r="Y18" s="8" t="s"/>
      <c r="Z18" s="8" t="s"/>
      <c r="AA18" s="8" t="s"/>
    </row>
    <row r="19" spans="1:27" ht="14.25">
      <c r="A19" s="6" t="s"/>
      <c r="B19" s="448" t="s"/>
      <c r="C19" s="448" t="s"/>
      <c r="D19" s="6" t="s"/>
      <c r="E19" s="6" t="s"/>
      <c r="F19" s="540" t="s">
        <v>625</v>
      </c>
      <c r="G19" s="474">
        <v>1</v>
      </c>
      <c r="H19" s="448">
        <v>0</v>
      </c>
      <c r="I19" s="425" t="s"/>
      <c r="J19" s="529" t="s">
        <v>312</v>
      </c>
      <c r="K19" s="458">
        <v>1</v>
      </c>
      <c r="L19" s="450">
        <v>1</v>
      </c>
      <c r="M19" s="529" t="s"/>
      <c r="N19" s="450" t="s"/>
      <c r="O19" s="460" t="s"/>
      <c r="P19" s="356" t="s">
        <v>626</v>
      </c>
      <c r="Q19" s="6" t="s"/>
      <c r="R19" s="6" t="s"/>
      <c r="S19" s="6" t="s"/>
      <c r="T19" s="8" t="s"/>
      <c r="U19" s="8" t="s"/>
      <c r="V19" s="8" t="s"/>
      <c r="W19" s="8" t="s"/>
      <c r="X19" s="8" t="s"/>
      <c r="Y19" s="8" t="s"/>
      <c r="Z19" s="8" t="s"/>
      <c r="AA19" s="8" t="s"/>
    </row>
    <row r="20" spans="1:27" ht="14.25">
      <c r="A20" s="6" t="s"/>
      <c r="B20" s="448" t="s"/>
      <c r="C20" s="448" t="s"/>
      <c r="D20" s="6" t="s"/>
      <c r="E20" s="6" t="s"/>
      <c r="F20" s="543" t="s">
        <v>627</v>
      </c>
      <c r="G20" s="474" t="s"/>
      <c r="H20" s="448" t="s"/>
      <c r="I20" s="425" t="s"/>
      <c r="J20" s="529" t="s"/>
      <c r="K20" s="450" t="s"/>
      <c r="L20" s="450" t="s"/>
      <c r="M20" s="529" t="s"/>
      <c r="N20" s="450" t="s"/>
      <c r="O20" s="460" t="s"/>
      <c r="P20" s="356" t="s">
        <v>628</v>
      </c>
      <c r="Q20" s="6" t="s"/>
      <c r="R20" s="6" t="s"/>
      <c r="S20" s="6" t="s"/>
      <c r="T20" s="8" t="s"/>
      <c r="U20" s="8" t="s"/>
      <c r="V20" s="8" t="s"/>
      <c r="W20" s="8" t="s"/>
      <c r="X20" s="8" t="s"/>
      <c r="Y20" s="8" t="s"/>
      <c r="Z20" s="8" t="s"/>
      <c r="AA20" s="8" t="s"/>
    </row>
    <row r="21" spans="1:27" ht="14.25">
      <c r="A21" s="6" t="s"/>
      <c r="B21" s="448" t="s"/>
      <c r="C21" s="448" t="s"/>
      <c r="D21" s="6" t="s"/>
      <c r="E21" s="6" t="s"/>
      <c r="F21" s="540" t="s">
        <v>392</v>
      </c>
      <c r="G21" s="474">
        <v>1</v>
      </c>
      <c r="H21" s="448">
        <v>0</v>
      </c>
      <c r="I21" s="425" t="s"/>
      <c r="J21" s="529" t="s">
        <v>338</v>
      </c>
      <c r="K21" s="450">
        <v>1</v>
      </c>
      <c r="L21" s="450">
        <v>1</v>
      </c>
      <c r="M21" s="529" t="s"/>
      <c r="N21" s="450" t="s"/>
      <c r="O21" s="460" t="s"/>
      <c r="P21" s="544" t="s">
        <v>629</v>
      </c>
      <c r="Q21" s="533" t="s"/>
      <c r="R21" s="533" t="s"/>
      <c r="S21" s="533" t="s"/>
      <c r="T21" s="8" t="s"/>
      <c r="U21" s="8" t="s"/>
      <c r="V21" s="8" t="s"/>
      <c r="W21" s="8" t="s"/>
      <c r="X21" s="8" t="s"/>
      <c r="Y21" s="8" t="s"/>
      <c r="Z21" s="8" t="s"/>
      <c r="AA21" s="8" t="s"/>
    </row>
    <row r="22" spans="1:27" ht="14.25">
      <c r="A22" s="6" t="s"/>
      <c r="B22" s="448" t="s"/>
      <c r="C22" s="448" t="s"/>
      <c r="D22" s="6" t="s"/>
      <c r="E22" s="6" t="s"/>
      <c r="F22" s="540" t="s">
        <v>630</v>
      </c>
      <c r="G22" s="474">
        <v>1</v>
      </c>
      <c r="H22" s="448">
        <v>0</v>
      </c>
      <c r="I22" s="425" t="s"/>
      <c r="J22" s="529" t="s">
        <v>631</v>
      </c>
      <c r="K22" s="450">
        <v>1</v>
      </c>
      <c r="L22" s="450">
        <v>1</v>
      </c>
      <c r="M22" s="529" t="s"/>
      <c r="N22" s="450" t="s"/>
      <c r="O22" s="460" t="s"/>
      <c r="P22" s="356" t="s"/>
      <c r="Q22" s="6" t="s"/>
      <c r="R22" s="6" t="s"/>
      <c r="S22" s="6" t="s"/>
      <c r="T22" s="8" t="s"/>
      <c r="U22" s="8" t="s"/>
      <c r="V22" s="8" t="s"/>
      <c r="W22" s="8" t="s"/>
      <c r="X22" s="8" t="s"/>
      <c r="Y22" s="8" t="s"/>
      <c r="Z22" s="8" t="s"/>
      <c r="AA22" s="8" t="s"/>
    </row>
    <row r="23" spans="1:27" ht="14.25">
      <c r="A23" s="6" t="s"/>
      <c r="B23" s="448" t="s"/>
      <c r="C23" s="448" t="s"/>
      <c r="D23" s="6" t="s"/>
      <c r="E23" s="6" t="s"/>
      <c r="F23" s="543" t="s">
        <v>632</v>
      </c>
      <c r="G23" s="474">
        <v>1</v>
      </c>
      <c r="H23" s="448">
        <v>0</v>
      </c>
      <c r="I23" s="425" t="s"/>
      <c r="J23" s="529" t="s">
        <v>393</v>
      </c>
      <c r="K23" s="450">
        <v>1</v>
      </c>
      <c r="L23" s="450">
        <v>1</v>
      </c>
      <c r="M23" s="529" t="s"/>
      <c r="N23" s="450" t="s"/>
      <c r="O23" s="460" t="s"/>
      <c r="P23" s="356" t="s"/>
      <c r="Q23" s="6" t="s"/>
      <c r="R23" s="6" t="s"/>
      <c r="S23" s="6" t="s"/>
      <c r="T23" s="8" t="s"/>
      <c r="U23" s="8" t="s"/>
      <c r="V23" s="8" t="s"/>
      <c r="W23" s="8" t="s"/>
      <c r="X23" s="8" t="s"/>
      <c r="Y23" s="8" t="s"/>
      <c r="Z23" s="8" t="s"/>
      <c r="AA23" s="8" t="s"/>
    </row>
    <row r="24" spans="1:27" ht="14.25">
      <c r="A24" s="6" t="s"/>
      <c r="B24" s="448" t="s"/>
      <c r="C24" s="448" t="s"/>
      <c r="D24" s="6" t="s"/>
      <c r="E24" s="6" t="s"/>
      <c r="F24" s="543" t="s">
        <v>633</v>
      </c>
      <c r="G24" s="474" t="s"/>
      <c r="H24" s="448" t="s"/>
      <c r="I24" s="425" t="s"/>
      <c r="J24" s="529" t="s"/>
      <c r="K24" s="458" t="s"/>
      <c r="L24" s="450" t="s"/>
      <c r="M24" s="529" t="s"/>
      <c r="N24" s="450" t="s"/>
      <c r="O24" s="460" t="s"/>
      <c r="P24" s="356" t="s"/>
      <c r="Q24" s="6" t="s"/>
      <c r="R24" s="6" t="s"/>
      <c r="S24" s="6" t="s"/>
      <c r="T24" s="8" t="s"/>
      <c r="U24" s="8" t="s"/>
      <c r="V24" s="8" t="s"/>
      <c r="W24" s="8" t="s"/>
      <c r="X24" s="8" t="s"/>
      <c r="Y24" s="8" t="s"/>
      <c r="Z24" s="8" t="s"/>
      <c r="AA24" s="8" t="s"/>
    </row>
    <row r="25" spans="1:27" ht="14.25">
      <c r="A25" s="6" t="s"/>
      <c r="B25" s="448" t="s"/>
      <c r="C25" s="448" t="s"/>
      <c r="D25" s="6" t="s"/>
      <c r="E25" s="6" t="s"/>
      <c r="F25" s="540" t="s">
        <v>301</v>
      </c>
      <c r="G25" s="474">
        <v>0</v>
      </c>
      <c r="H25" s="448">
        <v>0</v>
      </c>
      <c r="I25" s="425" t="s"/>
      <c r="J25" s="529" t="s"/>
      <c r="K25" s="458" t="s"/>
      <c r="L25" s="450" t="s"/>
      <c r="M25" s="529" t="s"/>
      <c r="N25" s="450" t="s"/>
      <c r="O25" s="460" t="s"/>
      <c r="P25" s="356" t="s">
        <v>405</v>
      </c>
      <c r="Q25" s="6" t="s"/>
      <c r="R25" s="6" t="s"/>
      <c r="S25" s="6" t="s"/>
      <c r="T25" s="8" t="s"/>
      <c r="U25" s="8" t="s"/>
      <c r="V25" s="8" t="s"/>
      <c r="W25" s="8" t="s"/>
      <c r="X25" s="8" t="s"/>
      <c r="Y25" s="8" t="s"/>
      <c r="Z25" s="8" t="s"/>
      <c r="AA25" s="8" t="s"/>
    </row>
    <row r="26" spans="1:27" ht="14.25">
      <c r="A26" s="6" t="s"/>
      <c r="B26" s="448" t="s"/>
      <c r="C26" s="448" t="s"/>
      <c r="D26" s="6" t="s"/>
      <c r="E26" s="6" t="s"/>
      <c r="F26" s="543" t="s">
        <v>634</v>
      </c>
      <c r="G26" s="474">
        <v>0</v>
      </c>
      <c r="H26" s="448">
        <v>0</v>
      </c>
      <c r="I26" s="365" t="s"/>
      <c r="J26" s="529" t="s"/>
      <c r="K26" s="458" t="s"/>
      <c r="L26" s="450" t="s"/>
      <c r="M26" s="529" t="s"/>
      <c r="N26" s="450" t="s"/>
      <c r="O26" s="460" t="s"/>
      <c r="P26" s="356" t="s">
        <v>635</v>
      </c>
      <c r="Q26" s="6" t="s"/>
      <c r="R26" s="6" t="s"/>
      <c r="S26" s="6" t="s"/>
      <c r="T26" s="8" t="s"/>
      <c r="U26" s="8" t="s"/>
      <c r="V26" s="8" t="s"/>
      <c r="W26" s="8" t="s"/>
      <c r="X26" s="8" t="s"/>
      <c r="Y26" s="8" t="s"/>
      <c r="Z26" s="8" t="s"/>
      <c r="AA26" s="8" t="s"/>
    </row>
    <row r="27" spans="1:27" ht="18" customHeight="true">
      <c r="A27" s="6" t="s"/>
      <c r="B27" s="448" t="s"/>
      <c r="C27" s="448" t="s"/>
      <c r="D27" s="471" t="s">
        <v>636</v>
      </c>
      <c r="E27" s="448">
        <v>5</v>
      </c>
      <c r="F27" s="540" t="s">
        <v>637</v>
      </c>
      <c r="G27" s="474">
        <v>1</v>
      </c>
      <c r="H27" s="448">
        <v>0</v>
      </c>
      <c r="I27" s="545" t="s"/>
      <c r="J27" s="529" t="s">
        <v>638</v>
      </c>
      <c r="K27" s="546">
        <v>1</v>
      </c>
      <c r="L27" s="470">
        <v>1</v>
      </c>
      <c r="M27" s="529" t="s"/>
      <c r="N27" s="450" t="s"/>
      <c r="O27" s="460" t="s"/>
      <c r="P27" s="356" t="s"/>
      <c r="Q27" s="6" t="s"/>
      <c r="R27" s="6" t="s"/>
      <c r="S27" s="6" t="s"/>
      <c r="T27" s="8" t="s"/>
      <c r="U27" s="8" t="s"/>
      <c r="V27" s="8" t="s"/>
      <c r="W27" s="8" t="s"/>
      <c r="X27" s="8" t="s"/>
      <c r="Y27" s="8" t="s"/>
      <c r="Z27" s="8" t="s"/>
      <c r="AA27" s="8" t="s"/>
    </row>
    <row r="28" spans="1:27" ht="18" customHeight="true">
      <c r="A28" s="471" t="s"/>
      <c r="B28" s="448" t="s"/>
      <c r="C28" s="448" t="s"/>
      <c r="D28" s="471" t="s"/>
      <c r="E28" s="6" t="s"/>
      <c r="F28" s="6" t="s"/>
      <c r="G28" s="474">
        <v>1</v>
      </c>
      <c r="H28" s="448">
        <v>0</v>
      </c>
      <c r="I28" s="425" t="s"/>
      <c r="J28" s="529" t="s">
        <v>639</v>
      </c>
      <c r="K28" s="458">
        <v>1</v>
      </c>
      <c r="L28" s="450">
        <v>1</v>
      </c>
      <c r="M28" s="529" t="s"/>
      <c r="N28" s="450" t="s"/>
      <c r="O28" s="460" t="s"/>
      <c r="P28" s="356" t="s"/>
      <c r="Q28" s="6" t="s"/>
      <c r="R28" s="6" t="s"/>
      <c r="S28" s="6" t="s"/>
      <c r="T28" s="8" t="s"/>
      <c r="U28" s="8" t="s"/>
      <c r="V28" s="8" t="s"/>
      <c r="W28" s="8" t="s"/>
      <c r="X28" s="8" t="s"/>
      <c r="Y28" s="8" t="s"/>
      <c r="Z28" s="8" t="s"/>
      <c r="AA28" s="8" t="s"/>
    </row>
    <row r="29" spans="1:27" ht="19.5" customHeight="true">
      <c r="A29" s="471" t="s"/>
      <c r="B29" s="448" t="s"/>
      <c r="C29" s="448" t="s"/>
      <c r="D29" s="471" t="s"/>
      <c r="E29" s="6" t="s"/>
      <c r="F29" s="6" t="s"/>
      <c r="G29" s="474">
        <v>1</v>
      </c>
      <c r="H29" s="448">
        <v>0</v>
      </c>
      <c r="I29" s="425" t="s"/>
      <c r="J29" s="529" t="s">
        <v>361</v>
      </c>
      <c r="K29" s="458">
        <v>0</v>
      </c>
      <c r="L29" s="450">
        <v>1</v>
      </c>
      <c r="M29" s="529" t="s"/>
      <c r="N29" s="450" t="s"/>
      <c r="O29" s="460" t="s"/>
      <c r="P29" s="356" t="s"/>
      <c r="Q29" s="6" t="s"/>
      <c r="R29" s="6" t="s"/>
      <c r="S29" s="6" t="s"/>
      <c r="T29" s="8" t="s"/>
      <c r="U29" s="8" t="s"/>
      <c r="V29" s="8" t="s"/>
      <c r="W29" s="8" t="s"/>
      <c r="X29" s="8" t="s"/>
      <c r="Y29" s="8" t="s"/>
      <c r="Z29" s="8" t="s"/>
      <c r="AA29" s="8" t="s"/>
    </row>
    <row r="30" spans="1:27" ht="14.25">
      <c r="A30" s="6" t="s"/>
      <c r="B30" s="448" t="s"/>
      <c r="C30" s="448" t="s"/>
      <c r="D30" s="6" t="s"/>
      <c r="E30" s="6" t="s"/>
      <c r="F30" s="540" t="s">
        <v>640</v>
      </c>
      <c r="G30" s="474">
        <v>1</v>
      </c>
      <c r="H30" s="448">
        <v>0</v>
      </c>
      <c r="I30" s="425" t="s"/>
      <c r="J30" s="529" t="s">
        <v>641</v>
      </c>
      <c r="K30" s="458">
        <v>1</v>
      </c>
      <c r="L30" s="450">
        <v>1</v>
      </c>
      <c r="M30" s="529" t="s"/>
      <c r="N30" s="450" t="s"/>
      <c r="O30" s="460" t="s"/>
      <c r="P30" s="356" t="s"/>
      <c r="Q30" s="6" t="s"/>
      <c r="R30" s="6" t="s"/>
      <c r="S30" s="6" t="s"/>
      <c r="T30" s="8" t="s"/>
      <c r="U30" s="8" t="s"/>
      <c r="V30" s="8" t="s"/>
      <c r="W30" s="8" t="s"/>
      <c r="X30" s="8" t="s"/>
      <c r="Y30" s="8" t="s"/>
      <c r="Z30" s="8" t="s"/>
      <c r="AA30" s="8" t="s"/>
    </row>
    <row r="31" spans="1:19" ht="27.75" customHeight="true">
      <c r="A31" s="471" t="s"/>
      <c r="B31" s="448" t="s"/>
      <c r="C31" s="448" t="s"/>
      <c r="D31" s="471" t="s"/>
      <c r="E31" s="6" t="s"/>
      <c r="F31" s="448" t="s">
        <v>642</v>
      </c>
      <c r="G31" s="443">
        <v>1</v>
      </c>
      <c r="H31" s="448">
        <v>0</v>
      </c>
      <c r="I31" s="365" t="s"/>
      <c r="J31" s="529" t="s">
        <v>390</v>
      </c>
      <c r="K31" s="458">
        <v>1</v>
      </c>
      <c r="L31" s="450">
        <v>1</v>
      </c>
      <c r="M31" s="529" t="s"/>
      <c r="N31" s="450" t="s"/>
      <c r="O31" s="460" t="s"/>
      <c r="P31" s="356" t="s"/>
      <c r="Q31" s="6" t="s"/>
      <c r="R31" s="6" t="s"/>
      <c r="S31" s="6" t="s"/>
    </row>
    <row r="32" spans="1:19">
      <c r="A32" s="483" t="s">
        <v>643</v>
      </c>
      <c r="B32" s="547" t="s"/>
      <c r="C32" s="548" t="s"/>
      <c r="D32" s="461" t="s">
        <v>644</v>
      </c>
      <c r="E32" s="482">
        <v>5</v>
      </c>
      <c r="F32" s="510" t="s">
        <v>645</v>
      </c>
      <c r="G32" s="505">
        <v>1</v>
      </c>
      <c r="H32" s="448">
        <v>0</v>
      </c>
      <c r="I32" s="447">
        <v>1</v>
      </c>
      <c r="J32" s="549" t="s">
        <v>341</v>
      </c>
      <c r="K32" s="458">
        <v>1</v>
      </c>
      <c r="L32" s="450">
        <v>1</v>
      </c>
      <c r="M32" s="512" t="s">
        <v>351</v>
      </c>
      <c r="N32" s="490">
        <v>1</v>
      </c>
      <c r="O32" s="490">
        <v>1</v>
      </c>
      <c r="P32" s="550" t="s">
        <v>646</v>
      </c>
      <c r="Q32" s="365" t="s"/>
      <c r="R32" s="365" t="s"/>
      <c r="S32" s="365" t="s"/>
    </row>
    <row r="33" spans="1:19">
      <c r="A33" s="6" t="s"/>
      <c r="B33" s="547" t="s"/>
      <c r="C33" s="548" t="s"/>
      <c r="D33" s="425" t="s"/>
      <c r="E33" s="425" t="s"/>
      <c r="F33" s="435" t="s"/>
      <c r="G33" s="442">
        <v>1</v>
      </c>
      <c r="H33" s="448">
        <v>0</v>
      </c>
      <c r="I33" s="425" t="s"/>
      <c r="J33" s="549" t="s">
        <v>385</v>
      </c>
      <c r="K33" s="466">
        <v>1</v>
      </c>
      <c r="L33" s="551">
        <v>1</v>
      </c>
      <c r="M33" s="445" t="s"/>
      <c r="N33" s="450" t="s"/>
      <c r="O33" s="460" t="s"/>
      <c r="P33" s="420" t="s"/>
      <c r="Q33" s="420" t="s"/>
      <c r="R33" s="420" t="s"/>
      <c r="S33" s="420" t="s"/>
    </row>
    <row r="34" spans="1:19">
      <c r="A34" s="6" t="s"/>
      <c r="B34" s="547" t="s"/>
      <c r="C34" s="548" t="s"/>
      <c r="D34" s="425" t="s"/>
      <c r="E34" s="425" t="s"/>
      <c r="F34" s="435" t="s"/>
      <c r="G34" s="442" t="s"/>
      <c r="H34" s="448">
        <v>0</v>
      </c>
      <c r="I34" s="425" t="s"/>
      <c r="J34" s="549" t="s">
        <v>647</v>
      </c>
      <c r="K34" s="466">
        <v>1</v>
      </c>
      <c r="L34" s="551">
        <v>1</v>
      </c>
      <c r="M34" s="552" t="s"/>
      <c r="N34" s="475" t="s"/>
      <c r="O34" s="460" t="s"/>
      <c r="P34" s="420" t="s"/>
      <c r="Q34" s="420" t="s"/>
      <c r="R34" s="420" t="s"/>
      <c r="S34" s="420" t="s"/>
    </row>
    <row r="35" spans="1:19">
      <c r="A35" s="6" t="s"/>
      <c r="B35" s="547" t="s"/>
      <c r="C35" s="548" t="s"/>
      <c r="D35" s="425" t="s"/>
      <c r="E35" s="425" t="s"/>
      <c r="F35" s="435" t="s"/>
      <c r="G35" s="442" t="s"/>
      <c r="H35" s="483">
        <v>0</v>
      </c>
      <c r="I35" s="365" t="s"/>
      <c r="J35" s="529" t="s"/>
      <c r="K35" s="450" t="s"/>
      <c r="L35" s="450" t="s"/>
      <c r="M35" s="445" t="s"/>
      <c r="N35" s="450" t="s"/>
      <c r="O35" s="553" t="s"/>
      <c r="P35" s="420" t="s"/>
      <c r="Q35" s="420" t="s"/>
      <c r="R35" s="420" t="s"/>
      <c r="S35" s="420" t="s"/>
    </row>
    <row r="36" spans="1:19">
      <c r="A36" s="6" t="s"/>
      <c r="B36" s="547" t="s"/>
      <c r="C36" s="482" t="s"/>
      <c r="D36" s="554" t="s"/>
      <c r="E36" s="425" t="s"/>
      <c r="F36" s="447" t="s">
        <v>648</v>
      </c>
      <c r="G36" s="442">
        <v>1</v>
      </c>
      <c r="H36" s="448">
        <v>0</v>
      </c>
      <c r="I36" s="447">
        <v>1</v>
      </c>
      <c r="J36" s="555" t="s">
        <v>345</v>
      </c>
      <c r="K36" s="556">
        <v>1</v>
      </c>
      <c r="L36" s="556" t="s">
        <v>115</v>
      </c>
      <c r="M36" s="459" t="s">
        <v>387</v>
      </c>
      <c r="N36" s="450">
        <v>1</v>
      </c>
      <c r="O36" s="460">
        <v>1</v>
      </c>
      <c r="P36" s="557" t="s">
        <v>649</v>
      </c>
      <c r="Q36" s="452" t="s"/>
      <c r="R36" s="452" t="s"/>
      <c r="S36" s="453" t="s"/>
    </row>
    <row r="37" spans="1:19">
      <c r="A37" s="6" t="s"/>
      <c r="B37" s="547" t="s"/>
      <c r="C37" s="482" t="s"/>
      <c r="D37" s="554" t="s"/>
      <c r="E37" s="425" t="s"/>
      <c r="F37" s="425" t="s"/>
      <c r="G37" s="443">
        <v>1</v>
      </c>
      <c r="H37" s="448">
        <v>0</v>
      </c>
      <c r="I37" s="425" t="s"/>
      <c r="J37" s="549" t="s">
        <v>355</v>
      </c>
      <c r="K37" s="450">
        <v>1</v>
      </c>
      <c r="L37" s="450">
        <v>1</v>
      </c>
      <c r="M37" s="445" t="s"/>
      <c r="N37" s="450" t="s"/>
      <c r="O37" s="558" t="s"/>
      <c r="P37" s="554" t="s"/>
      <c r="S37" s="432" t="s"/>
    </row>
    <row r="38" spans="1:19">
      <c r="A38" s="6" t="s"/>
      <c r="B38" s="547" t="s"/>
      <c r="C38" s="482" t="s"/>
      <c r="D38" s="554" t="s"/>
      <c r="E38" s="425" t="s"/>
      <c r="F38" s="482" t="s"/>
      <c r="G38" s="443">
        <v>1</v>
      </c>
      <c r="H38" s="448">
        <v>0</v>
      </c>
      <c r="I38" s="425" t="s"/>
      <c r="J38" s="549" t="s">
        <v>365</v>
      </c>
      <c r="K38" s="450">
        <v>1</v>
      </c>
      <c r="L38" s="450">
        <v>1</v>
      </c>
      <c r="M38" s="445" t="s"/>
      <c r="N38" s="450" t="s"/>
      <c r="O38" s="553" t="s"/>
      <c r="P38" s="554" t="s"/>
      <c r="S38" s="432" t="s"/>
    </row>
    <row r="39" spans="1:19">
      <c r="A39" s="6" t="s"/>
      <c r="B39" s="547" t="s"/>
      <c r="C39" s="482" t="s"/>
      <c r="D39" s="539" t="s"/>
      <c r="E39" s="425" t="s"/>
      <c r="F39" s="425" t="s"/>
      <c r="G39" s="559">
        <v>0</v>
      </c>
      <c r="H39" s="448">
        <v>0</v>
      </c>
      <c r="I39" s="365" t="s"/>
      <c r="J39" s="529" t="s"/>
      <c r="K39" s="450" t="s"/>
      <c r="L39" s="450" t="s"/>
      <c r="M39" s="445" t="s"/>
      <c r="N39" s="450" t="s"/>
      <c r="O39" s="558" t="s"/>
      <c r="P39" s="539" t="s"/>
      <c r="Q39" s="42" t="s"/>
      <c r="R39" s="42" t="s"/>
      <c r="S39" s="428" t="s"/>
    </row>
    <row r="40" spans="1:19">
      <c r="A40" s="6" t="s"/>
      <c r="B40" s="432" t="s"/>
      <c r="C40" s="425" t="s"/>
      <c r="D40" s="496" t="s">
        <v>178</v>
      </c>
      <c r="E40" s="448">
        <v>3</v>
      </c>
      <c r="F40" s="448" t="s">
        <v>178</v>
      </c>
      <c r="G40" s="442">
        <v>1</v>
      </c>
      <c r="H40" s="448">
        <v>0</v>
      </c>
      <c r="I40" s="448">
        <v>0</v>
      </c>
      <c r="J40" s="529" t="s">
        <v>399</v>
      </c>
      <c r="K40" s="450">
        <v>1</v>
      </c>
      <c r="L40" s="450">
        <v>1</v>
      </c>
      <c r="M40" s="445" t="s"/>
      <c r="N40" s="450" t="s"/>
      <c r="O40" s="558" t="s"/>
      <c r="P40" s="6" t="s"/>
      <c r="Q40" s="6" t="s"/>
      <c r="R40" s="6" t="s"/>
      <c r="S40" s="6" t="s"/>
    </row>
    <row r="41" spans="1:19">
      <c r="A41" s="6" t="s"/>
      <c r="B41" s="547" t="s"/>
      <c r="C41" s="482" t="s"/>
      <c r="D41" s="554" t="s"/>
      <c r="E41" s="6" t="s"/>
      <c r="F41" s="6" t="s"/>
      <c r="G41" s="448">
        <v>1</v>
      </c>
      <c r="H41" s="483">
        <v>0</v>
      </c>
      <c r="I41" s="483">
        <v>0</v>
      </c>
      <c r="J41" s="529" t="s">
        <v>398</v>
      </c>
      <c r="K41" s="490">
        <v>1</v>
      </c>
      <c r="L41" s="490">
        <v>1</v>
      </c>
      <c r="M41" s="512" t="s"/>
      <c r="N41" s="490" t="s"/>
      <c r="O41" s="460" t="s"/>
      <c r="P41" s="6" t="s"/>
      <c r="Q41" s="6" t="s"/>
      <c r="R41" s="6" t="s"/>
      <c r="S41" s="6" t="s"/>
    </row>
    <row r="42" spans="1:19">
      <c r="A42" s="6" t="s"/>
      <c r="B42" s="547" t="s"/>
      <c r="C42" s="482" t="s"/>
      <c r="D42" s="539" t="s"/>
      <c r="E42" s="6" t="s"/>
      <c r="F42" s="6" t="s"/>
      <c r="G42" s="448">
        <v>1</v>
      </c>
      <c r="H42" s="448">
        <v>0</v>
      </c>
      <c r="I42" s="448">
        <v>0</v>
      </c>
      <c r="J42" s="529" t="s">
        <v>396</v>
      </c>
      <c r="K42" s="450">
        <v>1</v>
      </c>
      <c r="L42" s="450">
        <v>1</v>
      </c>
      <c r="M42" s="445" t="s"/>
      <c r="N42" s="450" t="s"/>
      <c r="O42" s="460" t="s"/>
      <c r="P42" s="6" t="s"/>
      <c r="Q42" s="6" t="s"/>
      <c r="R42" s="6" t="s"/>
      <c r="S42" s="6" t="s"/>
    </row>
    <row r="43" spans="1:19">
      <c r="A43" s="6" t="s"/>
      <c r="B43" s="428" t="s"/>
      <c r="C43" s="365" t="s"/>
      <c r="D43" s="447" t="s">
        <v>401</v>
      </c>
      <c r="E43" s="447">
        <v>2</v>
      </c>
      <c r="F43" s="447" t="s">
        <v>401</v>
      </c>
      <c r="G43" s="448">
        <v>1</v>
      </c>
      <c r="H43" s="448">
        <v>0</v>
      </c>
      <c r="I43" s="496">
        <v>1</v>
      </c>
      <c r="J43" s="529" t="s">
        <v>400</v>
      </c>
      <c r="K43" s="532">
        <v>1</v>
      </c>
      <c r="L43" s="475">
        <v>1</v>
      </c>
      <c r="M43" s="445" t="s"/>
      <c r="N43" s="530" t="s"/>
      <c r="O43" s="560" t="s"/>
      <c r="P43" s="6" t="s"/>
      <c r="Q43" s="6" t="s"/>
      <c r="R43" s="6" t="s"/>
      <c r="S43" s="6" t="s"/>
    </row>
    <row r="44" spans="1:19">
      <c r="A44" s="6" t="s"/>
      <c r="B44" s="510" t="s"/>
      <c r="C44" s="483" t="s"/>
      <c r="D44" s="482" t="s"/>
      <c r="E44" s="482" t="s"/>
      <c r="F44" s="482" t="s"/>
      <c r="G44" s="448">
        <v>1</v>
      </c>
      <c r="H44" s="448">
        <v>0</v>
      </c>
      <c r="I44" s="554" t="s"/>
      <c r="J44" s="529" t="s">
        <v>402</v>
      </c>
      <c r="K44" s="530">
        <v>1</v>
      </c>
      <c r="L44" s="450">
        <v>1</v>
      </c>
      <c r="M44" s="561" t="s">
        <v>389</v>
      </c>
      <c r="N44" s="530">
        <v>1</v>
      </c>
      <c r="O44" s="450">
        <v>1</v>
      </c>
      <c r="P44" s="365" t="s"/>
      <c r="Q44" s="365" t="s"/>
      <c r="R44" s="365" t="s"/>
      <c r="S44" s="365" t="s"/>
    </row>
    <row r="45" spans="1:19">
      <c r="A45" s="6" t="s"/>
      <c r="B45" s="510" t="s"/>
      <c r="C45" s="483" t="s"/>
      <c r="D45" s="425" t="s"/>
      <c r="E45" s="365" t="s"/>
      <c r="F45" s="365" t="s"/>
      <c r="G45" s="448">
        <v>0</v>
      </c>
      <c r="H45" s="448">
        <v>0</v>
      </c>
      <c r="I45" s="539" t="s"/>
      <c r="J45" s="529" t="s"/>
      <c r="K45" s="530" t="s"/>
      <c r="L45" s="450" t="s"/>
      <c r="M45" s="562" t="s"/>
      <c r="N45" s="530" t="s"/>
      <c r="O45" s="560" t="s"/>
      <c r="P45" s="365" t="s"/>
      <c r="Q45" s="365" t="s"/>
      <c r="R45" s="365" t="s"/>
      <c r="S45" s="365" t="s"/>
    </row>
    <row r="46" spans="1:19">
      <c r="A46" s="448" t="s">
        <v>594</v>
      </c>
      <c r="B46" s="448" t="s"/>
      <c r="C46" s="448">
        <f>=SUM(C3:C43)</f>
        <v>0</v>
      </c>
      <c r="D46" s="448" t="s">
        <v>595</v>
      </c>
      <c r="E46" s="448">
        <f>=SUM(E3:E45)</f>
        <v>31</v>
      </c>
      <c r="F46" s="448" t="s"/>
      <c r="G46" s="448">
        <f>=SUM(G3:G45)</f>
        <v>30</v>
      </c>
      <c r="H46" s="448">
        <f>=SUM(H3:H43)</f>
        <v>0</v>
      </c>
      <c r="I46" s="448">
        <f>=SUM(I3:I45)</f>
        <v>8</v>
      </c>
      <c r="J46" s="512" t="s"/>
      <c r="K46" s="563" t="s"/>
      <c r="L46" s="563" t="s"/>
      <c r="M46" s="459" t="s"/>
      <c r="N46" s="530" t="s"/>
      <c r="O46" s="530" t="s"/>
      <c r="P46" s="121" t="s"/>
      <c r="Q46" s="121" t="s"/>
      <c r="R46" s="121" t="s"/>
      <c r="S46" s="121" t="s"/>
    </row>
    <row r="47" spans="1:19">
      <c r="A47" s="448" t="s"/>
      <c r="B47" s="448" t="s"/>
      <c r="C47" s="448" t="s"/>
      <c r="D47" s="448" t="s"/>
      <c r="E47" s="448" t="s"/>
      <c r="F47" s="448" t="s">
        <v>597</v>
      </c>
      <c r="G47" s="442">
        <f>=SUM(G46:H46)</f>
        <v>30</v>
      </c>
      <c r="H47" s="468" t="s"/>
      <c r="I47" s="448">
        <f>=SUM(I46)</f>
        <v>8</v>
      </c>
      <c r="J47" s="445" t="s"/>
      <c r="K47" s="450">
        <f>=SUM(K3:K45)</f>
        <v>31</v>
      </c>
      <c r="L47" s="450">
        <f>=SUM(L3:L45)</f>
        <v>30</v>
      </c>
      <c r="M47" s="445" t="s">
        <v>101</v>
      </c>
      <c r="N47" s="450">
        <f>=SUM(N3:N46)</f>
        <v>9</v>
      </c>
      <c r="O47" s="450">
        <f>=SUM(O3:O46)</f>
        <v>9</v>
      </c>
      <c r="P47" s="121" t="s"/>
      <c r="Q47" s="121" t="s"/>
      <c r="R47" s="121" t="s"/>
      <c r="S47" s="121" t="s"/>
    </row>
    <row r="48" spans="1:19">
      <c r="A48" s="448" t="s"/>
      <c r="B48" s="448" t="s"/>
      <c r="C48" s="448" t="s"/>
      <c r="D48" s="448" t="s"/>
      <c r="E48" s="448" t="s"/>
      <c r="F48" s="448" t="s">
        <v>598</v>
      </c>
      <c r="G48" s="442">
        <v>30</v>
      </c>
      <c r="H48" s="468" t="s"/>
      <c r="I48" s="442">
        <v>8</v>
      </c>
      <c r="J48" s="445" t="s"/>
      <c r="K48" s="450">
        <v>30</v>
      </c>
      <c r="L48" s="450">
        <v>30</v>
      </c>
      <c r="M48" s="445" t="s"/>
      <c r="N48" s="450">
        <v>9</v>
      </c>
      <c r="O48" s="460">
        <v>9</v>
      </c>
      <c r="P48" s="121" t="s"/>
      <c r="Q48" s="121" t="s"/>
      <c r="R48" s="121" t="s"/>
      <c r="S48" s="121" t="s"/>
    </row>
    <row r="49" spans="1:19">
      <c r="A49" s="448" t="s"/>
      <c r="B49" s="448" t="s"/>
      <c r="C49" s="448" t="s"/>
      <c r="D49" s="448" t="s"/>
      <c r="E49" s="448" t="s"/>
      <c r="F49" s="448" t="s">
        <v>599</v>
      </c>
      <c r="G49" s="564">
        <f>=G48-G47</f>
        <v>0</v>
      </c>
      <c r="H49" s="468" t="s"/>
      <c r="I49" s="564">
        <f>=I48-I47</f>
        <v>0</v>
      </c>
      <c r="J49" s="445" t="s"/>
      <c r="K49" s="565">
        <f>=K48-K47</f>
        <v>-1</v>
      </c>
      <c r="L49" s="565">
        <f>=L48-L47</f>
        <v>0</v>
      </c>
      <c r="M49" s="445" t="s"/>
      <c r="N49" s="565">
        <f>=N48-N47</f>
        <v>0</v>
      </c>
      <c r="O49" s="565">
        <f>=O48-O47</f>
        <v>0</v>
      </c>
      <c r="P49" s="121" t="s"/>
      <c r="Q49" s="121" t="s"/>
      <c r="R49" s="121" t="s"/>
      <c r="S49" s="121" t="s"/>
    </row>
    <row r="52" spans="10:10">
      <c r="J52" s="8" t="s"/>
    </row>
    <row r="53" spans="10:19">
      <c r="J53" s="8" t="s"/>
      <c r="P53" s="420" t="s">
        <v>650</v>
      </c>
      <c r="Q53" s="6" t="s"/>
      <c r="R53" s="6" t="s"/>
      <c r="S53" s="6" t="s"/>
    </row>
    <row r="54" spans="1:19" ht="14.25">
      <c r="A54" s="352" t="s">
        <v>403</v>
      </c>
      <c r="B54" s="371" t="s"/>
      <c r="C54" s="371" t="s"/>
      <c r="D54" s="371" t="s"/>
      <c r="E54" s="371" t="s"/>
      <c r="F54" s="371" t="s"/>
      <c r="P54" s="6" t="s"/>
      <c r="Q54" s="6" t="s"/>
      <c r="R54" s="6" t="s"/>
      <c r="S54" s="6" t="s"/>
    </row>
    <row r="55" spans="1:19" ht="14.25">
      <c r="A55" s="354" t="s"/>
      <c r="B55" s="355" t="s">
        <v>194</v>
      </c>
      <c r="C55" s="354" t="s">
        <v>195</v>
      </c>
      <c r="D55" s="356" t="s">
        <v>78</v>
      </c>
      <c r="E55" s="356" t="s">
        <v>101</v>
      </c>
      <c r="F55" s="354" t="s"/>
      <c r="P55" s="6" t="s"/>
      <c r="Q55" s="6" t="s"/>
      <c r="R55" s="6" t="s"/>
      <c r="S55" s="6" t="s"/>
    </row>
    <row r="56" spans="1:19" ht="14.25">
      <c r="A56" s="355" t="s">
        <v>406</v>
      </c>
      <c r="B56" s="355">
        <f>=SUM(D56,E56)</f>
        <v>16</v>
      </c>
      <c r="C56" s="357">
        <f>=B56/B64</f>
        <v>0.457142857142857</v>
      </c>
      <c r="D56" s="358">
        <v>10</v>
      </c>
      <c r="E56" s="358">
        <v>6</v>
      </c>
      <c r="F56" s="566" t="s">
        <v>651</v>
      </c>
      <c r="P56" s="6" t="s"/>
      <c r="Q56" s="6" t="s"/>
      <c r="R56" s="6" t="s"/>
      <c r="S56" s="6" t="s"/>
    </row>
    <row r="57" spans="1:19" ht="14.25">
      <c r="A57" s="355" t="s">
        <v>160</v>
      </c>
      <c r="B57" s="355">
        <f>=SUM(D57,E57)</f>
        <v>6</v>
      </c>
      <c r="C57" s="357">
        <f>=B57/B64</f>
        <v>0.171428571428571</v>
      </c>
      <c r="D57" s="567">
        <v>6</v>
      </c>
      <c r="E57" s="7" t="s"/>
      <c r="F57" s="428" t="s"/>
      <c r="P57" s="6" t="s"/>
      <c r="Q57" s="6" t="s"/>
      <c r="R57" s="6" t="s"/>
      <c r="S57" s="6" t="s"/>
    </row>
    <row r="58" spans="1:19" ht="14.25">
      <c r="A58" s="355" t="s">
        <v>227</v>
      </c>
      <c r="B58" s="355" t="s"/>
      <c r="C58" s="357" t="s"/>
      <c r="D58" s="567">
        <v>4</v>
      </c>
      <c r="E58" s="358" t="s"/>
      <c r="F58" s="568" t="s"/>
      <c r="P58" s="6" t="s"/>
      <c r="Q58" s="6" t="s"/>
      <c r="R58" s="6" t="s"/>
      <c r="S58" s="6" t="s"/>
    </row>
    <row r="59" spans="1:19" ht="14.25">
      <c r="A59" s="355" t="s">
        <v>652</v>
      </c>
      <c r="B59" s="355">
        <f>=SUM(D59,E59)</f>
        <v>4</v>
      </c>
      <c r="C59" s="357">
        <f>=B59/B64</f>
        <v>0.114285714285714</v>
      </c>
      <c r="D59" s="567">
        <v>3</v>
      </c>
      <c r="E59" s="358">
        <v>1</v>
      </c>
      <c r="F59" s="569" t="s">
        <v>653</v>
      </c>
      <c r="P59" s="6" t="s"/>
      <c r="Q59" s="6" t="s"/>
      <c r="R59" s="6" t="s"/>
      <c r="S59" s="6" t="s"/>
    </row>
    <row r="60" spans="1:19" ht="14.25">
      <c r="A60" s="355" t="s">
        <v>592</v>
      </c>
      <c r="B60" s="355">
        <f>=SUM(D60,E60)</f>
        <v>3</v>
      </c>
      <c r="C60" s="357">
        <f>=B60/B64</f>
        <v>0.0857142857142857</v>
      </c>
      <c r="D60" s="567">
        <v>2</v>
      </c>
      <c r="E60" s="358">
        <v>1</v>
      </c>
      <c r="F60" s="428" t="s"/>
      <c r="P60" s="6" t="s"/>
      <c r="Q60" s="6" t="s"/>
      <c r="R60" s="6" t="s"/>
      <c r="S60" s="6" t="s"/>
    </row>
    <row r="61" spans="1:19" ht="14.25">
      <c r="A61" s="355" t="s">
        <v>185</v>
      </c>
      <c r="B61" s="355">
        <f>=SUM(D61,E61)</f>
        <v>3</v>
      </c>
      <c r="C61" s="357" t="e">
        <f>=B61/B70</f>
        <v>#DIV/0!</v>
      </c>
      <c r="D61" s="567">
        <v>2</v>
      </c>
      <c r="E61" s="358">
        <v>1</v>
      </c>
      <c r="F61" s="523" t="s"/>
      <c r="P61" s="6" t="s"/>
      <c r="Q61" s="6" t="s"/>
      <c r="R61" s="6" t="s"/>
      <c r="S61" s="6" t="s"/>
    </row>
    <row r="62" spans="1:19" ht="14.25">
      <c r="A62" s="355" t="s">
        <v>162</v>
      </c>
      <c r="B62" s="355" t="s"/>
      <c r="C62" s="357" t="s"/>
      <c r="D62" s="567">
        <v>1</v>
      </c>
      <c r="E62" s="358" t="s"/>
      <c r="F62" s="523" t="s"/>
      <c r="P62" s="6" t="s"/>
      <c r="Q62" s="6" t="s"/>
      <c r="R62" s="6" t="s"/>
      <c r="S62" s="6" t="s"/>
    </row>
    <row r="63" spans="1:19" ht="14.25">
      <c r="A63" s="355" t="s">
        <v>178</v>
      </c>
      <c r="B63" s="355">
        <f>=SUM(D63,E63)</f>
        <v>3</v>
      </c>
      <c r="C63" s="357">
        <f>=B63/B64</f>
        <v>0.0857142857142857</v>
      </c>
      <c r="D63" s="567">
        <v>3</v>
      </c>
      <c r="E63" s="358" t="s"/>
      <c r="F63" s="523" t="s"/>
      <c r="P63" s="6" t="s"/>
      <c r="Q63" s="6" t="s"/>
      <c r="R63" s="6" t="s"/>
      <c r="S63" s="6" t="s"/>
    </row>
    <row r="64" spans="1:19" ht="14.25">
      <c r="A64" s="355" t="s">
        <v>210</v>
      </c>
      <c r="B64" s="355">
        <f>=SUM(B56:B63)</f>
        <v>35</v>
      </c>
      <c r="C64" s="354" t="s"/>
      <c r="D64" s="358">
        <f>=SUM(D56:D63)</f>
        <v>31</v>
      </c>
      <c r="E64" s="358">
        <f>=SUM(E56:E63)</f>
        <v>9</v>
      </c>
      <c r="F64" s="354" t="s"/>
      <c r="P64" s="6" t="s"/>
      <c r="Q64" s="6" t="s"/>
      <c r="R64" s="6" t="s"/>
      <c r="S64" s="6" t="s"/>
    </row>
    <row r="65" spans="16:19">
      <c r="P65" s="6" t="s"/>
      <c r="Q65" s="6" t="s"/>
      <c r="R65" s="6" t="s"/>
      <c r="S65" s="6" t="s"/>
    </row>
  </sheetData>
  <autoFilter ref="A2:S49">
    <extLst/>
  </autoFilter>
  <mergeCells count="65">
    <mergeCell ref="A1:I1"/>
    <mergeCell ref="J1:O1"/>
    <mergeCell ref="P1:S1"/>
    <mergeCell ref="P2:S2"/>
    <mergeCell ref="P10:S10"/>
    <mergeCell ref="P11:S11"/>
    <mergeCell ref="P12:S12"/>
    <mergeCell ref="P13:S13"/>
    <mergeCell ref="P14:S14"/>
    <mergeCell ref="P16:S16"/>
    <mergeCell ref="P17:S17"/>
    <mergeCell ref="P18:S18"/>
    <mergeCell ref="P19:S19"/>
    <mergeCell ref="P20:S20"/>
    <mergeCell ref="P21:S21"/>
    <mergeCell ref="P22:S22"/>
    <mergeCell ref="P23:S23"/>
    <mergeCell ref="P24:S24"/>
    <mergeCell ref="P25:S25"/>
    <mergeCell ref="P26:S26"/>
    <mergeCell ref="P27:S27"/>
    <mergeCell ref="P28:S28"/>
    <mergeCell ref="P29:S29"/>
    <mergeCell ref="P30:S30"/>
    <mergeCell ref="P31:S31"/>
    <mergeCell ref="G47:H47"/>
    <mergeCell ref="G48:H48"/>
    <mergeCell ref="G49:H49"/>
    <mergeCell ref="A54:F54"/>
    <mergeCell ref="A3:A15"/>
    <mergeCell ref="A16:A31"/>
    <mergeCell ref="A32:A45"/>
    <mergeCell ref="B3:B15"/>
    <mergeCell ref="B32:B43"/>
    <mergeCell ref="C3:C15"/>
    <mergeCell ref="C32:C43"/>
    <mergeCell ref="D3:D15"/>
    <mergeCell ref="D16:D26"/>
    <mergeCell ref="D27:D31"/>
    <mergeCell ref="D32:D39"/>
    <mergeCell ref="D40:D42"/>
    <mergeCell ref="D43:D45"/>
    <mergeCell ref="E3:E15"/>
    <mergeCell ref="E16:E26"/>
    <mergeCell ref="E27:E31"/>
    <mergeCell ref="E32:E39"/>
    <mergeCell ref="E40:E42"/>
    <mergeCell ref="E43:E45"/>
    <mergeCell ref="F27:F29"/>
    <mergeCell ref="F32:F35"/>
    <mergeCell ref="F36:F39"/>
    <mergeCell ref="F40:F42"/>
    <mergeCell ref="F43:F45"/>
    <mergeCell ref="F56:F57"/>
    <mergeCell ref="F59:F60"/>
    <mergeCell ref="I3:I15"/>
    <mergeCell ref="I16:I26"/>
    <mergeCell ref="I27:I31"/>
    <mergeCell ref="I32:I35"/>
    <mergeCell ref="I36:I39"/>
    <mergeCell ref="I43:I45"/>
    <mergeCell ref="P36:S39"/>
    <mergeCell ref="P32:S35"/>
    <mergeCell ref="P53:S65"/>
    <mergeCell ref="P3:S9"/>
  </mergeCells>
  <pageMargins left="0.75" right="0.75" top="1" bottom="1" header="0.5" footer="0.5"/>
  <headerFooter/>
</worksheet>
</file>

<file path=xl/worksheets/sheet9.xml><?xml version="1.0" encoding="utf-8"?>
<worksheet xmlns="http://schemas.openxmlformats.org/spreadsheetml/2006/main">
  <sheetPr codeName="业务投资地图(2025-预测)">
    <tabColor rgb="FFFFFFFF"/>
  </sheetPr>
  <dimension ref="T187"/>
  <sheetViews>
    <sheetView showGridLines="true" workbookViewId="0">
      <pane ySplit="2" topLeftCell="A3" activePane="bottomLeft" state="frozen"/>
    </sheetView>
  </sheetViews>
  <sheetFormatPr defaultColWidth="10.2857" defaultRowHeight="12.75"/>
  <cols>
    <col min="1" max="1" width="23.0667" style="678" customWidth="true"/>
    <col min="2" max="2" width="11.3333" style="678" customWidth="true"/>
    <col min="3" max="3" width="8.4" style="678" customWidth="true"/>
    <col min="4" max="4" width="18.6095" style="678" customWidth="true"/>
    <col min="5" max="5" width="15.9048" style="678" customWidth="true"/>
    <col min="6" max="6" width="9.98095" style="678" customWidth="true"/>
    <col min="7" max="7" width="44.9143" style="678" customWidth="true"/>
    <col min="8" max="8" width="15.781" style="678" customWidth="true"/>
    <col min="9" max="9" width="16.7238" style="679" customWidth="true"/>
    <col min="10" max="15" width="10.2857" style="678" customWidth="true"/>
    <col min="16" max="19" width="10.2857" style="680" customWidth="true"/>
    <col min="20" max="20" width="10.2857" style="678" customWidth="true"/>
  </cols>
  <sheetData>
    <row r="1" spans="1:19">
      <c r="A1" s="442" t="s">
        <v>516</v>
      </c>
      <c r="B1" s="443" t="s"/>
      <c r="C1" s="331" t="s"/>
      <c r="D1" s="444" t="s"/>
      <c r="E1" s="331" t="s"/>
      <c r="F1" s="443" t="s"/>
      <c r="G1" s="331" t="s"/>
      <c r="H1" s="331" t="s"/>
      <c r="I1" s="331" t="s"/>
      <c r="J1" s="445" t="s">
        <v>517</v>
      </c>
      <c r="K1" s="6" t="s"/>
      <c r="L1" s="6" t="s"/>
      <c r="M1" s="6" t="s"/>
      <c r="N1" s="6" t="s"/>
      <c r="O1" s="386" t="s"/>
      <c r="P1" s="7" t="s">
        <v>518</v>
      </c>
      <c r="Q1" s="6" t="s"/>
      <c r="R1" s="6" t="s"/>
      <c r="S1" s="6" t="s"/>
    </row>
    <row r="2" spans="1:19" ht="25.5">
      <c r="A2" s="446" t="s">
        <v>519</v>
      </c>
      <c r="B2" s="446" t="s">
        <v>520</v>
      </c>
      <c r="C2" s="447" t="s">
        <v>521</v>
      </c>
      <c r="D2" s="447" t="s">
        <v>522</v>
      </c>
      <c r="E2" s="447" t="s">
        <v>523</v>
      </c>
      <c r="F2" s="447" t="s">
        <v>524</v>
      </c>
      <c r="G2" s="447" t="s">
        <v>525</v>
      </c>
      <c r="H2" s="448" t="s">
        <v>526</v>
      </c>
      <c r="I2" s="449" t="s">
        <v>527</v>
      </c>
      <c r="J2" s="445" t="s">
        <v>78</v>
      </c>
      <c r="K2" s="450" t="s">
        <v>528</v>
      </c>
      <c r="L2" s="450" t="s">
        <v>529</v>
      </c>
      <c r="M2" s="445" t="s">
        <v>101</v>
      </c>
      <c r="N2" s="450" t="s">
        <v>528</v>
      </c>
      <c r="O2" s="450" t="s">
        <v>529</v>
      </c>
      <c r="P2" s="451" t="s"/>
      <c r="Q2" s="452" t="s"/>
      <c r="R2" s="452" t="s"/>
      <c r="S2" s="453" t="s"/>
    </row>
    <row r="3" spans="1:26" ht="25.5">
      <c r="A3" s="446" t="s">
        <v>199</v>
      </c>
      <c r="B3" s="448" t="s"/>
      <c r="C3" s="448" t="s"/>
      <c r="D3" s="446" t="s">
        <v>530</v>
      </c>
      <c r="E3" s="446" t="s">
        <v>203</v>
      </c>
      <c r="F3" s="446" t="s">
        <v>531</v>
      </c>
      <c r="G3" s="454" t="s">
        <v>532</v>
      </c>
      <c r="H3" s="455">
        <v>3</v>
      </c>
      <c r="I3" s="456">
        <v>3</v>
      </c>
      <c r="J3" s="457" t="s"/>
      <c r="K3" s="458" t="s"/>
      <c r="L3" s="450" t="s"/>
      <c r="M3" s="459" t="s"/>
      <c r="N3" s="450" t="s"/>
      <c r="O3" s="460" t="s"/>
      <c r="P3" s="420" t="s"/>
      <c r="Q3" s="6" t="s"/>
      <c r="R3" s="6" t="s"/>
      <c r="S3" s="6" t="s"/>
      <c r="U3" s="8" t="s"/>
      <c r="V3" s="8" t="s"/>
      <c r="W3" s="8" t="s"/>
      <c r="X3" s="8" t="s"/>
      <c r="Y3" s="8" t="s"/>
      <c r="Z3" s="8" t="s"/>
    </row>
    <row r="4" spans="1:26">
      <c r="A4" s="461" t="s"/>
      <c r="B4" s="448" t="s"/>
      <c r="C4" s="448" t="s"/>
      <c r="D4" s="423" t="s"/>
      <c r="E4" s="425" t="s"/>
      <c r="F4" s="425" t="s"/>
      <c r="G4" s="454" t="s">
        <v>533</v>
      </c>
      <c r="H4" s="455">
        <v>8</v>
      </c>
      <c r="I4" s="456">
        <v>5</v>
      </c>
      <c r="J4" s="457" t="s"/>
      <c r="K4" s="458" t="s"/>
      <c r="L4" s="450" t="s"/>
      <c r="M4" s="457" t="s"/>
      <c r="N4" s="462" t="s"/>
      <c r="O4" s="460" t="s"/>
      <c r="P4" s="420" t="s"/>
      <c r="Q4" s="420" t="s"/>
      <c r="R4" s="420" t="s"/>
      <c r="S4" s="420" t="s"/>
      <c r="U4" s="8" t="s"/>
      <c r="V4" s="8" t="s"/>
      <c r="W4" s="8" t="s"/>
      <c r="X4" s="8" t="s"/>
      <c r="Y4" s="8" t="s"/>
      <c r="Z4" s="8" t="s"/>
    </row>
    <row r="5" spans="1:26" ht="18" customHeight="true">
      <c r="A5" s="461" t="s"/>
      <c r="B5" s="448" t="s"/>
      <c r="C5" s="448" t="s"/>
      <c r="D5" s="423" t="s"/>
      <c r="E5" s="425" t="s"/>
      <c r="F5" s="425" t="s"/>
      <c r="G5" s="454" t="s">
        <v>534</v>
      </c>
      <c r="H5" s="455">
        <v>4</v>
      </c>
      <c r="I5" s="456">
        <v>4</v>
      </c>
      <c r="J5" s="457" t="s"/>
      <c r="K5" s="458" t="s"/>
      <c r="L5" s="450" t="s"/>
      <c r="M5" s="457" t="s"/>
      <c r="N5" s="462" t="s"/>
      <c r="O5" s="460" t="s"/>
      <c r="P5" s="420" t="s"/>
      <c r="Q5" s="420" t="s"/>
      <c r="R5" s="420" t="s"/>
      <c r="S5" s="420" t="s"/>
      <c r="U5" s="8" t="s"/>
      <c r="V5" s="8" t="s"/>
      <c r="W5" s="8" t="s"/>
      <c r="X5" s="8" t="s"/>
      <c r="Y5" s="8" t="s"/>
      <c r="Z5" s="8" t="s"/>
    </row>
    <row r="6" spans="1:26" ht="18" customHeight="true">
      <c r="A6" s="461" t="s"/>
      <c r="B6" s="448" t="s"/>
      <c r="C6" s="448" t="s"/>
      <c r="D6" s="423" t="s"/>
      <c r="E6" s="425" t="s"/>
      <c r="F6" s="425" t="s"/>
      <c r="G6" s="454" t="s">
        <v>535</v>
      </c>
      <c r="H6" s="455">
        <v>5</v>
      </c>
      <c r="I6" s="456">
        <v>8</v>
      </c>
      <c r="J6" s="457" t="s"/>
      <c r="K6" s="458" t="s"/>
      <c r="L6" s="450" t="s"/>
      <c r="M6" s="457" t="s"/>
      <c r="N6" s="462" t="s"/>
      <c r="O6" s="460" t="s"/>
      <c r="P6" s="420" t="s"/>
      <c r="Q6" s="420" t="s"/>
      <c r="R6" s="420" t="s"/>
      <c r="S6" s="420" t="s"/>
      <c r="U6" s="8" t="s"/>
      <c r="V6" s="8" t="s"/>
      <c r="W6" s="8" t="s"/>
      <c r="X6" s="8" t="s"/>
      <c r="Y6" s="8" t="s"/>
      <c r="Z6" s="8" t="s"/>
    </row>
    <row r="7" spans="1:26" ht="51">
      <c r="A7" s="425" t="s"/>
      <c r="B7" s="448" t="s"/>
      <c r="C7" s="448" t="s"/>
      <c r="D7" s="446" t="s">
        <v>536</v>
      </c>
      <c r="E7" s="446" t="s">
        <v>537</v>
      </c>
      <c r="F7" s="446" t="s">
        <v>538</v>
      </c>
      <c r="G7" s="454" t="s">
        <v>539</v>
      </c>
      <c r="H7" s="455">
        <v>8</v>
      </c>
      <c r="I7" s="456">
        <f>=H7/2</f>
        <v>4</v>
      </c>
      <c r="J7" s="457" t="s"/>
      <c r="K7" s="458" t="s"/>
      <c r="L7" s="450" t="s"/>
      <c r="M7" s="457" t="s"/>
      <c r="N7" s="462" t="s"/>
      <c r="O7" s="460" t="s"/>
      <c r="P7" s="6" t="s"/>
      <c r="Q7" s="6" t="s"/>
      <c r="R7" s="6" t="s"/>
      <c r="S7" s="6" t="s"/>
      <c r="U7" s="8" t="s"/>
      <c r="V7" s="8" t="s"/>
      <c r="W7" s="8" t="s"/>
      <c r="X7" s="8" t="s"/>
      <c r="Y7" s="8" t="s"/>
      <c r="Z7" s="8" t="s"/>
    </row>
    <row r="8" spans="1:26" ht="38.25">
      <c r="A8" s="461" t="s"/>
      <c r="B8" s="448" t="s"/>
      <c r="C8" s="448" t="s"/>
      <c r="D8" s="461" t="s"/>
      <c r="E8" s="461" t="s"/>
      <c r="F8" s="461" t="s"/>
      <c r="G8" s="454" t="s">
        <v>540</v>
      </c>
      <c r="H8" s="455">
        <v>12</v>
      </c>
      <c r="I8" s="456">
        <f>=H8/2</f>
        <v>6</v>
      </c>
      <c r="J8" s="457" t="s"/>
      <c r="K8" s="458" t="s"/>
      <c r="L8" s="450" t="s"/>
      <c r="M8" s="463" t="s"/>
      <c r="N8" s="464" t="s"/>
      <c r="O8" s="465" t="s"/>
      <c r="P8" s="420" t="s"/>
      <c r="Q8" s="420" t="s"/>
      <c r="R8" s="420" t="s"/>
      <c r="S8" s="420" t="s"/>
      <c r="U8" s="8" t="s"/>
      <c r="V8" s="8" t="s"/>
      <c r="W8" s="8" t="s"/>
      <c r="X8" s="8" t="s"/>
      <c r="Y8" s="8" t="s"/>
      <c r="Z8" s="8" t="s"/>
    </row>
    <row r="9" spans="1:26" ht="51">
      <c r="A9" s="461" t="s"/>
      <c r="B9" s="448" t="s"/>
      <c r="C9" s="448" t="s"/>
      <c r="D9" s="461" t="s"/>
      <c r="E9" s="461" t="s"/>
      <c r="F9" s="461" t="s"/>
      <c r="G9" s="454" t="s">
        <v>541</v>
      </c>
      <c r="H9" s="455">
        <v>8</v>
      </c>
      <c r="I9" s="456">
        <f>=H9/2</f>
        <v>4</v>
      </c>
      <c r="J9" s="457" t="s"/>
      <c r="K9" s="458" t="s"/>
      <c r="L9" s="450" t="s"/>
      <c r="M9" s="463" t="s"/>
      <c r="N9" s="464" t="s"/>
      <c r="O9" s="465" t="s"/>
      <c r="P9" s="420" t="s"/>
      <c r="Q9" s="420" t="s"/>
      <c r="R9" s="420" t="s"/>
      <c r="S9" s="420" t="s"/>
      <c r="U9" s="8" t="s"/>
      <c r="V9" s="8" t="s"/>
      <c r="W9" s="8" t="s"/>
      <c r="X9" s="8" t="s"/>
      <c r="Y9" s="8" t="s"/>
      <c r="Z9" s="8" t="s"/>
    </row>
    <row r="10" spans="1:26" ht="63.75">
      <c r="A10" s="425" t="s"/>
      <c r="B10" s="448" t="s"/>
      <c r="C10" s="448" t="s"/>
      <c r="D10" s="461" t="s"/>
      <c r="E10" s="461" t="s"/>
      <c r="F10" s="461" t="s"/>
      <c r="G10" s="454" t="s">
        <v>542</v>
      </c>
      <c r="H10" s="455">
        <v>15</v>
      </c>
      <c r="I10" s="456">
        <f>=H10/2</f>
        <v>7.5</v>
      </c>
      <c r="J10" s="457" t="s"/>
      <c r="K10" s="450" t="s"/>
      <c r="L10" s="450" t="s"/>
      <c r="M10" s="463" t="s"/>
      <c r="N10" s="464" t="s"/>
      <c r="O10" s="465" t="s"/>
      <c r="P10" s="6" t="s"/>
      <c r="Q10" s="6" t="s"/>
      <c r="R10" s="6" t="s"/>
      <c r="S10" s="6" t="s"/>
      <c r="U10" s="8" t="s"/>
      <c r="V10" s="8" t="s"/>
      <c r="W10" s="8" t="s"/>
      <c r="X10" s="8" t="s"/>
      <c r="Y10" s="8" t="s"/>
      <c r="Z10" s="8" t="s"/>
    </row>
    <row r="11" spans="1:26" ht="80.25" customHeight="true">
      <c r="A11" s="461" t="s"/>
      <c r="B11" s="448" t="s"/>
      <c r="C11" s="448" t="s"/>
      <c r="D11" s="461" t="s"/>
      <c r="E11" s="461" t="s"/>
      <c r="F11" s="461" t="s"/>
      <c r="G11" s="454" t="s">
        <v>543</v>
      </c>
      <c r="H11" s="455">
        <v>8</v>
      </c>
      <c r="I11" s="456">
        <f>=H11/4</f>
        <v>2</v>
      </c>
      <c r="J11" s="457" t="s"/>
      <c r="K11" s="466" t="s"/>
      <c r="L11" s="465" t="s"/>
      <c r="M11" s="463" t="s"/>
      <c r="N11" s="464" t="s"/>
      <c r="O11" s="465" t="s"/>
      <c r="P11" s="467" t="s"/>
      <c r="Q11" s="420" t="s"/>
      <c r="R11" s="420" t="s"/>
      <c r="S11" s="420" t="s"/>
      <c r="U11" s="8" t="s"/>
      <c r="V11" s="8" t="s"/>
      <c r="W11" s="8" t="s"/>
      <c r="X11" s="8" t="s"/>
      <c r="Y11" s="8" t="s"/>
      <c r="Z11" s="8" t="s"/>
    </row>
    <row r="12" spans="1:26" ht="66.75" customHeight="true">
      <c r="A12" s="461" t="s"/>
      <c r="B12" s="448" t="s"/>
      <c r="C12" s="448" t="s"/>
      <c r="D12" s="461" t="s"/>
      <c r="E12" s="461" t="s"/>
      <c r="F12" s="461" t="s"/>
      <c r="G12" s="454" t="s">
        <v>544</v>
      </c>
      <c r="H12" s="455">
        <v>5</v>
      </c>
      <c r="I12" s="456">
        <f>=H12/2</f>
        <v>2.5</v>
      </c>
      <c r="J12" s="457" t="s"/>
      <c r="K12" s="466" t="s"/>
      <c r="L12" s="465" t="s"/>
      <c r="M12" s="463" t="s"/>
      <c r="N12" s="464" t="s"/>
      <c r="O12" s="465" t="s"/>
      <c r="P12" s="467" t="s"/>
      <c r="Q12" s="420" t="s"/>
      <c r="R12" s="420" t="s"/>
      <c r="S12" s="420" t="s"/>
      <c r="U12" s="8" t="s"/>
      <c r="V12" s="8" t="s"/>
      <c r="W12" s="8" t="s"/>
      <c r="X12" s="8" t="s"/>
      <c r="Y12" s="8" t="s"/>
      <c r="Z12" s="8" t="s"/>
    </row>
    <row r="13" spans="1:26" ht="75.75" customHeight="true">
      <c r="A13" s="461" t="s"/>
      <c r="B13" s="448" t="s"/>
      <c r="C13" s="448" t="s"/>
      <c r="D13" s="461" t="s"/>
      <c r="E13" s="461" t="s"/>
      <c r="F13" s="461" t="s"/>
      <c r="G13" s="454" t="s">
        <v>545</v>
      </c>
      <c r="H13" s="455">
        <v>15</v>
      </c>
      <c r="I13" s="456">
        <f>=H13/3</f>
        <v>5</v>
      </c>
      <c r="J13" s="457" t="s"/>
      <c r="K13" s="466" t="s"/>
      <c r="L13" s="465" t="s"/>
      <c r="M13" s="463" t="s"/>
      <c r="N13" s="464" t="s"/>
      <c r="O13" s="465" t="s"/>
      <c r="P13" s="467" t="s"/>
      <c r="Q13" s="420" t="s"/>
      <c r="R13" s="420" t="s"/>
      <c r="S13" s="420" t="s"/>
      <c r="U13" s="8" t="s"/>
      <c r="V13" s="8" t="s"/>
      <c r="W13" s="8" t="s"/>
      <c r="X13" s="8" t="s"/>
      <c r="Y13" s="8" t="s"/>
      <c r="Z13" s="8" t="s"/>
    </row>
    <row r="14" spans="1:26" ht="75.75" customHeight="true">
      <c r="A14" s="461" t="s"/>
      <c r="B14" s="448" t="s"/>
      <c r="C14" s="448" t="s"/>
      <c r="D14" s="461" t="s"/>
      <c r="E14" s="461" t="s"/>
      <c r="F14" s="461" t="s"/>
      <c r="G14" s="454" t="s">
        <v>546</v>
      </c>
      <c r="H14" s="455">
        <v>12</v>
      </c>
      <c r="I14" s="456">
        <v>3</v>
      </c>
      <c r="J14" s="457" t="s"/>
      <c r="K14" s="466" t="s"/>
      <c r="L14" s="465" t="s"/>
      <c r="M14" s="463" t="s"/>
      <c r="N14" s="464" t="s"/>
      <c r="O14" s="465" t="s"/>
      <c r="P14" s="467" t="s"/>
      <c r="Q14" s="420" t="s"/>
      <c r="R14" s="420" t="s"/>
      <c r="S14" s="420" t="s"/>
      <c r="U14" s="8" t="s"/>
      <c r="V14" s="8" t="s"/>
      <c r="W14" s="8" t="s"/>
      <c r="X14" s="8" t="s"/>
      <c r="Y14" s="8" t="s"/>
      <c r="Z14" s="8" t="s"/>
    </row>
    <row r="15" spans="1:26" ht="71" customHeight="true">
      <c r="A15" s="425" t="s"/>
      <c r="B15" s="448" t="s"/>
      <c r="C15" s="448" t="s"/>
      <c r="D15" s="461" t="s"/>
      <c r="E15" s="446" t="s">
        <v>547</v>
      </c>
      <c r="F15" s="446" t="s">
        <v>548</v>
      </c>
      <c r="G15" s="454" t="s">
        <v>549</v>
      </c>
      <c r="H15" s="455">
        <v>15</v>
      </c>
      <c r="I15" s="456">
        <f>=H15/2</f>
        <v>7.5</v>
      </c>
      <c r="J15" s="457" t="s"/>
      <c r="K15" s="466" t="s"/>
      <c r="L15" s="465" t="s"/>
      <c r="M15" s="457" t="s"/>
      <c r="N15" s="462" t="s"/>
      <c r="O15" s="450" t="s"/>
      <c r="P15" s="468" t="s"/>
      <c r="Q15" s="6" t="s"/>
      <c r="R15" s="6" t="s"/>
      <c r="S15" s="6" t="s"/>
      <c r="U15" s="8" t="s"/>
      <c r="V15" s="8" t="s"/>
      <c r="W15" s="8" t="s"/>
      <c r="X15" s="8" t="s"/>
      <c r="Y15" s="8" t="s"/>
      <c r="Z15" s="8" t="s"/>
    </row>
    <row r="16" spans="1:26" ht="22" customHeight="true">
      <c r="A16" s="425" t="s"/>
      <c r="B16" s="448" t="s"/>
      <c r="C16" s="448" t="s"/>
      <c r="D16" s="469" t="s"/>
      <c r="E16" s="425" t="s"/>
      <c r="F16" s="425" t="s"/>
      <c r="G16" s="454" t="s">
        <v>550</v>
      </c>
      <c r="H16" s="455">
        <v>6</v>
      </c>
      <c r="I16" s="456">
        <f>=H16/1</f>
        <v>6</v>
      </c>
      <c r="J16" s="457" t="s"/>
      <c r="K16" s="458" t="s"/>
      <c r="L16" s="460" t="s"/>
      <c r="M16" s="459" t="s"/>
      <c r="N16" s="470" t="s"/>
      <c r="O16" s="450" t="s"/>
      <c r="P16" s="468" t="s"/>
      <c r="Q16" s="6" t="s"/>
      <c r="R16" s="6" t="s"/>
      <c r="S16" s="6" t="s"/>
      <c r="U16" s="8" t="s"/>
      <c r="V16" s="8" t="s"/>
      <c r="W16" s="8" t="s"/>
      <c r="X16" s="8" t="s"/>
      <c r="Y16" s="8" t="s"/>
      <c r="Z16" s="8" t="s"/>
    </row>
    <row r="17" spans="1:26" ht="26.25" customHeight="true">
      <c r="A17" s="471" t="s">
        <v>201</v>
      </c>
      <c r="B17" s="448" t="s"/>
      <c r="C17" s="448" t="s"/>
      <c r="D17" s="446" t="s">
        <v>551</v>
      </c>
      <c r="E17" s="446" t="s">
        <v>552</v>
      </c>
      <c r="F17" s="472">
        <v>46174</v>
      </c>
      <c r="G17" s="473" t="s">
        <v>553</v>
      </c>
      <c r="H17" s="474">
        <v>8</v>
      </c>
      <c r="I17" s="456">
        <f>=H17/2</f>
        <v>4</v>
      </c>
      <c r="J17" s="463" t="s"/>
      <c r="K17" s="466" t="s"/>
      <c r="L17" s="475" t="s"/>
      <c r="M17" s="476" t="s"/>
      <c r="N17" s="477" t="s"/>
      <c r="O17" s="477" t="s"/>
      <c r="P17" s="478" t="s"/>
      <c r="Q17" s="42" t="s"/>
      <c r="R17" s="42" t="s"/>
      <c r="S17" s="428" t="s"/>
      <c r="U17" s="8" t="s"/>
      <c r="V17" s="8" t="s"/>
      <c r="W17" s="8" t="s"/>
      <c r="X17" s="8" t="s"/>
      <c r="Y17" s="8" t="s"/>
      <c r="Z17" s="8" t="s"/>
    </row>
    <row r="18" spans="1:26" ht="70" customHeight="true">
      <c r="A18" s="6" t="s"/>
      <c r="B18" s="448" t="s"/>
      <c r="C18" s="448" t="s"/>
      <c r="D18" s="461" t="s"/>
      <c r="E18" s="461" t="s"/>
      <c r="F18" s="447" t="s">
        <v>554</v>
      </c>
      <c r="G18" s="473" t="s">
        <v>555</v>
      </c>
      <c r="H18" s="474">
        <v>18</v>
      </c>
      <c r="I18" s="456">
        <f>=H18/1</f>
        <v>18</v>
      </c>
      <c r="J18" s="463" t="s"/>
      <c r="K18" s="466" t="s"/>
      <c r="L18" s="479" t="s"/>
      <c r="M18" s="476" t="s"/>
      <c r="N18" s="477" t="s"/>
      <c r="O18" s="477" t="s"/>
      <c r="P18" s="480" t="s"/>
      <c r="Q18" s="480" t="s"/>
      <c r="R18" s="480" t="s"/>
      <c r="S18" s="481" t="s"/>
      <c r="U18" s="8" t="s"/>
      <c r="V18" s="8" t="s"/>
      <c r="W18" s="8" t="s"/>
      <c r="X18" s="8" t="s"/>
      <c r="Y18" s="8" t="s"/>
      <c r="Z18" s="8" t="s"/>
    </row>
    <row r="19" spans="1:26" ht="61" customHeight="true">
      <c r="A19" s="6" t="s"/>
      <c r="B19" s="448" t="s"/>
      <c r="C19" s="448" t="s"/>
      <c r="D19" s="461" t="s"/>
      <c r="E19" s="461" t="s"/>
      <c r="F19" s="482" t="s"/>
      <c r="G19" s="473" t="s">
        <v>556</v>
      </c>
      <c r="H19" s="474">
        <v>10</v>
      </c>
      <c r="I19" s="456">
        <f>=H19/2</f>
        <v>5</v>
      </c>
      <c r="J19" s="463" t="s"/>
      <c r="K19" s="466" t="s"/>
      <c r="L19" s="479" t="s"/>
      <c r="M19" s="476" t="s"/>
      <c r="N19" s="477" t="s"/>
      <c r="O19" s="477" t="s"/>
      <c r="P19" s="480" t="s"/>
      <c r="Q19" s="480" t="s"/>
      <c r="R19" s="480" t="s"/>
      <c r="S19" s="481" t="s"/>
      <c r="U19" s="8" t="s"/>
      <c r="V19" s="8" t="s"/>
      <c r="W19" s="8" t="s"/>
      <c r="X19" s="8" t="s"/>
      <c r="Y19" s="8" t="s"/>
      <c r="Z19" s="8" t="s"/>
    </row>
    <row r="20" spans="1:26" ht="54" customHeight="true">
      <c r="A20" s="6" t="s"/>
      <c r="B20" s="448" t="s"/>
      <c r="C20" s="448" t="s"/>
      <c r="D20" s="461" t="s"/>
      <c r="E20" s="469" t="s"/>
      <c r="F20" s="483" t="s"/>
      <c r="G20" s="473" t="s">
        <v>557</v>
      </c>
      <c r="H20" s="474">
        <v>8</v>
      </c>
      <c r="I20" s="456">
        <f>=H20/1</f>
        <v>8</v>
      </c>
      <c r="J20" s="463" t="s"/>
      <c r="K20" s="466" t="s"/>
      <c r="L20" s="479" t="s"/>
      <c r="M20" s="476" t="s"/>
      <c r="N20" s="477" t="s"/>
      <c r="O20" s="477" t="s"/>
      <c r="P20" s="480" t="s"/>
      <c r="Q20" s="480" t="s"/>
      <c r="R20" s="480" t="s"/>
      <c r="S20" s="481" t="s"/>
      <c r="U20" s="8" t="s"/>
      <c r="V20" s="8" t="s"/>
      <c r="W20" s="8" t="s"/>
      <c r="X20" s="8" t="s"/>
      <c r="Y20" s="8" t="s"/>
      <c r="Z20" s="8" t="s"/>
    </row>
    <row r="21" spans="1:26" ht="26.25" customHeight="true">
      <c r="A21" s="6" t="s"/>
      <c r="B21" s="448" t="s"/>
      <c r="C21" s="448" t="s"/>
      <c r="D21" s="461" t="s"/>
      <c r="E21" s="484" t="s">
        <v>558</v>
      </c>
      <c r="F21" s="471" t="s">
        <v>559</v>
      </c>
      <c r="G21" s="473" t="s">
        <v>560</v>
      </c>
      <c r="H21" s="474">
        <v>12</v>
      </c>
      <c r="I21" s="456">
        <v>7</v>
      </c>
      <c r="J21" s="463" t="s"/>
      <c r="K21" s="466" t="s"/>
      <c r="L21" s="479" t="s"/>
      <c r="M21" s="476" t="s"/>
      <c r="N21" s="477" t="s"/>
      <c r="O21" s="477" t="s"/>
      <c r="P21" s="480" t="s"/>
      <c r="Q21" s="480" t="s"/>
      <c r="R21" s="480" t="s"/>
      <c r="S21" s="481" t="s"/>
      <c r="U21" s="8" t="s"/>
      <c r="V21" s="8" t="s"/>
      <c r="W21" s="8" t="s"/>
      <c r="X21" s="8" t="s"/>
      <c r="Y21" s="8" t="s"/>
      <c r="Z21" s="8" t="s"/>
    </row>
    <row r="22" spans="1:26" ht="26.25" customHeight="true">
      <c r="A22" s="6" t="s"/>
      <c r="B22" s="448" t="s"/>
      <c r="C22" s="448" t="s"/>
      <c r="D22" s="469" t="s"/>
      <c r="E22" s="484" t="s">
        <v>561</v>
      </c>
      <c r="F22" s="448" t="s">
        <v>115</v>
      </c>
      <c r="G22" s="455" t="s"/>
      <c r="H22" s="474" t="s"/>
      <c r="I22" s="456" t="s"/>
      <c r="J22" s="463" t="s"/>
      <c r="K22" s="466" t="s"/>
      <c r="L22" s="479" t="s"/>
      <c r="M22" s="476" t="s"/>
      <c r="N22" s="477" t="s"/>
      <c r="O22" s="477" t="s"/>
      <c r="P22" s="480" t="s"/>
      <c r="Q22" s="480" t="s"/>
      <c r="R22" s="480" t="s"/>
      <c r="S22" s="481" t="s"/>
      <c r="U22" s="8" t="s"/>
      <c r="V22" s="8" t="s"/>
      <c r="W22" s="8" t="s"/>
      <c r="X22" s="8" t="s"/>
      <c r="Y22" s="8" t="s"/>
      <c r="Z22" s="8" t="s"/>
    </row>
    <row r="23" spans="1:26" ht="48" customHeight="true">
      <c r="A23" s="6" t="s"/>
      <c r="B23" s="448" t="s"/>
      <c r="C23" s="448" t="s"/>
      <c r="D23" s="446" t="s">
        <v>89</v>
      </c>
      <c r="E23" s="484" t="s">
        <v>562</v>
      </c>
      <c r="F23" s="446" t="s">
        <v>563</v>
      </c>
      <c r="G23" s="485" t="s">
        <v>564</v>
      </c>
      <c r="H23" s="474">
        <v>6</v>
      </c>
      <c r="I23" s="456">
        <f>=H23/2</f>
        <v>3</v>
      </c>
      <c r="J23" s="457" t="s"/>
      <c r="K23" s="450" t="s"/>
      <c r="L23" s="486" t="s"/>
      <c r="M23" s="459" t="s"/>
      <c r="N23" s="450" t="s"/>
      <c r="O23" s="450" t="s"/>
      <c r="P23" s="480" t="s"/>
      <c r="Q23" s="480" t="s"/>
      <c r="R23" s="480" t="s"/>
      <c r="S23" s="481" t="s"/>
      <c r="U23" s="8" t="s"/>
      <c r="V23" s="8" t="s"/>
      <c r="W23" s="8" t="s"/>
      <c r="X23" s="8" t="s"/>
      <c r="Y23" s="8" t="s"/>
      <c r="Z23" s="8" t="s"/>
    </row>
    <row r="24" spans="1:26" ht="47" customHeight="true">
      <c r="A24" s="6" t="s"/>
      <c r="B24" s="448" t="s"/>
      <c r="C24" s="448" t="s"/>
      <c r="D24" s="461" t="s"/>
      <c r="E24" s="484" t="s">
        <v>565</v>
      </c>
      <c r="F24" s="461" t="s"/>
      <c r="G24" s="485" t="s">
        <v>566</v>
      </c>
      <c r="H24" s="474">
        <v>5</v>
      </c>
      <c r="I24" s="456">
        <f>=H24/2</f>
        <v>2.5</v>
      </c>
      <c r="J24" s="457" t="s"/>
      <c r="K24" s="450" t="s"/>
      <c r="L24" s="486" t="s"/>
      <c r="M24" s="459" t="s"/>
      <c r="N24" s="450" t="s"/>
      <c r="O24" s="450" t="s"/>
      <c r="P24" s="480" t="s"/>
      <c r="Q24" s="480" t="s"/>
      <c r="R24" s="480" t="s"/>
      <c r="S24" s="481" t="s"/>
      <c r="U24" s="8" t="s"/>
      <c r="V24" s="8" t="s"/>
      <c r="W24" s="8" t="s"/>
      <c r="X24" s="8" t="s"/>
      <c r="Y24" s="8" t="s"/>
      <c r="Z24" s="8" t="s"/>
    </row>
    <row r="25" spans="1:26" ht="41" customHeight="true">
      <c r="A25" s="471" t="s"/>
      <c r="B25" s="448" t="s"/>
      <c r="C25" s="448" t="s"/>
      <c r="D25" s="469" t="s"/>
      <c r="E25" s="484" t="s">
        <v>567</v>
      </c>
      <c r="F25" s="469" t="s"/>
      <c r="G25" s="485" t="s">
        <v>568</v>
      </c>
      <c r="H25" s="474">
        <v>3</v>
      </c>
      <c r="I25" s="456">
        <f>=H25/2</f>
        <v>1.5</v>
      </c>
      <c r="J25" s="457" t="s"/>
      <c r="K25" s="450" t="s"/>
      <c r="L25" s="450" t="s"/>
      <c r="M25" s="457" t="s"/>
      <c r="N25" s="450" t="s"/>
      <c r="O25" s="450" t="s"/>
      <c r="P25" s="480" t="s"/>
      <c r="Q25" s="480" t="s"/>
      <c r="R25" s="480" t="s"/>
      <c r="S25" s="481" t="s"/>
      <c r="U25" s="8" t="s"/>
      <c r="V25" s="8" t="s"/>
      <c r="W25" s="8" t="s"/>
      <c r="X25" s="8" t="s"/>
      <c r="Y25" s="8" t="s"/>
      <c r="Z25" s="8" t="s"/>
    </row>
    <row r="26" spans="1:26" ht="26.25" customHeight="true">
      <c r="A26" s="6" t="s"/>
      <c r="B26" s="448" t="s"/>
      <c r="C26" s="448" t="s"/>
      <c r="D26" s="471" t="s"/>
      <c r="E26" s="484" t="s"/>
      <c r="F26" s="471" t="s">
        <v>115</v>
      </c>
      <c r="G26" s="487" t="s">
        <v>569</v>
      </c>
      <c r="H26" s="474" t="s"/>
      <c r="I26" s="456">
        <f>=H26/3</f>
        <v>0</v>
      </c>
      <c r="J26" s="488" t="s"/>
      <c r="K26" s="489" t="s"/>
      <c r="L26" s="490" t="s"/>
      <c r="M26" s="457" t="s"/>
      <c r="N26" s="450" t="s"/>
      <c r="O26" s="450" t="s"/>
      <c r="P26" s="480" t="s"/>
      <c r="Q26" s="480" t="s"/>
      <c r="R26" s="480" t="s"/>
      <c r="S26" s="481" t="s"/>
      <c r="U26" s="8" t="s"/>
      <c r="V26" s="8" t="s"/>
      <c r="W26" s="8" t="s"/>
      <c r="X26" s="8" t="s"/>
      <c r="Y26" s="8" t="s"/>
      <c r="Z26" s="8" t="s"/>
    </row>
    <row r="27" spans="1:26" ht="48" customHeight="true">
      <c r="A27" s="448" t="s">
        <v>202</v>
      </c>
      <c r="B27" s="483" t="s"/>
      <c r="C27" s="483" t="s"/>
      <c r="D27" s="446" t="s">
        <v>570</v>
      </c>
      <c r="E27" s="484" t="s">
        <v>571</v>
      </c>
      <c r="F27" s="469" t="s"/>
      <c r="G27" s="485" t="s">
        <v>572</v>
      </c>
      <c r="H27" s="474">
        <v>25</v>
      </c>
      <c r="I27" s="456">
        <f>=H27/2</f>
        <v>12.5</v>
      </c>
      <c r="J27" s="488" t="s"/>
      <c r="K27" s="489" t="s"/>
      <c r="L27" s="490" t="s"/>
      <c r="M27" s="457" t="s"/>
      <c r="N27" s="450" t="s"/>
      <c r="O27" s="450" t="s"/>
      <c r="P27" s="480" t="s"/>
      <c r="Q27" s="480" t="s"/>
      <c r="R27" s="480" t="s"/>
      <c r="S27" s="481" t="s"/>
      <c r="U27" s="8" t="s"/>
      <c r="V27" s="8" t="s"/>
      <c r="W27" s="8" t="s"/>
      <c r="X27" s="8" t="s"/>
      <c r="Y27" s="8" t="s"/>
      <c r="Z27" s="8" t="s"/>
    </row>
    <row r="28" spans="1:26" ht="26.25" customHeight="true">
      <c r="A28" s="491" t="s"/>
      <c r="B28" s="483" t="s"/>
      <c r="C28" s="483" t="s"/>
      <c r="D28" s="461" t="s"/>
      <c r="E28" s="484" t="s">
        <v>573</v>
      </c>
      <c r="F28" s="469" t="s"/>
      <c r="G28" s="485" t="s">
        <v>574</v>
      </c>
      <c r="H28" s="474" t="s"/>
      <c r="I28" s="456">
        <v>12</v>
      </c>
      <c r="J28" s="488" t="s"/>
      <c r="K28" s="489" t="s"/>
      <c r="L28" s="490" t="s"/>
      <c r="M28" s="457" t="s"/>
      <c r="N28" s="450" t="s"/>
      <c r="O28" s="450" t="s"/>
      <c r="P28" s="480" t="s"/>
      <c r="Q28" s="480" t="s"/>
      <c r="R28" s="480" t="s"/>
      <c r="S28" s="481" t="s"/>
      <c r="U28" s="8" t="s"/>
      <c r="V28" s="8" t="s"/>
      <c r="W28" s="8" t="s"/>
      <c r="X28" s="8" t="s"/>
      <c r="Y28" s="8" t="s"/>
      <c r="Z28" s="8" t="s"/>
    </row>
    <row r="29" spans="1:26" ht="26.25" customHeight="true">
      <c r="A29" s="491" t="s"/>
      <c r="B29" s="483" t="s"/>
      <c r="C29" s="483" t="s"/>
      <c r="D29" s="446" t="s">
        <v>575</v>
      </c>
      <c r="E29" s="484" t="s">
        <v>575</v>
      </c>
      <c r="F29" s="469" t="s"/>
      <c r="G29" s="485" t="s">
        <v>575</v>
      </c>
      <c r="H29" s="474">
        <v>10</v>
      </c>
      <c r="I29" s="456">
        <f>=H29/2</f>
        <v>5</v>
      </c>
      <c r="J29" s="488" t="s"/>
      <c r="K29" s="489" t="s"/>
      <c r="L29" s="490" t="s"/>
      <c r="M29" s="457" t="s"/>
      <c r="N29" s="450" t="s"/>
      <c r="O29" s="450" t="s"/>
      <c r="P29" s="480" t="s"/>
      <c r="Q29" s="480" t="s"/>
      <c r="R29" s="480" t="s"/>
      <c r="S29" s="481" t="s"/>
      <c r="U29" s="8" t="s"/>
      <c r="V29" s="8" t="s"/>
      <c r="W29" s="8" t="s"/>
      <c r="X29" s="8" t="s"/>
      <c r="Y29" s="8" t="s"/>
      <c r="Z29" s="8" t="s"/>
    </row>
    <row r="30" spans="1:26" ht="42" customHeight="true">
      <c r="A30" s="461" t="s">
        <v>204</v>
      </c>
      <c r="B30" s="483" t="s"/>
      <c r="C30" s="483" t="s"/>
      <c r="D30" s="446" t="s">
        <v>576</v>
      </c>
      <c r="E30" s="471" t="s">
        <v>92</v>
      </c>
      <c r="F30" s="492">
        <v>46174</v>
      </c>
      <c r="G30" s="485" t="s">
        <v>92</v>
      </c>
      <c r="H30" s="474">
        <v>1</v>
      </c>
      <c r="I30" s="456">
        <v>5</v>
      </c>
      <c r="J30" s="488" t="s"/>
      <c r="K30" s="489" t="s"/>
      <c r="L30" s="490" t="s"/>
      <c r="M30" s="457" t="s"/>
      <c r="N30" s="450" t="s"/>
      <c r="O30" s="450" t="s"/>
      <c r="P30" s="480" t="s"/>
      <c r="Q30" s="480" t="s"/>
      <c r="R30" s="480" t="s"/>
      <c r="S30" s="481" t="s"/>
      <c r="U30" s="8" t="s"/>
      <c r="V30" s="8" t="s"/>
      <c r="W30" s="8" t="s"/>
      <c r="X30" s="8" t="s"/>
      <c r="Y30" s="8" t="s"/>
      <c r="Z30" s="8" t="s"/>
    </row>
    <row r="31" spans="1:26" ht="32" customHeight="true">
      <c r="A31" s="461" t="s"/>
      <c r="B31" s="483" t="s"/>
      <c r="C31" s="483" t="s"/>
      <c r="D31" s="461" t="s"/>
      <c r="E31" s="471" t="s">
        <v>577</v>
      </c>
      <c r="F31" s="469" t="s">
        <v>578</v>
      </c>
      <c r="G31" s="485" t="s">
        <v>579</v>
      </c>
      <c r="H31" s="474">
        <v>4</v>
      </c>
      <c r="I31" s="456">
        <v>4</v>
      </c>
      <c r="J31" s="488" t="s"/>
      <c r="K31" s="489" t="s"/>
      <c r="L31" s="490" t="s"/>
      <c r="M31" s="457" t="s"/>
      <c r="N31" s="450" t="s"/>
      <c r="O31" s="450" t="s"/>
      <c r="P31" s="480" t="s"/>
      <c r="Q31" s="480" t="s"/>
      <c r="R31" s="480" t="s"/>
      <c r="S31" s="481" t="s"/>
      <c r="U31" s="8" t="s"/>
      <c r="V31" s="8" t="s"/>
      <c r="W31" s="8" t="s"/>
      <c r="X31" s="8" t="s"/>
      <c r="Y31" s="8" t="s"/>
      <c r="Z31" s="8" t="s"/>
    </row>
    <row r="32" spans="1:26" ht="28" customHeight="true">
      <c r="A32" s="425" t="s"/>
      <c r="B32" s="448" t="s"/>
      <c r="C32" s="448" t="s"/>
      <c r="D32" s="461" t="s"/>
      <c r="E32" s="471" t="s"/>
      <c r="F32" s="471" t="s">
        <v>115</v>
      </c>
      <c r="G32" s="485" t="s">
        <v>248</v>
      </c>
      <c r="H32" s="474" t="s"/>
      <c r="I32" s="456" t="s"/>
      <c r="J32" s="457" t="s"/>
      <c r="K32" s="458" t="s"/>
      <c r="L32" s="450" t="s"/>
      <c r="M32" s="457" t="s"/>
      <c r="N32" s="450" t="s"/>
      <c r="O32" s="450" t="s"/>
      <c r="P32" s="480" t="s"/>
      <c r="Q32" s="480" t="s"/>
      <c r="R32" s="480" t="s"/>
      <c r="S32" s="481" t="s"/>
      <c r="U32" s="8" t="s"/>
      <c r="V32" s="8" t="s"/>
      <c r="W32" s="8" t="s"/>
      <c r="X32" s="8" t="s"/>
      <c r="Y32" s="8" t="s"/>
      <c r="Z32" s="8" t="s"/>
    </row>
    <row r="33" spans="1:26" ht="41" customHeight="true">
      <c r="A33" s="425" t="s"/>
      <c r="B33" s="448" t="s"/>
      <c r="C33" s="448" t="s"/>
      <c r="D33" s="461" t="s"/>
      <c r="E33" s="484" t="s"/>
      <c r="F33" s="471" t="s">
        <v>115</v>
      </c>
      <c r="G33" s="485" t="s">
        <v>158</v>
      </c>
      <c r="H33" s="474" t="s"/>
      <c r="I33" s="456" t="s"/>
      <c r="J33" s="457" t="s"/>
      <c r="K33" s="458" t="s"/>
      <c r="L33" s="450" t="s"/>
      <c r="M33" s="457" t="s"/>
      <c r="N33" s="450" t="s"/>
      <c r="O33" s="450" t="s"/>
      <c r="P33" s="480" t="s"/>
      <c r="Q33" s="480" t="s"/>
      <c r="R33" s="480" t="s"/>
      <c r="S33" s="481" t="s"/>
      <c r="U33" s="8" t="s"/>
      <c r="V33" s="8" t="s"/>
      <c r="W33" s="8" t="s"/>
      <c r="X33" s="8" t="s"/>
      <c r="Y33" s="8" t="s"/>
      <c r="Z33" s="8" t="s"/>
    </row>
    <row r="34" spans="1:26" ht="31" customHeight="true">
      <c r="A34" s="461" t="s"/>
      <c r="B34" s="448" t="s"/>
      <c r="C34" s="448" t="s"/>
      <c r="D34" s="493" t="s"/>
      <c r="E34" s="484" t="s"/>
      <c r="F34" s="471" t="s">
        <v>115</v>
      </c>
      <c r="G34" s="485" t="s">
        <v>580</v>
      </c>
      <c r="H34" s="474" t="s"/>
      <c r="I34" s="456" t="s"/>
      <c r="J34" s="457" t="s"/>
      <c r="K34" s="458" t="s"/>
      <c r="L34" s="450" t="s"/>
      <c r="M34" s="457" t="s"/>
      <c r="N34" s="450" t="s"/>
      <c r="O34" s="450" t="s"/>
      <c r="P34" s="480" t="s"/>
      <c r="Q34" s="480" t="s"/>
      <c r="R34" s="480" t="s"/>
      <c r="S34" s="481" t="s"/>
      <c r="U34" s="8" t="s"/>
      <c r="V34" s="8" t="s"/>
      <c r="W34" s="8" t="s"/>
      <c r="X34" s="8" t="s"/>
      <c r="Y34" s="8" t="s"/>
      <c r="Z34" s="8" t="s"/>
    </row>
    <row r="35" spans="1:26" ht="39.75" customHeight="true">
      <c r="A35" s="365" t="s"/>
      <c r="B35" s="448" t="s"/>
      <c r="C35" s="448" t="s"/>
      <c r="D35" s="494" t="s">
        <v>116</v>
      </c>
      <c r="E35" s="484" t="s"/>
      <c r="F35" s="455" t="s"/>
      <c r="G35" s="485" t="s"/>
      <c r="H35" s="474">
        <v>4</v>
      </c>
      <c r="I35" s="456">
        <f>=H35/1</f>
        <v>4</v>
      </c>
      <c r="J35" s="457" t="s"/>
      <c r="K35" s="458" t="s"/>
      <c r="L35" s="450" t="s"/>
      <c r="M35" s="457" t="s"/>
      <c r="N35" s="450" t="s"/>
      <c r="O35" s="450" t="s"/>
      <c r="P35" s="480" t="s"/>
      <c r="Q35" s="480" t="s"/>
      <c r="R35" s="480" t="s"/>
      <c r="S35" s="481" t="s"/>
      <c r="U35" s="8" t="s"/>
      <c r="V35" s="8" t="s"/>
      <c r="W35" s="8" t="s"/>
      <c r="X35" s="8" t="s"/>
      <c r="Y35" s="8" t="s"/>
      <c r="Z35" s="8" t="s"/>
    </row>
    <row r="36" spans="1:26" ht="14.25">
      <c r="A36" s="446" t="s">
        <v>205</v>
      </c>
      <c r="B36" s="448" t="s"/>
      <c r="C36" s="448" t="s"/>
      <c r="D36" s="495" t="s">
        <v>581</v>
      </c>
      <c r="E36" s="496" t="s"/>
      <c r="F36" s="455" t="s"/>
      <c r="G36" s="443" t="s">
        <v>582</v>
      </c>
      <c r="H36" s="448">
        <v>18</v>
      </c>
      <c r="I36" s="497">
        <f>=H36/3</f>
        <v>6</v>
      </c>
      <c r="J36" s="488" t="s"/>
      <c r="K36" s="489" t="s"/>
      <c r="L36" s="490" t="s"/>
      <c r="M36" s="457" t="s"/>
      <c r="N36" s="450" t="s"/>
      <c r="O36" s="450" t="s"/>
      <c r="P36" s="480" t="s"/>
      <c r="Q36" s="480" t="s"/>
      <c r="R36" s="480" t="s"/>
      <c r="S36" s="481" t="s"/>
      <c r="U36" s="8" t="s"/>
      <c r="V36" s="8" t="s"/>
      <c r="W36" s="8" t="s"/>
      <c r="X36" s="8" t="s"/>
      <c r="Y36" s="8" t="s"/>
      <c r="Z36" s="8" t="s"/>
    </row>
    <row r="37" spans="1:26" ht="14.25">
      <c r="A37" s="425" t="s"/>
      <c r="B37" s="448" t="s"/>
      <c r="C37" s="448" t="s"/>
      <c r="D37" s="446" t="s"/>
      <c r="E37" s="496" t="s"/>
      <c r="F37" s="448" t="s"/>
      <c r="G37" s="443" t="s"/>
      <c r="H37" s="448" t="s"/>
      <c r="I37" s="497" t="s"/>
      <c r="J37" s="488" t="s"/>
      <c r="K37" s="489" t="s"/>
      <c r="L37" s="490" t="s"/>
      <c r="M37" s="457" t="s"/>
      <c r="N37" s="450" t="s"/>
      <c r="O37" s="450" t="s"/>
      <c r="P37" s="480" t="s"/>
      <c r="Q37" s="480" t="s"/>
      <c r="R37" s="480" t="s"/>
      <c r="S37" s="481" t="s"/>
      <c r="U37" s="8" t="s"/>
      <c r="V37" s="8" t="s"/>
      <c r="W37" s="8" t="s"/>
      <c r="X37" s="8" t="s"/>
      <c r="Y37" s="8" t="s"/>
      <c r="Z37" s="8" t="s"/>
    </row>
    <row r="38" spans="1:26" ht="26.25" customHeight="true">
      <c r="A38" s="471" t="s">
        <v>207</v>
      </c>
      <c r="B38" s="448" t="s"/>
      <c r="C38" s="448" t="s"/>
      <c r="D38" s="471" t="s">
        <v>263</v>
      </c>
      <c r="E38" s="442" t="s"/>
      <c r="F38" s="448" t="s"/>
      <c r="G38" s="498" t="s">
        <v>583</v>
      </c>
      <c r="H38" s="448">
        <v>3</v>
      </c>
      <c r="I38" s="456">
        <f>=H38/3</f>
        <v>1</v>
      </c>
      <c r="J38" s="499" t="s"/>
      <c r="K38" s="450" t="s"/>
      <c r="L38" s="450" t="s"/>
      <c r="M38" s="457" t="s"/>
      <c r="N38" s="450" t="s"/>
      <c r="O38" s="450" t="s"/>
      <c r="P38" s="500" t="s"/>
      <c r="Q38" s="6" t="s"/>
      <c r="R38" s="6" t="s"/>
      <c r="S38" s="6" t="s"/>
      <c r="U38" s="8" t="s"/>
      <c r="V38" s="8" t="s"/>
      <c r="W38" s="8" t="s"/>
      <c r="X38" s="8" t="s"/>
      <c r="Y38" s="8" t="s"/>
      <c r="Z38" s="8" t="s"/>
    </row>
    <row r="39" spans="1:26" ht="26.25" customHeight="true">
      <c r="A39" s="471" t="s"/>
      <c r="B39" s="448" t="s"/>
      <c r="C39" s="448" t="s"/>
      <c r="D39" s="471" t="s"/>
      <c r="E39" s="442" t="s"/>
      <c r="F39" s="448" t="s"/>
      <c r="G39" s="443" t="s">
        <v>584</v>
      </c>
      <c r="H39" s="448">
        <v>6</v>
      </c>
      <c r="I39" s="456">
        <f>=H39/3</f>
        <v>2</v>
      </c>
      <c r="J39" s="499" t="s"/>
      <c r="K39" s="450" t="s"/>
      <c r="L39" s="450" t="s"/>
      <c r="M39" s="457" t="s"/>
      <c r="N39" s="450" t="s"/>
      <c r="O39" s="450" t="s"/>
      <c r="P39" s="500" t="s"/>
      <c r="Q39" s="154" t="s"/>
      <c r="R39" s="154" t="s"/>
      <c r="S39" s="154" t="s"/>
      <c r="U39" s="8" t="s"/>
      <c r="V39" s="8" t="s"/>
      <c r="W39" s="8" t="s"/>
      <c r="X39" s="8" t="s"/>
      <c r="Y39" s="8" t="s"/>
      <c r="Z39" s="8" t="s"/>
    </row>
    <row r="40" spans="1:26" ht="14.25">
      <c r="A40" s="6" t="s"/>
      <c r="B40" s="448" t="s"/>
      <c r="C40" s="448" t="s"/>
      <c r="D40" s="7" t="s"/>
      <c r="E40" s="501" t="s"/>
      <c r="F40" s="448" t="s"/>
      <c r="G40" s="498" t="s">
        <v>585</v>
      </c>
      <c r="H40" s="448">
        <v>6</v>
      </c>
      <c r="I40" s="456">
        <f>=H40/3</f>
        <v>2</v>
      </c>
      <c r="J40" s="499" t="s"/>
      <c r="K40" s="450" t="s"/>
      <c r="L40" s="450" t="s"/>
      <c r="M40" s="457" t="s"/>
      <c r="N40" s="450" t="s"/>
      <c r="O40" s="450" t="s"/>
      <c r="P40" s="500" t="s"/>
      <c r="Q40" s="6" t="s"/>
      <c r="R40" s="6" t="s"/>
      <c r="S40" s="6" t="s"/>
      <c r="U40" s="8" t="s"/>
      <c r="V40" s="8" t="s"/>
      <c r="W40" s="8" t="s"/>
      <c r="X40" s="8" t="s"/>
      <c r="Y40" s="8" t="s"/>
      <c r="Z40" s="8" t="s"/>
    </row>
    <row r="41" spans="1:26" ht="14.25">
      <c r="A41" s="6" t="s"/>
      <c r="B41" s="448" t="s"/>
      <c r="C41" s="448" t="s"/>
      <c r="D41" s="7" t="s"/>
      <c r="E41" s="501" t="s"/>
      <c r="F41" s="448" t="s"/>
      <c r="G41" s="498" t="s">
        <v>586</v>
      </c>
      <c r="H41" s="448">
        <v>6</v>
      </c>
      <c r="I41" s="456">
        <f>=H41/3</f>
        <v>2</v>
      </c>
      <c r="J41" s="499" t="s"/>
      <c r="K41" s="450" t="s"/>
      <c r="L41" s="450" t="s"/>
      <c r="M41" s="457" t="s"/>
      <c r="N41" s="450" t="s"/>
      <c r="O41" s="450" t="s"/>
      <c r="P41" s="500" t="s"/>
      <c r="Q41" s="6" t="s"/>
      <c r="R41" s="6" t="s"/>
      <c r="S41" s="6" t="s"/>
      <c r="U41" s="8" t="s"/>
      <c r="V41" s="8" t="s"/>
      <c r="W41" s="8" t="s"/>
      <c r="X41" s="8" t="s"/>
      <c r="Y41" s="8" t="s"/>
      <c r="Z41" s="8" t="s"/>
    </row>
    <row r="42" spans="1:26" ht="14.25">
      <c r="A42" s="6" t="s"/>
      <c r="B42" s="448" t="s"/>
      <c r="C42" s="448" t="s"/>
      <c r="D42" s="7" t="s"/>
      <c r="E42" s="501" t="s"/>
      <c r="F42" s="471" t="s"/>
      <c r="G42" s="502" t="s">
        <v>587</v>
      </c>
      <c r="H42" s="448">
        <v>3</v>
      </c>
      <c r="I42" s="456">
        <f>=H42/3</f>
        <v>1</v>
      </c>
      <c r="J42" s="499" t="s"/>
      <c r="K42" s="450" t="s"/>
      <c r="L42" s="450" t="s"/>
      <c r="M42" s="457" t="s"/>
      <c r="N42" s="450" t="s"/>
      <c r="O42" s="450" t="s"/>
      <c r="P42" s="500" t="s"/>
      <c r="Q42" s="6" t="s"/>
      <c r="R42" s="6" t="s"/>
      <c r="S42" s="6" t="s"/>
      <c r="U42" s="8" t="s"/>
      <c r="V42" s="8" t="s"/>
      <c r="W42" s="8" t="s"/>
      <c r="X42" s="8" t="s"/>
      <c r="Y42" s="8" t="s"/>
      <c r="Z42" s="8" t="s"/>
    </row>
    <row r="43" spans="1:26" ht="14.25">
      <c r="A43" s="446" t="s">
        <v>208</v>
      </c>
      <c r="B43" s="448" t="s"/>
      <c r="C43" s="448" t="s"/>
      <c r="D43" s="447" t="s">
        <v>588</v>
      </c>
      <c r="E43" s="496" t="s">
        <v>115</v>
      </c>
      <c r="F43" s="471" t="s"/>
      <c r="G43" s="502" t="s">
        <v>589</v>
      </c>
      <c r="H43" s="483">
        <v>2</v>
      </c>
      <c r="I43" s="503">
        <v>1</v>
      </c>
      <c r="J43" s="499" t="s"/>
      <c r="K43" s="450" t="s"/>
      <c r="L43" s="450" t="s"/>
      <c r="M43" s="457" t="s"/>
      <c r="N43" s="450" t="s"/>
      <c r="O43" s="450" t="s"/>
      <c r="P43" s="504" t="s"/>
      <c r="Q43" s="452" t="s"/>
      <c r="R43" s="452" t="s"/>
      <c r="S43" s="453" t="s"/>
      <c r="U43" s="8" t="s"/>
      <c r="V43" s="8" t="s"/>
      <c r="W43" s="8" t="s"/>
      <c r="X43" s="8" t="s"/>
      <c r="Y43" s="8" t="s"/>
      <c r="Z43" s="8" t="s"/>
    </row>
    <row r="44" spans="1:26" ht="14.25">
      <c r="A44" s="461" t="s"/>
      <c r="B44" s="448" t="s"/>
      <c r="C44" s="448" t="s"/>
      <c r="D44" s="483" t="s"/>
      <c r="E44" s="505" t="s"/>
      <c r="F44" s="471" t="s"/>
      <c r="G44" s="502" t="s">
        <v>590</v>
      </c>
      <c r="H44" s="483">
        <v>2</v>
      </c>
      <c r="I44" s="503">
        <v>1</v>
      </c>
      <c r="J44" s="499" t="s"/>
      <c r="K44" s="450" t="s"/>
      <c r="L44" s="450" t="s"/>
      <c r="M44" s="457" t="s"/>
      <c r="N44" s="450" t="s"/>
      <c r="O44" s="450" t="s"/>
      <c r="P44" s="504" t="s"/>
      <c r="Q44" s="452" t="s"/>
      <c r="R44" s="452" t="s"/>
      <c r="S44" s="453" t="s"/>
      <c r="U44" s="8" t="s"/>
      <c r="V44" s="8" t="s"/>
      <c r="W44" s="8" t="s"/>
      <c r="X44" s="8" t="s"/>
      <c r="Y44" s="8" t="s"/>
      <c r="Z44" s="8" t="s"/>
    </row>
    <row r="45" spans="1:19">
      <c r="A45" s="461" t="s"/>
      <c r="B45" s="448" t="s"/>
      <c r="C45" s="448" t="s"/>
      <c r="D45" s="471" t="s">
        <v>591</v>
      </c>
      <c r="E45" s="442" t="s">
        <v>115</v>
      </c>
      <c r="F45" s="448" t="s"/>
      <c r="G45" s="455" t="s">
        <v>591</v>
      </c>
      <c r="H45" s="483" t="s"/>
      <c r="I45" s="503" t="s"/>
      <c r="J45" s="457" t="s"/>
      <c r="K45" s="470" t="s"/>
      <c r="L45" s="470" t="s"/>
      <c r="M45" s="459" t="s"/>
      <c r="N45" s="450" t="s"/>
      <c r="O45" s="450" t="s"/>
      <c r="P45" s="506" t="s"/>
      <c r="Q45" s="452" t="s"/>
      <c r="R45" s="452" t="s"/>
      <c r="S45" s="453" t="s"/>
    </row>
    <row r="46" spans="1:19">
      <c r="A46" s="461" t="s"/>
      <c r="B46" s="448" t="s"/>
      <c r="C46" s="448" t="s"/>
      <c r="D46" s="7" t="s"/>
      <c r="E46" s="386" t="s"/>
      <c r="F46" s="448" t="s"/>
      <c r="G46" s="468" t="s"/>
      <c r="H46" s="448" t="s"/>
      <c r="I46" s="507" t="s"/>
      <c r="J46" s="457" t="s"/>
      <c r="K46" s="450" t="s"/>
      <c r="L46" s="450" t="s"/>
      <c r="M46" s="445" t="s"/>
      <c r="N46" s="450" t="s"/>
      <c r="O46" s="470" t="s"/>
      <c r="S46" s="432" t="s"/>
    </row>
    <row r="47" spans="1:19">
      <c r="A47" s="461" t="s"/>
      <c r="B47" s="6" t="s"/>
      <c r="C47" s="6" t="s"/>
      <c r="D47" s="448" t="s">
        <v>592</v>
      </c>
      <c r="E47" s="442" t="s">
        <v>115</v>
      </c>
      <c r="F47" s="471" t="s"/>
      <c r="G47" s="487" t="s">
        <v>593</v>
      </c>
      <c r="H47" s="448">
        <f>=3*12</f>
        <v>36</v>
      </c>
      <c r="I47" s="456">
        <v>12</v>
      </c>
      <c r="J47" s="457" t="s"/>
      <c r="K47" s="450" t="s"/>
      <c r="L47" s="450" t="s"/>
      <c r="M47" s="445" t="s"/>
      <c r="N47" s="450" t="s"/>
      <c r="O47" s="470" t="s"/>
      <c r="P47" s="468" t="s"/>
      <c r="Q47" s="6" t="s"/>
      <c r="R47" s="6" t="s"/>
      <c r="S47" s="6" t="s"/>
    </row>
    <row r="48" spans="1:19">
      <c r="A48" s="448" t="s">
        <v>185</v>
      </c>
      <c r="B48" s="448" t="s"/>
      <c r="C48" s="448" t="s"/>
      <c r="D48" s="448" t="s">
        <v>401</v>
      </c>
      <c r="E48" s="496" t="s">
        <v>115</v>
      </c>
      <c r="F48" s="448" t="s"/>
      <c r="G48" s="455" t="s">
        <v>401</v>
      </c>
      <c r="H48" s="448">
        <f>=2*12</f>
        <v>24</v>
      </c>
      <c r="I48" s="456">
        <f>=1*12</f>
        <v>12</v>
      </c>
      <c r="J48" s="457" t="s"/>
      <c r="K48" s="462" t="s"/>
      <c r="L48" s="470" t="s"/>
      <c r="M48" s="445" t="s"/>
      <c r="N48" s="462" t="s"/>
      <c r="O48" s="470" t="s"/>
      <c r="P48" s="508" t="s"/>
      <c r="Q48" s="121" t="s"/>
      <c r="R48" s="121" t="s"/>
      <c r="S48" s="121" t="s"/>
    </row>
    <row r="49" spans="1:19">
      <c r="A49" s="448" t="s">
        <v>594</v>
      </c>
      <c r="B49" s="448" t="s"/>
      <c r="C49" s="448">
        <f>=SUM(C3:C47)</f>
        <v>0</v>
      </c>
      <c r="D49" s="448" t="s">
        <v>595</v>
      </c>
      <c r="E49" s="442" t="s"/>
      <c r="F49" s="448" t="s"/>
      <c r="G49" s="455" t="s">
        <v>596</v>
      </c>
      <c r="H49" s="509">
        <f>=SUM(H3:H48)</f>
        <v>344</v>
      </c>
      <c r="I49" s="456">
        <f>=SUM(I3:I48)</f>
        <v>199</v>
      </c>
      <c r="J49" s="445" t="s"/>
      <c r="K49" s="462" t="s"/>
      <c r="L49" s="462" t="s"/>
      <c r="M49" s="459" t="s"/>
      <c r="N49" s="462" t="s"/>
      <c r="O49" s="462" t="s"/>
      <c r="P49" s="508" t="s"/>
      <c r="Q49" s="121" t="s"/>
      <c r="R49" s="121" t="s"/>
      <c r="S49" s="121" t="s"/>
    </row>
    <row r="50" spans="1:19">
      <c r="A50" s="471" t="s"/>
      <c r="B50" s="448" t="s"/>
      <c r="C50" s="448" t="s"/>
      <c r="D50" s="448" t="s"/>
      <c r="E50" s="442" t="s"/>
      <c r="F50" s="448" t="s"/>
      <c r="G50" s="455" t="s">
        <v>597</v>
      </c>
      <c r="H50" s="509">
        <f>=H49/12</f>
        <v>28.6666666666667</v>
      </c>
      <c r="I50" s="509">
        <f>=I49/12</f>
        <v>16.5833333333333</v>
      </c>
      <c r="J50" s="445" t="s"/>
      <c r="K50" s="450" t="s"/>
      <c r="L50" s="450" t="s"/>
      <c r="M50" s="445" t="s"/>
      <c r="N50" s="450" t="s"/>
      <c r="O50" s="450" t="s"/>
      <c r="P50" s="508" t="s"/>
      <c r="Q50" s="121" t="s"/>
      <c r="R50" s="121" t="s"/>
      <c r="S50" s="121" t="s"/>
    </row>
    <row r="51" spans="1:19">
      <c r="A51" s="448" t="s"/>
      <c r="B51" s="448" t="s"/>
      <c r="C51" s="448" t="s"/>
      <c r="D51" s="448" t="s"/>
      <c r="E51" s="442" t="s"/>
      <c r="F51" s="448" t="s"/>
      <c r="G51" s="455" t="s">
        <v>598</v>
      </c>
      <c r="H51" s="509">
        <v>26</v>
      </c>
      <c r="I51" s="509">
        <v>15</v>
      </c>
      <c r="J51" s="445" t="s"/>
      <c r="K51" s="450" t="s"/>
      <c r="L51" s="450" t="s"/>
      <c r="M51" s="445" t="s"/>
      <c r="N51" s="450" t="s"/>
      <c r="O51" s="450" t="s"/>
      <c r="P51" s="508" t="s"/>
      <c r="Q51" s="121" t="s"/>
      <c r="R51" s="121" t="s"/>
      <c r="S51" s="121" t="s"/>
    </row>
    <row r="52" spans="1:19">
      <c r="A52" s="483" t="s"/>
      <c r="B52" s="483" t="s"/>
      <c r="C52" s="483" t="s"/>
      <c r="D52" s="483" t="s"/>
      <c r="E52" s="505" t="s"/>
      <c r="F52" s="448" t="s"/>
      <c r="G52" s="510" t="s">
        <v>599</v>
      </c>
      <c r="H52" s="511">
        <f>=H51-H50</f>
        <v>-2.66666666666667</v>
      </c>
      <c r="I52" s="511">
        <f>=I51-I50</f>
        <v>-1.58333333333333</v>
      </c>
      <c r="J52" s="512" t="s"/>
      <c r="K52" s="513" t="s"/>
      <c r="L52" s="513" t="s"/>
      <c r="M52" s="512" t="s"/>
      <c r="N52" s="513" t="s"/>
      <c r="O52" s="513" t="s"/>
      <c r="P52" s="121" t="s"/>
      <c r="Q52" s="121" t="s"/>
      <c r="R52" s="121" t="s"/>
      <c r="S52" s="121" t="s"/>
    </row>
    <row r="53" spans="9:9">
      <c r="I53" s="514" t="s"/>
    </row>
    <row r="54" spans="9:9">
      <c r="I54" s="514" t="s"/>
    </row>
    <row r="55" spans="9:9">
      <c r="I55" s="514" t="s"/>
    </row>
    <row r="56" spans="9:19">
      <c r="I56" s="514" t="s"/>
      <c r="P56" s="420" t="s"/>
      <c r="Q56" s="6" t="s"/>
      <c r="R56" s="6" t="s"/>
      <c r="S56" s="6" t="s"/>
    </row>
    <row r="57" spans="1:19" ht="14.25">
      <c r="A57" s="352" t="s">
        <v>403</v>
      </c>
      <c r="B57" s="6" t="s"/>
      <c r="C57" s="6" t="s"/>
      <c r="D57" s="7" t="s"/>
      <c r="E57" s="6" t="s"/>
      <c r="F57" s="352" t="s"/>
      <c r="G57" s="6" t="s"/>
      <c r="H57" s="6" t="s"/>
      <c r="I57" s="6" t="s"/>
      <c r="J57" s="6" t="s"/>
      <c r="K57" s="6" t="s"/>
      <c r="L57" s="6" t="s"/>
      <c r="M57" s="6" t="s"/>
      <c r="P57" s="6" t="s"/>
      <c r="Q57" s="6" t="s"/>
      <c r="R57" s="6" t="s"/>
      <c r="S57" s="6" t="s"/>
    </row>
    <row r="58" spans="1:19" ht="30.75" customHeight="true">
      <c r="A58" s="515" t="s">
        <v>193</v>
      </c>
      <c r="B58" s="516" t="s">
        <v>194</v>
      </c>
      <c r="C58" s="515" t="s">
        <v>195</v>
      </c>
      <c r="D58" s="516" t="s">
        <v>78</v>
      </c>
      <c r="E58" s="516" t="s">
        <v>101</v>
      </c>
      <c r="F58" s="515" t="s"/>
      <c r="G58" s="515" t="s">
        <v>196</v>
      </c>
      <c r="H58" s="515" t="s">
        <v>600</v>
      </c>
      <c r="I58" s="517" t="s">
        <v>601</v>
      </c>
      <c r="J58" s="518" t="s">
        <v>602</v>
      </c>
      <c r="K58" s="515" t="s">
        <v>603</v>
      </c>
      <c r="L58" s="365" t="s"/>
      <c r="M58" s="365" t="s"/>
      <c r="P58" s="6" t="s"/>
      <c r="Q58" s="6" t="s"/>
      <c r="R58" s="6" t="s"/>
      <c r="S58" s="6" t="s"/>
    </row>
    <row r="59" spans="1:19" ht="28.5">
      <c r="A59" s="519" t="s">
        <v>199</v>
      </c>
      <c r="B59" s="355">
        <f>=SUM(D59,E59)</f>
        <v>15.9583333333333</v>
      </c>
      <c r="C59" s="357">
        <f>=B59/B67</f>
        <v>0.352670349907919</v>
      </c>
      <c r="D59" s="520">
        <f>=SUM(H3:H16)/12</f>
        <v>10.3333333333333</v>
      </c>
      <c r="E59" s="520">
        <f>=SUM(I3:I16)/12</f>
        <v>5.625</v>
      </c>
      <c r="F59" s="521" t="s"/>
      <c r="G59" s="522">
        <f>=SUM(D59:E59)</f>
        <v>15.9583333333333</v>
      </c>
      <c r="H59" s="523" t="s"/>
      <c r="I59" s="524" t="s"/>
      <c r="J59" s="521" t="s"/>
      <c r="K59" s="375" t="s"/>
      <c r="L59" s="6" t="s"/>
      <c r="M59" s="6" t="s"/>
      <c r="P59" s="6" t="s"/>
      <c r="Q59" s="6" t="s"/>
      <c r="R59" s="6" t="s"/>
      <c r="S59" s="6" t="s"/>
    </row>
    <row r="60" spans="1:19" ht="14.25">
      <c r="A60" s="519" t="s">
        <v>201</v>
      </c>
      <c r="B60" s="355">
        <f>=SUM(D60,E60)</f>
        <v>9.91666666666667</v>
      </c>
      <c r="C60" s="357">
        <f>=B60/B67</f>
        <v>0.219152854511971</v>
      </c>
      <c r="D60" s="525">
        <f>=SUM(H17:H26)/12</f>
        <v>5.83333333333333</v>
      </c>
      <c r="E60" s="525">
        <f>=SUM(I17:I26)/12</f>
        <v>4.08333333333333</v>
      </c>
      <c r="F60" s="521" t="s"/>
      <c r="G60" s="522">
        <f>=SUM(D60:E60)</f>
        <v>9.91666666666667</v>
      </c>
      <c r="H60" s="523" t="s"/>
      <c r="I60" s="524" t="s"/>
      <c r="J60" s="521" t="s"/>
      <c r="K60" s="375" t="s"/>
      <c r="L60" s="6" t="s"/>
      <c r="M60" s="6" t="s"/>
      <c r="P60" s="6" t="s"/>
      <c r="Q60" s="6" t="s"/>
      <c r="R60" s="6" t="s"/>
      <c r="S60" s="6" t="s"/>
    </row>
    <row r="61" spans="1:19" ht="14.25">
      <c r="A61" s="355" t="s">
        <v>202</v>
      </c>
      <c r="B61" s="355">
        <f>=SUM(D61,E61)</f>
        <v>5.375</v>
      </c>
      <c r="C61" s="357">
        <f>=B61/B68</f>
        <v>0.125</v>
      </c>
      <c r="D61" s="525">
        <f>=SUM(H27:H29)/12</f>
        <v>2.91666666666667</v>
      </c>
      <c r="E61" s="525">
        <f>=SUM(I27:I29)/12</f>
        <v>2.45833333333333</v>
      </c>
      <c r="F61" s="521" t="s"/>
      <c r="G61" s="522">
        <f>=SUM(D61:E61)</f>
        <v>5.375</v>
      </c>
      <c r="H61" s="523" t="s"/>
      <c r="I61" s="524" t="s"/>
      <c r="J61" s="521" t="s"/>
      <c r="K61" s="375" t="s"/>
      <c r="L61" s="6" t="s"/>
      <c r="M61" s="6" t="s"/>
      <c r="P61" s="6" t="s"/>
      <c r="Q61" s="6" t="s"/>
      <c r="R61" s="6" t="s"/>
      <c r="S61" s="6" t="s"/>
    </row>
    <row r="62" spans="1:19" ht="14.25">
      <c r="A62" s="355" t="s">
        <v>204</v>
      </c>
      <c r="B62" s="355">
        <f>=SUM(D62,E62)</f>
        <v>1.83333333333333</v>
      </c>
      <c r="C62" s="357">
        <f>=B62/B67</f>
        <v>0.0405156537753223</v>
      </c>
      <c r="D62" s="525">
        <f>=SUM(H30:H35)/12</f>
        <v>0.75</v>
      </c>
      <c r="E62" s="525">
        <f>=SUM(I30:I35)/12</f>
        <v>1.08333333333333</v>
      </c>
      <c r="F62" s="354" t="s"/>
      <c r="G62" s="522">
        <f>=SUM(D62:E62)</f>
        <v>1.83333333333333</v>
      </c>
      <c r="H62" s="354" t="s"/>
      <c r="I62" s="524" t="s"/>
      <c r="J62" s="521" t="s"/>
      <c r="K62" s="375" t="s"/>
      <c r="L62" s="6" t="s"/>
      <c r="M62" s="6" t="s"/>
      <c r="P62" s="6" t="s"/>
      <c r="Q62" s="6" t="s"/>
      <c r="R62" s="6" t="s"/>
      <c r="S62" s="6" t="s"/>
    </row>
    <row r="63" spans="1:19" ht="14.25">
      <c r="A63" s="355" t="s">
        <v>205</v>
      </c>
      <c r="B63" s="355">
        <f>=SUM(D63,E63)</f>
        <v>2</v>
      </c>
      <c r="C63" s="357">
        <f>=B63/B67</f>
        <v>0.0441988950276243</v>
      </c>
      <c r="D63" s="525">
        <f>=SUM(H36:H37)/12</f>
        <v>1.5</v>
      </c>
      <c r="E63" s="525">
        <f>=SUM(I36:I37)/12</f>
        <v>0.5</v>
      </c>
      <c r="F63" s="354" t="s"/>
      <c r="G63" s="522">
        <f>=SUM(D63:E63)</f>
        <v>2</v>
      </c>
      <c r="H63" s="354" t="s"/>
      <c r="I63" s="524" t="s"/>
      <c r="J63" s="521" t="s"/>
      <c r="K63" s="375" t="s">
        <v>604</v>
      </c>
      <c r="L63" s="6" t="s"/>
      <c r="M63" s="6" t="s"/>
      <c r="P63" s="6" t="s"/>
      <c r="Q63" s="6" t="s"/>
      <c r="R63" s="6" t="s"/>
      <c r="S63" s="6" t="s"/>
    </row>
    <row r="64" spans="1:19" ht="28.5">
      <c r="A64" s="519" t="s">
        <v>207</v>
      </c>
      <c r="B64" s="355">
        <f>=SUM(D64,E64)</f>
        <v>2.66666666666667</v>
      </c>
      <c r="C64" s="357">
        <f>=B64/B67</f>
        <v>0.0589318600368324</v>
      </c>
      <c r="D64" s="525">
        <f>=SUM(H38:H42)/12</f>
        <v>2</v>
      </c>
      <c r="E64" s="525">
        <f>=SUM(I38:I42)/12</f>
        <v>0.666666666666667</v>
      </c>
      <c r="F64" s="354" t="s"/>
      <c r="G64" s="522">
        <f>=SUM(D64:E64)</f>
        <v>2.66666666666667</v>
      </c>
      <c r="H64" s="354" t="s"/>
      <c r="I64" s="524" t="s"/>
      <c r="J64" s="521" t="s"/>
      <c r="K64" s="375" t="s"/>
      <c r="L64" s="6" t="s"/>
      <c r="M64" s="6" t="s"/>
      <c r="P64" s="6" t="s"/>
      <c r="Q64" s="6" t="s"/>
      <c r="R64" s="6" t="s"/>
      <c r="S64" s="6" t="s"/>
    </row>
    <row r="65" spans="1:19" ht="14.25">
      <c r="A65" s="526" t="s">
        <v>208</v>
      </c>
      <c r="B65" s="355">
        <f>=SUM(D65,E65)</f>
        <v>4.5</v>
      </c>
      <c r="C65" s="357">
        <f>=B65/B67</f>
        <v>0.0994475138121547</v>
      </c>
      <c r="D65" s="525">
        <f>=SUM(H43:H47)/12</f>
        <v>3.33333333333333</v>
      </c>
      <c r="E65" s="525">
        <f>=SUM(I43:I47)/12</f>
        <v>1.16666666666667</v>
      </c>
      <c r="F65" s="354" t="s"/>
      <c r="G65" s="522" t="s"/>
      <c r="H65" s="354" t="s"/>
      <c r="I65" s="524" t="s"/>
      <c r="J65" s="521" t="s"/>
      <c r="K65" s="375" t="s"/>
      <c r="L65" s="6" t="s"/>
      <c r="M65" s="6" t="s"/>
      <c r="P65" s="6" t="s"/>
      <c r="Q65" s="6" t="s"/>
      <c r="R65" s="6" t="s"/>
      <c r="S65" s="6" t="s"/>
    </row>
    <row r="66" spans="1:19" ht="14.25">
      <c r="A66" s="527" t="s">
        <v>185</v>
      </c>
      <c r="B66" s="355">
        <f>=SUM(D66,E66)</f>
        <v>3</v>
      </c>
      <c r="C66" s="357">
        <f>=B66/B67</f>
        <v>0.0662983425414365</v>
      </c>
      <c r="D66" s="525">
        <f>=SUM(H48)/12</f>
        <v>2</v>
      </c>
      <c r="E66" s="525">
        <f>=SUM(I48)/12</f>
        <v>1</v>
      </c>
      <c r="F66" s="354" t="s"/>
      <c r="G66" s="522">
        <f>=SUM(D66:E66)</f>
        <v>3</v>
      </c>
      <c r="H66" s="354" t="s"/>
      <c r="I66" s="524" t="s"/>
      <c r="J66" s="521" t="s"/>
      <c r="K66" s="375" t="s"/>
      <c r="L66" s="6" t="s"/>
      <c r="M66" s="6" t="s"/>
      <c r="P66" s="6" t="s"/>
      <c r="Q66" s="6" t="s"/>
      <c r="R66" s="6" t="s"/>
      <c r="S66" s="6" t="s"/>
    </row>
    <row r="67" spans="1:19" ht="14.25">
      <c r="A67" s="355" t="s">
        <v>210</v>
      </c>
      <c r="B67" s="355">
        <f>=SUM(B59:B66)</f>
        <v>45.25</v>
      </c>
      <c r="C67" s="357">
        <f>=B67/B67</f>
        <v>1</v>
      </c>
      <c r="D67" s="520">
        <f>=SUM(D59:D66)</f>
        <v>28.6666666666667</v>
      </c>
      <c r="E67" s="355">
        <f>=SUM(E59:E66)</f>
        <v>16.5833333333333</v>
      </c>
      <c r="F67" s="354" t="s"/>
      <c r="G67" s="522">
        <f>=SUM(D67:E67)</f>
        <v>45.25</v>
      </c>
      <c r="H67" s="354" t="s"/>
      <c r="I67" s="524" t="s"/>
      <c r="J67" s="521" t="s"/>
      <c r="K67" s="375" t="s"/>
      <c r="L67" s="6" t="s"/>
      <c r="M67" s="6" t="s"/>
      <c r="P67" s="6" t="s"/>
      <c r="Q67" s="6" t="s"/>
      <c r="R67" s="6" t="s"/>
      <c r="S67" s="6" t="s"/>
    </row>
    <row r="68" spans="1:19">
      <c r="A68" s="8" t="s">
        <v>212</v>
      </c>
      <c r="B68" s="8">
        <v>43</v>
      </c>
      <c r="D68" s="8">
        <v>27</v>
      </c>
      <c r="E68" s="528">
        <v>16</v>
      </c>
      <c r="I68" s="514" t="s"/>
      <c r="P68" s="6" t="s"/>
      <c r="Q68" s="6" t="s"/>
      <c r="R68" s="6" t="s"/>
      <c r="S68" s="6" t="s"/>
    </row>
    <row r="69" spans="5:9">
      <c r="E69" s="528" t="s"/>
      <c r="I69" s="514" t="s"/>
    </row>
    <row r="70" spans="9:9">
      <c r="I70" s="514" t="s"/>
    </row>
    <row r="71" spans="9:9">
      <c r="I71" s="514" t="s"/>
    </row>
    <row r="72" spans="9:9">
      <c r="I72" s="514" t="s"/>
    </row>
    <row r="73" spans="9:9">
      <c r="I73" s="514" t="s"/>
    </row>
    <row r="74" spans="9:9">
      <c r="I74" s="514" t="s"/>
    </row>
    <row r="75" spans="9:9">
      <c r="I75" s="514" t="s"/>
    </row>
    <row r="76" spans="9:9">
      <c r="I76" s="514" t="s"/>
    </row>
    <row r="77" spans="9:9">
      <c r="I77" s="514" t="s"/>
    </row>
    <row r="78" spans="9:9">
      <c r="I78" s="514" t="s"/>
    </row>
    <row r="79" spans="9:9">
      <c r="I79" s="514" t="s"/>
    </row>
    <row r="80" spans="9:9">
      <c r="I80" s="514" t="s"/>
    </row>
    <row r="81" spans="9:9">
      <c r="I81" s="514" t="s"/>
    </row>
    <row r="82" spans="9:9">
      <c r="I82" s="514" t="s"/>
    </row>
    <row r="83" spans="9:9">
      <c r="I83" s="514" t="s"/>
    </row>
    <row r="84" spans="9:9">
      <c r="I84" s="514" t="s"/>
    </row>
    <row r="85" spans="9:9">
      <c r="I85" s="514" t="s"/>
    </row>
    <row r="86" spans="9:9">
      <c r="I86" s="514" t="s"/>
    </row>
    <row r="87" spans="9:9">
      <c r="I87" s="514" t="s"/>
    </row>
    <row r="88" spans="9:9">
      <c r="I88" s="514" t="s"/>
    </row>
    <row r="89" spans="9:9">
      <c r="I89" s="514" t="s"/>
    </row>
    <row r="90" spans="9:9">
      <c r="I90" s="514" t="s"/>
    </row>
    <row r="91" spans="9:9">
      <c r="I91" s="514" t="s"/>
    </row>
    <row r="92" spans="9:9">
      <c r="I92" s="514" t="s"/>
    </row>
    <row r="93" spans="9:9">
      <c r="I93" s="514" t="s"/>
    </row>
    <row r="94" spans="9:9">
      <c r="I94" s="514" t="s"/>
    </row>
    <row r="95" spans="9:9">
      <c r="I95" s="514" t="s"/>
    </row>
    <row r="96" spans="9:9">
      <c r="I96" s="514" t="s"/>
    </row>
    <row r="97" spans="9:9">
      <c r="I97" s="514" t="s"/>
    </row>
    <row r="98" spans="9:9">
      <c r="I98" s="514" t="s"/>
    </row>
    <row r="99" spans="9:9">
      <c r="I99" s="514" t="s"/>
    </row>
    <row r="100" spans="9:9">
      <c r="I100" s="514" t="s"/>
    </row>
    <row r="101" spans="9:9">
      <c r="I101" s="514" t="s"/>
    </row>
    <row r="102" spans="9:9">
      <c r="I102" s="514" t="s"/>
    </row>
    <row r="103" spans="9:9">
      <c r="I103" s="514" t="s"/>
    </row>
    <row r="104" spans="9:9">
      <c r="I104" s="514" t="s"/>
    </row>
    <row r="105" spans="9:9">
      <c r="I105" s="514" t="s"/>
    </row>
    <row r="106" spans="9:9">
      <c r="I106" s="514" t="s"/>
    </row>
    <row r="107" spans="9:9">
      <c r="I107" s="514" t="s"/>
    </row>
    <row r="108" spans="9:9">
      <c r="I108" s="514" t="s"/>
    </row>
    <row r="109" spans="9:9">
      <c r="I109" s="514" t="s"/>
    </row>
    <row r="110" spans="9:9">
      <c r="I110" s="514" t="s"/>
    </row>
    <row r="111" spans="9:9">
      <c r="I111" s="514" t="s"/>
    </row>
    <row r="112" spans="9:9">
      <c r="I112" s="514" t="s"/>
    </row>
    <row r="113" spans="9:9">
      <c r="I113" s="514" t="s"/>
    </row>
    <row r="114" spans="9:9">
      <c r="I114" s="514" t="s"/>
    </row>
    <row r="115" spans="9:9">
      <c r="I115" s="514" t="s"/>
    </row>
    <row r="116" spans="9:9">
      <c r="I116" s="514" t="s"/>
    </row>
    <row r="117" spans="9:9">
      <c r="I117" s="514" t="s"/>
    </row>
    <row r="118" spans="9:9">
      <c r="I118" s="514" t="s"/>
    </row>
    <row r="119" spans="9:9">
      <c r="I119" s="514" t="s"/>
    </row>
    <row r="120" spans="9:9">
      <c r="I120" s="514" t="s"/>
    </row>
    <row r="121" spans="9:9">
      <c r="I121" s="514" t="s"/>
    </row>
    <row r="122" spans="9:9">
      <c r="I122" s="514" t="s"/>
    </row>
    <row r="123" spans="9:9">
      <c r="I123" s="514" t="s"/>
    </row>
    <row r="124" spans="9:9">
      <c r="I124" s="514" t="s"/>
    </row>
    <row r="125" spans="9:9">
      <c r="I125" s="514" t="s"/>
    </row>
    <row r="126" spans="9:9">
      <c r="I126" s="514" t="s"/>
    </row>
    <row r="127" spans="9:9">
      <c r="I127" s="514" t="s"/>
    </row>
    <row r="128" spans="9:9">
      <c r="I128" s="514" t="s"/>
    </row>
    <row r="129" spans="9:9">
      <c r="I129" s="514" t="s"/>
    </row>
    <row r="130" spans="9:9">
      <c r="I130" s="514" t="s"/>
    </row>
    <row r="131" spans="9:9">
      <c r="I131" s="514" t="s"/>
    </row>
    <row r="132" spans="9:9">
      <c r="I132" s="514" t="s"/>
    </row>
    <row r="133" spans="9:9">
      <c r="I133" s="514" t="s"/>
    </row>
    <row r="134" spans="9:9">
      <c r="I134" s="514" t="s"/>
    </row>
    <row r="135" spans="9:9">
      <c r="I135" s="514" t="s"/>
    </row>
    <row r="136" spans="9:9">
      <c r="I136" s="514" t="s"/>
    </row>
    <row r="137" spans="9:9">
      <c r="I137" s="514" t="s"/>
    </row>
    <row r="138" spans="9:9">
      <c r="I138" s="514" t="s"/>
    </row>
    <row r="139" spans="9:9">
      <c r="I139" s="514" t="s"/>
    </row>
    <row r="140" spans="9:9">
      <c r="I140" s="514" t="s"/>
    </row>
    <row r="141" spans="9:9">
      <c r="I141" s="514" t="s"/>
    </row>
    <row r="142" spans="9:9">
      <c r="I142" s="514" t="s"/>
    </row>
    <row r="143" spans="9:9">
      <c r="I143" s="514" t="s"/>
    </row>
    <row r="144" spans="9:9">
      <c r="I144" s="514" t="s"/>
    </row>
    <row r="145" spans="9:9">
      <c r="I145" s="514" t="s"/>
    </row>
    <row r="146" spans="9:9">
      <c r="I146" s="514" t="s"/>
    </row>
    <row r="147" spans="9:9">
      <c r="I147" s="514" t="s"/>
    </row>
    <row r="148" spans="9:9">
      <c r="I148" s="514" t="s"/>
    </row>
    <row r="149" spans="9:9">
      <c r="I149" s="514" t="s"/>
    </row>
    <row r="150" spans="9:9">
      <c r="I150" s="514" t="s"/>
    </row>
    <row r="151" spans="9:9">
      <c r="I151" s="514" t="s"/>
    </row>
    <row r="152" spans="9:9">
      <c r="I152" s="514" t="s"/>
    </row>
    <row r="153" spans="9:9">
      <c r="I153" s="514" t="s"/>
    </row>
    <row r="154" spans="9:9">
      <c r="I154" s="514" t="s"/>
    </row>
    <row r="155" spans="9:9">
      <c r="I155" s="514" t="s"/>
    </row>
    <row r="156" spans="9:9">
      <c r="I156" s="514" t="s"/>
    </row>
    <row r="157" spans="9:9">
      <c r="I157" s="514" t="s"/>
    </row>
    <row r="158" spans="9:9">
      <c r="I158" s="514" t="s"/>
    </row>
    <row r="159" spans="9:9">
      <c r="I159" s="514" t="s"/>
    </row>
    <row r="160" spans="9:9">
      <c r="I160" s="514" t="s"/>
    </row>
    <row r="161" spans="9:9">
      <c r="I161" s="514" t="s"/>
    </row>
    <row r="162" spans="9:9">
      <c r="I162" s="514" t="s"/>
    </row>
    <row r="163" spans="9:9">
      <c r="I163" s="514" t="s"/>
    </row>
    <row r="164" spans="9:9">
      <c r="I164" s="514" t="s"/>
    </row>
    <row r="165" spans="9:9">
      <c r="I165" s="514" t="s"/>
    </row>
    <row r="166" spans="9:9">
      <c r="I166" s="514" t="s"/>
    </row>
    <row r="167" spans="9:9">
      <c r="I167" s="514" t="s"/>
    </row>
    <row r="168" spans="9:9">
      <c r="I168" s="514" t="s"/>
    </row>
    <row r="169" spans="9:9">
      <c r="I169" s="514" t="s"/>
    </row>
    <row r="170" spans="9:9">
      <c r="I170" s="514" t="s"/>
    </row>
    <row r="171" spans="9:9">
      <c r="I171" s="514" t="s"/>
    </row>
    <row r="172" spans="9:9">
      <c r="I172" s="514" t="s"/>
    </row>
    <row r="173" spans="9:9">
      <c r="I173" s="514" t="s"/>
    </row>
    <row r="174" spans="9:9">
      <c r="I174" s="514" t="s"/>
    </row>
    <row r="175" spans="9:9">
      <c r="I175" s="514" t="s"/>
    </row>
    <row r="176" spans="9:9">
      <c r="I176" s="514" t="s"/>
    </row>
    <row r="177" spans="9:9">
      <c r="I177" s="514" t="s"/>
    </row>
    <row r="178" spans="9:9">
      <c r="I178" s="514" t="s"/>
    </row>
    <row r="179" spans="9:9">
      <c r="I179" s="514" t="s"/>
    </row>
    <row r="180" spans="9:9">
      <c r="I180" s="514" t="s"/>
    </row>
    <row r="181" spans="9:9">
      <c r="I181" s="514" t="s"/>
    </row>
    <row r="182" spans="9:9">
      <c r="I182" s="514" t="s"/>
    </row>
    <row r="183" spans="9:9">
      <c r="I183" s="514" t="s"/>
    </row>
    <row r="184" spans="9:9">
      <c r="I184" s="514" t="s"/>
    </row>
    <row r="185" spans="9:9">
      <c r="I185" s="514" t="s"/>
    </row>
    <row r="186" spans="9:9">
      <c r="I186" s="514" t="s"/>
    </row>
    <row r="187" spans="9:9">
      <c r="I187" s="514" t="s"/>
    </row>
  </sheetData>
  <autoFilter ref="A2:S52">
    <extLst/>
  </autoFilter>
  <mergeCells count="55">
    <mergeCell ref="A1:I1"/>
    <mergeCell ref="J1:O1"/>
    <mergeCell ref="P1:S1"/>
    <mergeCell ref="P2:S2"/>
    <mergeCell ref="P17:S17"/>
    <mergeCell ref="P38:S38"/>
    <mergeCell ref="P39:S39"/>
    <mergeCell ref="P40:S40"/>
    <mergeCell ref="P41:S41"/>
    <mergeCell ref="P42:S42"/>
    <mergeCell ref="A57:M57"/>
    <mergeCell ref="K58:M58"/>
    <mergeCell ref="K59:M59"/>
    <mergeCell ref="K60:M60"/>
    <mergeCell ref="K61:M61"/>
    <mergeCell ref="K62:M62"/>
    <mergeCell ref="K63:M63"/>
    <mergeCell ref="K64:M64"/>
    <mergeCell ref="K66:M66"/>
    <mergeCell ref="K67:M67"/>
    <mergeCell ref="A3:A16"/>
    <mergeCell ref="A17:A26"/>
    <mergeCell ref="A30:A35"/>
    <mergeCell ref="A36:A37"/>
    <mergeCell ref="D3:D6"/>
    <mergeCell ref="D7:D16"/>
    <mergeCell ref="D17:D22"/>
    <mergeCell ref="D23:D25"/>
    <mergeCell ref="D27:D28"/>
    <mergeCell ref="D30:D34"/>
    <mergeCell ref="D43:D44"/>
    <mergeCell ref="D45:D46"/>
    <mergeCell ref="E3:E6"/>
    <mergeCell ref="E7:E14"/>
    <mergeCell ref="E15:E16"/>
    <mergeCell ref="E17:E20"/>
    <mergeCell ref="E43:E44"/>
    <mergeCell ref="E45:E46"/>
    <mergeCell ref="F3:F6"/>
    <mergeCell ref="F7:F14"/>
    <mergeCell ref="F15:F16"/>
    <mergeCell ref="F18:F20"/>
    <mergeCell ref="F23:F25"/>
    <mergeCell ref="G45:G46"/>
    <mergeCell ref="P3:S16"/>
    <mergeCell ref="P45:S46"/>
    <mergeCell ref="P56:S68"/>
    <mergeCell ref="B3:B16"/>
    <mergeCell ref="C3:C16"/>
    <mergeCell ref="A27:A29"/>
    <mergeCell ref="A38:A42"/>
    <mergeCell ref="D38:D42"/>
    <mergeCell ref="A43:A47"/>
    <mergeCell ref="B45:B47"/>
    <mergeCell ref="C45:C47"/>
  </mergeCells>
  <pageMargins left="0.75" right="0.75" top="1" bottom="1" header="0.5" footer="0.5"/>
  <headerFooter/>
</worksheet>
</file>

<file path=xl/worksheets/sheet10.xml><?xml version="1.0" encoding="utf-8"?>
<worksheet xmlns="http://schemas.openxmlformats.org/spreadsheetml/2006/main">
  <sheetPr codeName="AI项目人力">
    <tabColor rgb="FFFFFFFF"/>
  </sheetPr>
  <dimension ref="M15"/>
  <sheetViews>
    <sheetView showGridLines="true" workbookViewId="0"/>
  </sheetViews>
  <sheetFormatPr defaultColWidth="10.2857" defaultRowHeight="12.75"/>
  <cols>
    <col min="10" max="10" width="31.8286" customWidth="true"/>
  </cols>
  <sheetData>
    <row r="1" spans="1:13" ht="13.5">
      <c r="A1" s="326" t="s">
        <v>42</v>
      </c>
      <c r="B1" s="619" t="s"/>
      <c r="C1" s="619" t="s"/>
      <c r="D1" s="619" t="s"/>
      <c r="E1" s="619" t="s"/>
      <c r="F1" s="619" t="s"/>
      <c r="G1" s="619" t="s"/>
      <c r="H1" s="619" t="s"/>
      <c r="I1" s="619" t="s"/>
      <c r="J1" s="38" t="s"/>
      <c r="K1" s="38" t="s"/>
      <c r="L1" s="8" t="s"/>
      <c r="M1" s="8" t="s"/>
    </row>
    <row r="2" spans="1:13" ht="13.5">
      <c r="A2" s="620" t="s"/>
      <c r="B2" s="621" t="s"/>
      <c r="C2" s="621" t="s"/>
      <c r="D2" s="621" t="s"/>
      <c r="E2" s="621" t="s"/>
      <c r="F2" s="621" t="s"/>
      <c r="G2" s="621" t="s"/>
      <c r="H2" s="621" t="s"/>
      <c r="I2" s="621" t="s"/>
      <c r="J2" s="38" t="s"/>
      <c r="K2" s="38" t="s"/>
      <c r="L2" s="8" t="s"/>
      <c r="M2" s="8" t="s"/>
    </row>
    <row r="3" spans="1:13" ht="13.5">
      <c r="A3" s="95" t="s">
        <v>43</v>
      </c>
      <c r="B3" s="95" t="s"/>
      <c r="C3" s="95" t="s"/>
      <c r="D3" s="330" t="s">
        <v>44</v>
      </c>
      <c r="E3" s="622" t="s"/>
      <c r="F3" s="622" t="s"/>
      <c r="G3" s="622" t="s"/>
      <c r="H3" s="622" t="s"/>
      <c r="I3" s="622" t="s"/>
      <c r="J3" s="38" t="s"/>
      <c r="K3" s="38" t="s"/>
      <c r="L3" s="8" t="s"/>
      <c r="M3" s="8" t="s"/>
    </row>
    <row r="4" spans="1:13" ht="13.5">
      <c r="A4" s="43" t="s">
        <v>51</v>
      </c>
      <c r="B4" s="44" t="s">
        <v>52</v>
      </c>
      <c r="C4" s="43" t="s">
        <v>291</v>
      </c>
      <c r="D4" s="45" t="s">
        <v>55</v>
      </c>
      <c r="E4" s="45" t="s">
        <v>56</v>
      </c>
      <c r="F4" s="46" t="s">
        <v>57</v>
      </c>
      <c r="G4" s="47" t="s">
        <v>58</v>
      </c>
      <c r="H4" s="47" t="s">
        <v>59</v>
      </c>
      <c r="I4" s="623" t="s">
        <v>60</v>
      </c>
      <c r="J4" s="51" t="s">
        <v>292</v>
      </c>
      <c r="K4" s="51" t="s">
        <v>68</v>
      </c>
      <c r="L4" s="51" t="s">
        <v>658</v>
      </c>
      <c r="M4" s="38" t="s"/>
    </row>
    <row r="5" spans="1:13" ht="24">
      <c r="A5" s="53" t="s">
        <v>295</v>
      </c>
      <c r="B5" s="54" t="s">
        <v>78</v>
      </c>
      <c r="C5" s="333" t="s">
        <v>296</v>
      </c>
      <c r="D5" s="54">
        <v>7029</v>
      </c>
      <c r="E5" s="54">
        <v>7029</v>
      </c>
      <c r="F5" s="54">
        <v>7029</v>
      </c>
      <c r="G5" s="54">
        <v>7030</v>
      </c>
      <c r="H5" s="54">
        <v>7030</v>
      </c>
      <c r="I5" s="76">
        <v>7030</v>
      </c>
      <c r="J5" s="51" t="s">
        <v>764</v>
      </c>
      <c r="K5" s="624" t="s">
        <v>765</v>
      </c>
      <c r="L5" s="354" t="s">
        <v>766</v>
      </c>
      <c r="M5" s="57" t="s"/>
    </row>
    <row r="6" spans="1:13" ht="27">
      <c r="A6" s="63" t="s">
        <v>373</v>
      </c>
      <c r="B6" s="54" t="s">
        <v>78</v>
      </c>
      <c r="C6" s="333" t="s">
        <v>296</v>
      </c>
      <c r="D6" s="54" t="s">
        <v>300</v>
      </c>
      <c r="E6" s="54" t="s">
        <v>300</v>
      </c>
      <c r="F6" s="54" t="s">
        <v>300</v>
      </c>
      <c r="G6" s="54">
        <v>7030</v>
      </c>
      <c r="H6" s="54">
        <v>7030</v>
      </c>
      <c r="I6" s="76">
        <v>7030</v>
      </c>
      <c r="J6" s="51" t="s">
        <v>767</v>
      </c>
      <c r="K6" s="624" t="s">
        <v>768</v>
      </c>
      <c r="L6" s="625" t="s">
        <v>769</v>
      </c>
      <c r="M6" s="57" t="s"/>
    </row>
    <row r="7" spans="1:13" ht="27">
      <c r="A7" s="63" t="s">
        <v>385</v>
      </c>
      <c r="B7" s="54" t="s">
        <v>78</v>
      </c>
      <c r="C7" s="333" t="s">
        <v>296</v>
      </c>
      <c r="D7" s="54" t="s">
        <v>300</v>
      </c>
      <c r="E7" s="54" t="s">
        <v>300</v>
      </c>
      <c r="F7" s="54" t="s">
        <v>300</v>
      </c>
      <c r="G7" s="54">
        <v>7030</v>
      </c>
      <c r="H7" s="54">
        <v>7030</v>
      </c>
      <c r="I7" s="76">
        <v>7030</v>
      </c>
      <c r="J7" s="51" t="s">
        <v>770</v>
      </c>
      <c r="K7" s="624" t="s">
        <v>771</v>
      </c>
      <c r="L7" s="626" t="s">
        <v>769</v>
      </c>
      <c r="M7" s="57" t="s"/>
    </row>
    <row r="8" spans="1:13" ht="40.5">
      <c r="A8" s="54" t="s">
        <v>631</v>
      </c>
      <c r="B8" s="54" t="s">
        <v>78</v>
      </c>
      <c r="C8" s="348" t="s">
        <v>359</v>
      </c>
      <c r="D8" s="54" t="s">
        <v>300</v>
      </c>
      <c r="E8" s="54" t="s">
        <v>300</v>
      </c>
      <c r="F8" s="54" t="s">
        <v>300</v>
      </c>
      <c r="G8" s="54">
        <v>7030</v>
      </c>
      <c r="H8" s="54">
        <v>7030</v>
      </c>
      <c r="I8" s="76">
        <v>7030</v>
      </c>
      <c r="J8" s="51" t="s">
        <v>772</v>
      </c>
      <c r="K8" s="624" t="s">
        <v>773</v>
      </c>
      <c r="L8" s="625" t="s">
        <v>769</v>
      </c>
      <c r="M8" s="57" t="s"/>
    </row>
    <row r="9" spans="1:13" ht="27">
      <c r="A9" s="63" t="s">
        <v>338</v>
      </c>
      <c r="B9" s="54" t="s">
        <v>78</v>
      </c>
      <c r="C9" s="348" t="s">
        <v>359</v>
      </c>
      <c r="D9" s="54" t="s">
        <v>160</v>
      </c>
      <c r="E9" s="54" t="s">
        <v>160</v>
      </c>
      <c r="F9" s="54" t="s">
        <v>160</v>
      </c>
      <c r="G9" s="54">
        <v>7030</v>
      </c>
      <c r="H9" s="54">
        <v>7030</v>
      </c>
      <c r="I9" s="76">
        <v>7030</v>
      </c>
      <c r="J9" s="51" t="s">
        <v>749</v>
      </c>
      <c r="K9" s="624" t="s">
        <v>774</v>
      </c>
      <c r="L9" s="354" t="s">
        <v>766</v>
      </c>
      <c r="M9" s="57" t="s"/>
    </row>
    <row r="10" spans="1:13" ht="27">
      <c r="A10" s="61" t="s">
        <v>775</v>
      </c>
      <c r="B10" s="54" t="s">
        <v>78</v>
      </c>
      <c r="C10" s="348" t="s">
        <v>359</v>
      </c>
      <c r="D10" s="54" t="s">
        <v>300</v>
      </c>
      <c r="E10" s="54" t="s">
        <v>300</v>
      </c>
      <c r="F10" s="54" t="s">
        <v>300</v>
      </c>
      <c r="G10" s="54">
        <v>7030</v>
      </c>
      <c r="H10" s="54">
        <v>7030</v>
      </c>
      <c r="I10" s="76">
        <v>7030</v>
      </c>
      <c r="J10" s="51" t="s"/>
      <c r="K10" s="624" t="s">
        <v>774</v>
      </c>
      <c r="L10" s="625" t="s">
        <v>769</v>
      </c>
      <c r="M10" s="57" t="s"/>
    </row>
    <row r="11" spans="1:13" ht="40.5">
      <c r="A11" s="63" t="s">
        <v>320</v>
      </c>
      <c r="B11" s="54" t="s">
        <v>78</v>
      </c>
      <c r="C11" s="75" t="s">
        <v>359</v>
      </c>
      <c r="D11" s="54" t="s">
        <v>300</v>
      </c>
      <c r="E11" s="54" t="s">
        <v>300</v>
      </c>
      <c r="F11" s="54" t="s">
        <v>300</v>
      </c>
      <c r="G11" s="54">
        <v>7030</v>
      </c>
      <c r="H11" s="54">
        <v>7030</v>
      </c>
      <c r="I11" s="76">
        <v>7030</v>
      </c>
      <c r="J11" s="51" t="s">
        <v>776</v>
      </c>
      <c r="K11" s="624" t="s">
        <v>777</v>
      </c>
      <c r="L11" s="625" t="s">
        <v>769</v>
      </c>
      <c r="M11" s="57" t="s"/>
    </row>
    <row r="12" spans="1:13" ht="36">
      <c r="A12" s="61" t="s">
        <v>361</v>
      </c>
      <c r="B12" s="54" t="s">
        <v>78</v>
      </c>
      <c r="C12" s="73" t="s">
        <v>778</v>
      </c>
      <c r="D12" s="54" t="s">
        <v>779</v>
      </c>
      <c r="E12" s="54" t="s">
        <v>779</v>
      </c>
      <c r="F12" s="54" t="s">
        <v>779</v>
      </c>
      <c r="G12" s="54" t="s">
        <v>779</v>
      </c>
      <c r="H12" s="54" t="s">
        <v>780</v>
      </c>
      <c r="I12" s="76" t="s">
        <v>780</v>
      </c>
      <c r="J12" s="54" t="s">
        <v>781</v>
      </c>
      <c r="K12" s="624" t="s">
        <v>782</v>
      </c>
      <c r="L12" s="627" t="s">
        <v>766</v>
      </c>
      <c r="M12" s="57" t="s"/>
    </row>
    <row r="13" spans="1:13" ht="36">
      <c r="A13" s="61" t="s">
        <v>639</v>
      </c>
      <c r="B13" s="54" t="s">
        <v>78</v>
      </c>
      <c r="C13" s="73" t="s">
        <v>778</v>
      </c>
      <c r="D13" s="54" t="s">
        <v>783</v>
      </c>
      <c r="E13" s="54" t="s">
        <v>783</v>
      </c>
      <c r="F13" s="54" t="s">
        <v>783</v>
      </c>
      <c r="G13" s="54" t="s">
        <v>784</v>
      </c>
      <c r="H13" s="54" t="s">
        <v>784</v>
      </c>
      <c r="I13" s="76" t="s">
        <v>784</v>
      </c>
      <c r="J13" s="54" t="s">
        <v>785</v>
      </c>
      <c r="K13" s="624" t="s">
        <v>786</v>
      </c>
      <c r="L13" s="626" t="s">
        <v>769</v>
      </c>
      <c r="M13" s="57" t="s"/>
    </row>
    <row r="14" spans="1:13" ht="36">
      <c r="A14" s="63" t="s">
        <v>894</v>
      </c>
      <c r="B14" s="54" t="s">
        <v>78</v>
      </c>
      <c r="C14" s="73" t="s">
        <v>778</v>
      </c>
      <c r="D14" s="54" t="s">
        <v>787</v>
      </c>
      <c r="E14" s="54" t="s">
        <v>787</v>
      </c>
      <c r="F14" s="54" t="s">
        <v>787</v>
      </c>
      <c r="G14" s="54" t="s">
        <v>788</v>
      </c>
      <c r="H14" s="54" t="s">
        <v>787</v>
      </c>
      <c r="I14" s="76" t="s">
        <v>787</v>
      </c>
      <c r="J14" s="54" t="s">
        <v>789</v>
      </c>
      <c r="K14" s="51" t="s">
        <v>790</v>
      </c>
      <c r="L14" s="627" t="s">
        <v>766</v>
      </c>
      <c r="M14" s="57" t="s"/>
    </row>
    <row r="15" spans="1:13" ht="36">
      <c r="A15" s="61" t="s">
        <v>353</v>
      </c>
      <c r="B15" s="54" t="s">
        <v>78</v>
      </c>
      <c r="C15" s="628" t="s">
        <v>778</v>
      </c>
      <c r="D15" s="54" t="s">
        <v>791</v>
      </c>
      <c r="E15" s="54" t="s">
        <v>791</v>
      </c>
      <c r="F15" s="54" t="s">
        <v>791</v>
      </c>
      <c r="G15" s="54" t="s">
        <v>788</v>
      </c>
      <c r="H15" s="54" t="s">
        <v>788</v>
      </c>
      <c r="I15" s="76" t="s">
        <v>788</v>
      </c>
      <c r="J15" s="54" t="s">
        <v>792</v>
      </c>
      <c r="K15" s="51" t="s">
        <v>793</v>
      </c>
      <c r="L15" s="625" t="s">
        <v>769</v>
      </c>
      <c r="M15" s="57" t="s"/>
    </row>
  </sheetData>
  <autoFilter ref="A4:L15">
    <sortState ref="A4:L15">
      <sortCondition ref="C4:C15"/>
    </sortState>
    <extLst/>
  </autoFilter>
  <mergeCells count="3">
    <mergeCell ref="A3:C3"/>
    <mergeCell ref="D3:I3"/>
    <mergeCell ref="A1:I2"/>
  </mergeCells>
  <pageMargins left="0.75" right="0.75" top="1" bottom="1" header="0.5" footer="0.5"/>
  <headerFooter/>
</worksheet>
</file>

<file path=xl/worksheets/sheet11.xml><?xml version="1.0" encoding="utf-8"?>
<worksheet xmlns="http://schemas.openxmlformats.org/spreadsheetml/2006/main">
  <sheetPr codeName="AD人力甘特图(2025)">
    <tabColor rgb="FFFFFFFF"/>
  </sheetPr>
  <dimension ref="AJ200"/>
  <sheetViews>
    <sheetView showGridLines="true" tabSelected="false" workbookViewId="0">
      <pane ySplit="4" topLeftCell="A5" activePane="bottomLeft" state="frozen"/>
    </sheetView>
  </sheetViews>
  <sheetFormatPr defaultColWidth="10.2857" defaultRowHeight="12.75"/>
  <cols>
    <col min="1" max="1" width="12" customWidth="true"/>
    <col min="2" max="2" width="12.1429" customWidth="true"/>
    <col min="3" max="3" width="9.71429" customWidth="true"/>
    <col min="4" max="4" width="13.4381" customWidth="true"/>
    <col min="5" max="5" width="12.4095" customWidth="true"/>
    <col min="6" max="6" width="13.5714" customWidth="true"/>
    <col min="7" max="7" width="11.4571" customWidth="true"/>
    <col min="8" max="8" width="13.8571" customWidth="true"/>
    <col min="9" max="9" width="13.7524" customWidth="true"/>
    <col min="10" max="15" width="14.4381" customWidth="true"/>
    <col min="16" max="16" width="9.81905" style="678" customWidth="true"/>
    <col min="17" max="17" width="9.3619" style="678" customWidth="true"/>
    <col min="18" max="18" width="26.4571" customWidth="true"/>
    <col min="19" max="19" width="21.7143" style="678" customWidth="true"/>
    <col min="20" max="20" width="12.2762" style="681" customWidth="true"/>
    <col min="21" max="21" width="13.7524" style="680" customWidth="true"/>
    <col min="22" max="22" width="12.8095" style="678" customWidth="true"/>
    <col min="23" max="23" width="9.02857" style="678" customWidth="true"/>
    <col min="24" max="24" width="20.9048" style="678" customWidth="true"/>
    <col min="25" max="25" width="18.8952" customWidth="true"/>
    <col min="26" max="27" width="11.7143" customWidth="true"/>
    <col min="28" max="28" width="12.8095" customWidth="true"/>
    <col min="29" max="30" width="11.7143" customWidth="true"/>
    <col min="31" max="31" width="24.6952" customWidth="true"/>
    <col min="32" max="36" width="11.7143" customWidth="true"/>
  </cols>
  <sheetData>
    <row r="1" spans="1:36" ht="13.5">
      <c r="A1" s="36" t="s">
        <v>42</v>
      </c>
      <c r="B1" s="37" t="s"/>
      <c r="C1" s="37" t="s"/>
      <c r="D1" s="37" t="s"/>
      <c r="E1" s="37" t="s"/>
      <c r="F1" s="37" t="s"/>
      <c r="G1" s="37" t="s"/>
      <c r="H1" s="37" t="s"/>
      <c r="I1" s="37" t="s"/>
      <c r="J1" s="37" t="s"/>
      <c r="K1" s="37" t="s"/>
      <c r="L1" s="37" t="s"/>
      <c r="M1" s="37" t="s"/>
      <c r="N1" s="37" t="s"/>
      <c r="O1" s="37" t="s"/>
      <c r="P1" s="37" t="s"/>
      <c r="Q1" s="38" t="s"/>
      <c r="R1" s="38" t="s"/>
      <c r="S1" s="38" t="s"/>
      <c r="AJ1" s="39" t="s"/>
    </row>
    <row r="2" spans="1:19" ht="13.5">
      <c r="A2" s="36" t="s"/>
      <c r="B2" s="37" t="s"/>
      <c r="C2" s="37" t="s"/>
      <c r="D2" s="37" t="s"/>
      <c r="E2" s="37" t="s"/>
      <c r="F2" s="37" t="s"/>
      <c r="G2" s="37" t="s"/>
      <c r="H2" s="37" t="s"/>
      <c r="I2" s="37" t="s"/>
      <c r="J2" s="37" t="s"/>
      <c r="K2" s="37" t="s"/>
      <c r="L2" s="37" t="s"/>
      <c r="M2" s="37" t="s"/>
      <c r="N2" s="37" t="s"/>
      <c r="O2" s="37" t="s"/>
      <c r="P2" s="37" t="s"/>
      <c r="Q2" s="38" t="s"/>
      <c r="R2" s="38" t="s"/>
      <c r="S2" s="38" t="s"/>
    </row>
    <row r="3" spans="1:24" ht="13.5">
      <c r="A3" s="40" t="s">
        <v>43</v>
      </c>
      <c r="B3" s="40" t="s"/>
      <c r="C3" s="40" t="s"/>
      <c r="D3" s="41" t="s">
        <v>44</v>
      </c>
      <c r="E3" s="42" t="s"/>
      <c r="F3" s="42" t="s"/>
      <c r="G3" s="42" t="s"/>
      <c r="H3" s="42" t="s"/>
      <c r="I3" s="42" t="s"/>
      <c r="J3" s="42" t="s"/>
      <c r="K3" s="42" t="s"/>
      <c r="P3" s="38" t="s"/>
      <c r="Q3" s="38" t="s"/>
      <c r="R3" s="38" t="s"/>
      <c r="S3" s="38" t="s">
        <v>45</v>
      </c>
      <c r="T3" s="8" t="s">
        <v>46</v>
      </c>
      <c r="U3" s="8" t="s">
        <v>47</v>
      </c>
      <c r="V3" s="8" t="s">
        <v>48</v>
      </c>
      <c r="W3" s="8" t="s">
        <v>49</v>
      </c>
      <c r="X3" s="8" t="s">
        <v>50</v>
      </c>
    </row>
    <row r="4" spans="1:25" ht="15" customHeight="true">
      <c r="A4" s="43" t="s">
        <v>51</v>
      </c>
      <c r="B4" s="44" t="s">
        <v>52</v>
      </c>
      <c r="C4" s="44" t="s">
        <v>53</v>
      </c>
      <c r="D4" s="43" t="s">
        <v>54</v>
      </c>
      <c r="E4" s="45" t="s">
        <v>55</v>
      </c>
      <c r="F4" s="45" t="s">
        <v>56</v>
      </c>
      <c r="G4" s="46" t="s">
        <v>57</v>
      </c>
      <c r="H4" s="47" t="s">
        <v>58</v>
      </c>
      <c r="I4" s="47" t="s">
        <v>59</v>
      </c>
      <c r="J4" s="47" t="s">
        <v>60</v>
      </c>
      <c r="K4" s="47" t="s">
        <v>61</v>
      </c>
      <c r="L4" s="45" t="s">
        <v>62</v>
      </c>
      <c r="M4" s="48" t="s">
        <v>63</v>
      </c>
      <c r="N4" s="48" t="s">
        <v>64</v>
      </c>
      <c r="O4" s="48" t="s">
        <v>65</v>
      </c>
      <c r="P4" s="49" t="s">
        <v>66</v>
      </c>
      <c r="Q4" s="50" t="s">
        <v>55</v>
      </c>
      <c r="R4" s="50" t="s">
        <v>56</v>
      </c>
      <c r="S4" s="51" t="s">
        <v>67</v>
      </c>
      <c r="T4" s="38" t="s">
        <v>68</v>
      </c>
      <c r="U4" s="38" t="s"/>
      <c r="V4" s="52" t="s"/>
      <c r="W4" s="38" t="s"/>
      <c r="Y4" s="8" t="s"/>
    </row>
    <row r="5" spans="1:36" ht="24">
      <c r="A5" s="53" t="s">
        <v>69</v>
      </c>
      <c r="B5" s="54" t="s">
        <v>70</v>
      </c>
      <c r="C5" s="55" t="s">
        <v>71</v>
      </c>
      <c r="D5" s="56" t="s">
        <v>72</v>
      </c>
      <c r="E5" s="54" t="s">
        <v>73</v>
      </c>
      <c r="F5" s="54" t="s">
        <v>73</v>
      </c>
      <c r="G5" s="54" t="s">
        <v>74</v>
      </c>
      <c r="H5" s="54" t="s">
        <v>74</v>
      </c>
      <c r="I5" s="54" t="s">
        <v>74</v>
      </c>
      <c r="J5" s="54" t="s">
        <v>74</v>
      </c>
      <c r="K5" s="54" t="s">
        <v>74</v>
      </c>
      <c r="L5" s="54" t="s">
        <v>75</v>
      </c>
      <c r="M5" s="54" t="s">
        <v>75</v>
      </c>
      <c r="N5" s="54" t="s">
        <v>75</v>
      </c>
      <c r="O5" s="54" t="s">
        <v>75</v>
      </c>
      <c r="P5" s="54" t="s">
        <v>75</v>
      </c>
      <c r="Q5" s="51" t="s"/>
      <c r="R5" s="51" t="s"/>
      <c r="S5" s="51" t="s">
        <v>76</v>
      </c>
      <c r="T5" s="8" t="s"/>
      <c r="U5" s="57" t="s"/>
      <c r="V5" s="57" t="s"/>
      <c r="W5" s="57" t="s"/>
      <c r="X5" s="57" t="s"/>
      <c r="Y5" s="58" t="s"/>
      <c r="Z5" s="59" t="s"/>
      <c r="AA5" s="59" t="s"/>
      <c r="AB5" s="59" t="s"/>
      <c r="AC5" s="59" t="s"/>
      <c r="AD5" s="59" t="s"/>
      <c r="AE5" s="59" t="s"/>
      <c r="AF5" s="60" t="s"/>
      <c r="AG5" s="59" t="s"/>
      <c r="AH5" s="59" t="s"/>
      <c r="AI5" s="59" t="s"/>
      <c r="AJ5" s="59" t="s"/>
    </row>
    <row r="6" spans="1:36" ht="24">
      <c r="A6" s="61" t="s">
        <v>77</v>
      </c>
      <c r="B6" s="54" t="s">
        <v>78</v>
      </c>
      <c r="C6" s="55" t="s">
        <v>79</v>
      </c>
      <c r="D6" s="56" t="s">
        <v>72</v>
      </c>
      <c r="E6" s="54" t="s">
        <v>73</v>
      </c>
      <c r="F6" s="54" t="s">
        <v>73</v>
      </c>
      <c r="G6" s="54" t="s">
        <v>74</v>
      </c>
      <c r="H6" s="54" t="s">
        <v>74</v>
      </c>
      <c r="I6" s="54" t="s">
        <v>74</v>
      </c>
      <c r="J6" s="54" t="s">
        <v>74</v>
      </c>
      <c r="K6" s="54" t="s">
        <v>74</v>
      </c>
      <c r="L6" s="54" t="s">
        <v>80</v>
      </c>
      <c r="M6" s="54" t="s">
        <v>80</v>
      </c>
      <c r="N6" s="54" t="s">
        <v>80</v>
      </c>
      <c r="O6" s="54" t="s">
        <v>80</v>
      </c>
      <c r="P6" s="54" t="s">
        <v>80</v>
      </c>
      <c r="Q6" s="51" t="s"/>
      <c r="R6" s="51" t="s"/>
      <c r="S6" s="51" t="s">
        <v>81</v>
      </c>
      <c r="T6" s="62" t="s"/>
      <c r="U6" s="57" t="s"/>
      <c r="V6" s="57" t="s"/>
      <c r="W6" s="57" t="s"/>
      <c r="X6" s="57" t="s"/>
      <c r="Y6" s="57" t="s"/>
      <c r="Z6" s="59" t="s"/>
      <c r="AA6" s="59" t="s"/>
      <c r="AB6" s="59" t="s"/>
      <c r="AC6" s="59" t="s"/>
      <c r="AD6" s="59" t="s"/>
      <c r="AE6" s="59" t="s"/>
      <c r="AF6" s="60" t="s"/>
      <c r="AG6" s="59" t="s"/>
      <c r="AH6" s="59" t="s"/>
      <c r="AI6" s="59" t="s"/>
      <c r="AJ6" s="59" t="s"/>
    </row>
    <row r="7" spans="1:36" ht="24">
      <c r="A7" s="63" t="s">
        <v>82</v>
      </c>
      <c r="B7" s="54" t="s">
        <v>78</v>
      </c>
      <c r="C7" s="55" t="s">
        <v>71</v>
      </c>
      <c r="D7" s="56" t="s">
        <v>72</v>
      </c>
      <c r="E7" s="54" t="s">
        <v>73</v>
      </c>
      <c r="F7" s="54" t="s">
        <v>73</v>
      </c>
      <c r="G7" s="54" t="s">
        <v>74</v>
      </c>
      <c r="H7" s="54" t="s">
        <v>74</v>
      </c>
      <c r="I7" s="54" t="s">
        <v>74</v>
      </c>
      <c r="J7" s="54" t="s">
        <v>74</v>
      </c>
      <c r="K7" s="54" t="s">
        <v>74</v>
      </c>
      <c r="L7" s="54" t="s">
        <v>80</v>
      </c>
      <c r="M7" s="54" t="s">
        <v>80</v>
      </c>
      <c r="N7" s="54" t="s">
        <v>80</v>
      </c>
      <c r="O7" s="54" t="s">
        <v>80</v>
      </c>
      <c r="P7" s="54" t="s">
        <v>80</v>
      </c>
      <c r="Q7" s="55" t="s"/>
      <c r="R7" s="55" t="s"/>
      <c r="S7" s="54" t="s">
        <v>76</v>
      </c>
      <c r="T7" s="62" t="s"/>
      <c r="U7" s="57" t="s"/>
      <c r="V7" s="57" t="s"/>
      <c r="W7" s="57" t="s"/>
      <c r="X7" s="57" t="s"/>
      <c r="Y7" s="57" t="s"/>
      <c r="Z7" s="59" t="s"/>
      <c r="AA7" s="59" t="s"/>
      <c r="AB7" s="59" t="s"/>
      <c r="AC7" s="59" t="s"/>
      <c r="AD7" s="59" t="s"/>
      <c r="AE7" s="59" t="s"/>
      <c r="AF7" s="60" t="s"/>
      <c r="AG7" s="59" t="s"/>
      <c r="AH7" s="59" t="s"/>
      <c r="AI7" s="59" t="s"/>
      <c r="AJ7" s="59" t="s"/>
    </row>
    <row r="8" spans="1:36" ht="24">
      <c r="A8" s="63" t="s">
        <v>83</v>
      </c>
      <c r="B8" s="54" t="s">
        <v>78</v>
      </c>
      <c r="C8" s="55" t="s">
        <v>71</v>
      </c>
      <c r="D8" s="56" t="s">
        <v>72</v>
      </c>
      <c r="E8" s="54" t="s">
        <v>73</v>
      </c>
      <c r="F8" s="54" t="s">
        <v>73</v>
      </c>
      <c r="G8" s="54" t="s">
        <v>74</v>
      </c>
      <c r="H8" s="54" t="s">
        <v>74</v>
      </c>
      <c r="I8" s="54" t="s">
        <v>74</v>
      </c>
      <c r="J8" s="54" t="s">
        <v>74</v>
      </c>
      <c r="K8" s="54" t="s">
        <v>74</v>
      </c>
      <c r="L8" s="54" t="s">
        <v>75</v>
      </c>
      <c r="M8" s="54" t="s">
        <v>75</v>
      </c>
      <c r="N8" s="54" t="s">
        <v>75</v>
      </c>
      <c r="O8" s="54" t="s">
        <v>75</v>
      </c>
      <c r="P8" s="54" t="s">
        <v>75</v>
      </c>
      <c r="Q8" s="51" t="s"/>
      <c r="R8" s="51" t="s"/>
      <c r="S8" s="51" t="s">
        <v>76</v>
      </c>
      <c r="T8" s="62" t="s"/>
      <c r="U8" s="57" t="s"/>
      <c r="V8" s="57" t="s"/>
      <c r="W8" s="57" t="s"/>
      <c r="X8" s="57" t="s"/>
      <c r="Y8" s="57" t="s"/>
      <c r="Z8" s="59" t="s"/>
      <c r="AA8" s="59" t="s"/>
      <c r="AB8" s="59" t="s"/>
      <c r="AC8" s="59" t="s"/>
      <c r="AD8" s="59" t="s"/>
      <c r="AE8" s="59" t="s"/>
      <c r="AF8" s="60" t="s"/>
      <c r="AG8" s="59" t="s"/>
      <c r="AH8" s="59" t="s"/>
      <c r="AI8" s="59" t="s"/>
      <c r="AJ8" s="59" t="s"/>
    </row>
    <row r="9" spans="1:36" ht="27.75" customHeight="true">
      <c r="A9" s="61" t="s">
        <v>84</v>
      </c>
      <c r="B9" s="54" t="s">
        <v>78</v>
      </c>
      <c r="C9" s="55" t="s">
        <v>85</v>
      </c>
      <c r="D9" s="56" t="s">
        <v>72</v>
      </c>
      <c r="E9" s="54" t="s">
        <v>73</v>
      </c>
      <c r="F9" s="54" t="s">
        <v>73</v>
      </c>
      <c r="G9" s="54" t="s">
        <v>86</v>
      </c>
      <c r="H9" s="54" t="s">
        <v>86</v>
      </c>
      <c r="I9" s="54" t="s">
        <v>87</v>
      </c>
      <c r="J9" s="54" t="s">
        <v>87</v>
      </c>
      <c r="K9" s="54" t="s">
        <v>87</v>
      </c>
      <c r="L9" s="54" t="s">
        <v>87</v>
      </c>
      <c r="M9" s="54" t="s">
        <v>87</v>
      </c>
      <c r="N9" s="54" t="s">
        <v>87</v>
      </c>
      <c r="O9" s="54" t="s">
        <v>87</v>
      </c>
      <c r="P9" s="54" t="s">
        <v>87</v>
      </c>
      <c r="Q9" s="51" t="s"/>
      <c r="R9" s="51" t="s"/>
      <c r="S9" s="51" t="s">
        <v>81</v>
      </c>
      <c r="T9" s="62" t="s"/>
      <c r="U9" s="57" t="s"/>
      <c r="V9" s="57" t="s"/>
      <c r="W9" s="57" t="s"/>
      <c r="X9" s="57" t="s"/>
      <c r="Y9" s="57" t="s"/>
      <c r="Z9" s="59" t="s"/>
      <c r="AA9" s="59" t="s"/>
      <c r="AB9" s="59" t="s"/>
      <c r="AC9" s="59" t="s"/>
      <c r="AD9" s="59" t="s"/>
      <c r="AE9" s="59" t="s"/>
      <c r="AF9" s="60" t="s"/>
      <c r="AG9" s="59" t="s"/>
      <c r="AH9" s="59" t="s"/>
      <c r="AI9" s="59" t="s"/>
      <c r="AJ9" s="59" t="s"/>
    </row>
    <row r="10" spans="1:36" ht="30" customHeight="true">
      <c r="A10" s="61" t="s">
        <v>88</v>
      </c>
      <c r="B10" s="54" t="s">
        <v>78</v>
      </c>
      <c r="C10" s="55" t="s">
        <v>85</v>
      </c>
      <c r="D10" s="56" t="s">
        <v>72</v>
      </c>
      <c r="E10" s="54" t="s">
        <v>73</v>
      </c>
      <c r="F10" s="54" t="s">
        <v>73</v>
      </c>
      <c r="G10" s="54" t="s">
        <v>89</v>
      </c>
      <c r="H10" s="54" t="s">
        <v>89</v>
      </c>
      <c r="I10" s="54" t="s">
        <v>89</v>
      </c>
      <c r="J10" s="54" t="s">
        <v>89</v>
      </c>
      <c r="K10" s="54" t="s">
        <v>89</v>
      </c>
      <c r="L10" s="54" t="s">
        <v>89</v>
      </c>
      <c r="M10" s="54" t="s">
        <v>90</v>
      </c>
      <c r="N10" s="54" t="s">
        <v>90</v>
      </c>
      <c r="O10" s="54" t="s">
        <v>90</v>
      </c>
      <c r="P10" s="54" t="s">
        <v>90</v>
      </c>
      <c r="Q10" s="55" t="s"/>
      <c r="R10" s="55" t="s"/>
      <c r="S10" s="54" t="s">
        <v>81</v>
      </c>
      <c r="T10" s="62" t="s"/>
      <c r="U10" s="57" t="s"/>
      <c r="V10" s="57" t="s"/>
      <c r="W10" s="57" t="s"/>
      <c r="X10" s="57" t="s"/>
      <c r="Y10" s="57" t="s"/>
      <c r="Z10" s="59" t="s"/>
      <c r="AA10" s="59" t="s"/>
      <c r="AB10" s="59" t="s"/>
      <c r="AC10" s="59" t="s"/>
      <c r="AD10" s="59" t="s"/>
      <c r="AE10" s="59" t="s"/>
      <c r="AF10" s="60" t="s"/>
      <c r="AG10" s="59" t="s"/>
      <c r="AH10" s="59" t="s"/>
      <c r="AI10" s="59" t="s"/>
      <c r="AJ10" s="59" t="s"/>
    </row>
    <row r="11" spans="1:36" ht="13.5">
      <c r="A11" s="61" t="s">
        <v>91</v>
      </c>
      <c r="B11" s="54" t="s">
        <v>78</v>
      </c>
      <c r="C11" s="55" t="s">
        <v>85</v>
      </c>
      <c r="D11" s="56" t="s">
        <v>72</v>
      </c>
      <c r="E11" s="54" t="s">
        <v>92</v>
      </c>
      <c r="F11" s="54" t="s">
        <v>92</v>
      </c>
      <c r="G11" s="54" t="s">
        <v>93</v>
      </c>
      <c r="H11" s="54" t="s">
        <v>93</v>
      </c>
      <c r="I11" s="54" t="s">
        <v>93</v>
      </c>
      <c r="J11" s="54" t="s">
        <v>93</v>
      </c>
      <c r="K11" s="54" t="s">
        <v>90</v>
      </c>
      <c r="L11" s="54" t="s">
        <v>90</v>
      </c>
      <c r="M11" s="54" t="s">
        <v>90</v>
      </c>
      <c r="N11" s="54" t="s">
        <v>90</v>
      </c>
      <c r="O11" s="54" t="s">
        <v>90</v>
      </c>
      <c r="P11" s="54" t="s">
        <v>90</v>
      </c>
      <c r="Q11" s="51" t="s"/>
      <c r="R11" s="51" t="s"/>
      <c r="S11" s="51" t="s">
        <v>81</v>
      </c>
      <c r="T11" s="62" t="s"/>
      <c r="U11" s="57" t="s"/>
      <c r="V11" s="57" t="s"/>
      <c r="W11" s="57" t="s"/>
      <c r="X11" s="57" t="s"/>
      <c r="Y11" s="57" t="s"/>
      <c r="Z11" s="59" t="s"/>
      <c r="AA11" s="59" t="s"/>
      <c r="AB11" s="59" t="s"/>
      <c r="AC11" s="59" t="s"/>
      <c r="AD11" s="59" t="s"/>
      <c r="AE11" s="59" t="s"/>
      <c r="AF11" s="59" t="s"/>
      <c r="AG11" s="59" t="s"/>
      <c r="AH11" s="59" t="s"/>
      <c r="AI11" s="59" t="s"/>
      <c r="AJ11" s="59" t="s"/>
    </row>
    <row r="12" spans="1:36" ht="24">
      <c r="A12" s="61" t="s">
        <v>94</v>
      </c>
      <c r="B12" s="54" t="s">
        <v>95</v>
      </c>
      <c r="C12" s="55" t="s">
        <v>96</v>
      </c>
      <c r="D12" s="56" t="s">
        <v>72</v>
      </c>
      <c r="E12" s="54" t="s">
        <v>73</v>
      </c>
      <c r="F12" s="54" t="s">
        <v>73</v>
      </c>
      <c r="G12" s="54" t="s">
        <v>74</v>
      </c>
      <c r="H12" s="54" t="s">
        <v>74</v>
      </c>
      <c r="I12" s="54" t="s">
        <v>74</v>
      </c>
      <c r="J12" s="54" t="s">
        <v>74</v>
      </c>
      <c r="K12" s="54" t="s">
        <v>97</v>
      </c>
      <c r="L12" s="54" t="s">
        <v>97</v>
      </c>
      <c r="M12" s="54" t="s">
        <v>97</v>
      </c>
      <c r="N12" s="54" t="s">
        <v>97</v>
      </c>
      <c r="O12" s="54" t="s">
        <v>97</v>
      </c>
      <c r="P12" s="54" t="s">
        <v>98</v>
      </c>
      <c r="Q12" s="51" t="s"/>
      <c r="R12" s="64" t="s"/>
      <c r="S12" s="65" t="s">
        <v>99</v>
      </c>
      <c r="T12" s="62" t="s"/>
      <c r="U12" s="57" t="s"/>
      <c r="V12" s="57" t="s"/>
      <c r="W12" s="57" t="s"/>
      <c r="X12" s="57" t="s"/>
      <c r="Y12" s="57" t="s"/>
      <c r="Z12" s="59" t="s"/>
      <c r="AA12" s="59" t="s"/>
      <c r="AB12" s="59" t="s"/>
      <c r="AC12" s="59" t="s"/>
      <c r="AD12" s="59" t="s"/>
      <c r="AE12" s="59" t="s"/>
      <c r="AF12" s="59" t="s"/>
      <c r="AG12" s="59" t="s"/>
      <c r="AH12" s="59" t="s"/>
      <c r="AI12" s="59" t="s"/>
      <c r="AJ12" s="59" t="s"/>
    </row>
    <row r="13" spans="1:36" ht="24">
      <c r="A13" s="61" t="s">
        <v>100</v>
      </c>
      <c r="B13" s="54" t="s">
        <v>101</v>
      </c>
      <c r="C13" s="55" t="s">
        <v>96</v>
      </c>
      <c r="D13" s="56" t="s">
        <v>72</v>
      </c>
      <c r="E13" s="54" t="s">
        <v>73</v>
      </c>
      <c r="F13" s="54" t="s">
        <v>73</v>
      </c>
      <c r="G13" s="54" t="s">
        <v>86</v>
      </c>
      <c r="H13" s="54" t="s">
        <v>93</v>
      </c>
      <c r="I13" s="54" t="s">
        <v>93</v>
      </c>
      <c r="J13" s="54" t="s">
        <v>93</v>
      </c>
      <c r="K13" s="54" t="s">
        <v>93</v>
      </c>
      <c r="L13" s="54" t="s">
        <v>93</v>
      </c>
      <c r="M13" s="54" t="s">
        <v>93</v>
      </c>
      <c r="N13" s="54" t="s">
        <v>93</v>
      </c>
      <c r="O13" s="54" t="s">
        <v>93</v>
      </c>
      <c r="P13" s="54" t="s">
        <v>102</v>
      </c>
      <c r="Q13" s="51" t="s"/>
      <c r="R13" s="64" t="s"/>
      <c r="S13" s="65" t="s">
        <v>103</v>
      </c>
      <c r="T13" s="62" t="s"/>
      <c r="U13" s="57" t="s"/>
      <c r="V13" s="57" t="s"/>
      <c r="W13" s="57" t="s"/>
      <c r="X13" s="57" t="s"/>
      <c r="Y13" s="57" t="s"/>
      <c r="Z13" s="59" t="s"/>
      <c r="AA13" s="59" t="s"/>
      <c r="AB13" s="59" t="s"/>
      <c r="AC13" s="59" t="s"/>
      <c r="AD13" s="59" t="s"/>
      <c r="AE13" s="59" t="s"/>
      <c r="AF13" s="59" t="s"/>
      <c r="AG13" s="59" t="s"/>
      <c r="AH13" s="59" t="s"/>
      <c r="AI13" s="59" t="s"/>
      <c r="AJ13" s="59" t="s"/>
    </row>
    <row r="14" spans="1:36" ht="13.5">
      <c r="A14" s="61" t="s">
        <v>104</v>
      </c>
      <c r="B14" s="54" t="s">
        <v>101</v>
      </c>
      <c r="C14" s="55" t="s">
        <v>85</v>
      </c>
      <c r="D14" s="56" t="s">
        <v>72</v>
      </c>
      <c r="E14" s="54" t="s"/>
      <c r="F14" s="54" t="s"/>
      <c r="G14" s="54" t="s">
        <v>93</v>
      </c>
      <c r="H14" s="54" t="s">
        <v>74</v>
      </c>
      <c r="I14" s="54" t="s">
        <v>74</v>
      </c>
      <c r="J14" s="54" t="s">
        <v>74</v>
      </c>
      <c r="K14" s="54" t="s">
        <v>93</v>
      </c>
      <c r="L14" s="54" t="s">
        <v>93</v>
      </c>
      <c r="M14" s="54" t="s">
        <v>93</v>
      </c>
      <c r="N14" s="54" t="s">
        <v>93</v>
      </c>
      <c r="O14" s="54" t="s">
        <v>93</v>
      </c>
      <c r="P14" s="54" t="s">
        <v>93</v>
      </c>
      <c r="Q14" s="64" t="s"/>
      <c r="R14" s="64" t="s"/>
      <c r="S14" s="65" t="s">
        <v>105</v>
      </c>
      <c r="T14" s="62" t="s"/>
      <c r="U14" s="57" t="s"/>
      <c r="V14" s="57" t="s"/>
      <c r="W14" s="57" t="s"/>
      <c r="X14" s="57" t="s"/>
      <c r="Y14" s="57" t="s"/>
      <c r="Z14" s="59" t="s"/>
      <c r="AA14" s="59" t="s"/>
      <c r="AB14" s="59" t="s"/>
      <c r="AC14" s="59" t="s"/>
      <c r="AD14" s="59" t="s"/>
      <c r="AE14" s="59" t="s"/>
      <c r="AF14" s="59" t="s"/>
      <c r="AG14" s="59" t="s"/>
      <c r="AH14" s="59" t="s"/>
      <c r="AI14" s="59" t="s"/>
      <c r="AJ14" s="59" t="s"/>
    </row>
    <row r="15" spans="1:36" ht="13.5">
      <c r="A15" s="61" t="s">
        <v>106</v>
      </c>
      <c r="B15" s="54" t="s">
        <v>101</v>
      </c>
      <c r="C15" s="55" t="s">
        <v>85</v>
      </c>
      <c r="D15" s="56" t="s">
        <v>72</v>
      </c>
      <c r="E15" s="54" t="s">
        <v>73</v>
      </c>
      <c r="F15" s="54" t="s">
        <v>73</v>
      </c>
      <c r="G15" s="54" t="s">
        <v>86</v>
      </c>
      <c r="H15" s="54" t="s">
        <v>74</v>
      </c>
      <c r="I15" s="54" t="s">
        <v>74</v>
      </c>
      <c r="J15" s="54" t="s">
        <v>74</v>
      </c>
      <c r="K15" s="54" t="s">
        <v>93</v>
      </c>
      <c r="L15" s="54" t="s">
        <v>93</v>
      </c>
      <c r="M15" s="54" t="s">
        <v>93</v>
      </c>
      <c r="N15" s="54" t="s">
        <v>93</v>
      </c>
      <c r="O15" s="54" t="s">
        <v>93</v>
      </c>
      <c r="P15" s="54" t="s">
        <v>93</v>
      </c>
      <c r="Q15" s="55" t="s"/>
      <c r="R15" s="66" t="s"/>
      <c r="S15" s="65" t="s">
        <v>107</v>
      </c>
      <c r="T15" s="62" t="s"/>
      <c r="U15" s="8" t="s"/>
      <c r="V15" s="57" t="s"/>
      <c r="W15" s="57" t="s"/>
      <c r="X15" s="57" t="s"/>
      <c r="Y15" s="58" t="s"/>
      <c r="Z15" s="59" t="s"/>
      <c r="AA15" s="59" t="s"/>
      <c r="AB15" s="59" t="s"/>
      <c r="AC15" s="59" t="s"/>
      <c r="AD15" s="59" t="s"/>
      <c r="AE15" s="59" t="s"/>
      <c r="AF15" s="60" t="s"/>
      <c r="AG15" s="59" t="s"/>
      <c r="AH15" s="59" t="s"/>
      <c r="AI15" s="59" t="s"/>
      <c r="AJ15" s="59" t="s"/>
    </row>
    <row r="16" spans="1:36" ht="13.5">
      <c r="A16" s="61" t="s">
        <v>108</v>
      </c>
      <c r="B16" s="54" t="s">
        <v>101</v>
      </c>
      <c r="C16" s="55" t="s">
        <v>85</v>
      </c>
      <c r="D16" s="56" t="s">
        <v>72</v>
      </c>
      <c r="E16" s="54" t="s">
        <v>73</v>
      </c>
      <c r="F16" s="54" t="s">
        <v>73</v>
      </c>
      <c r="G16" s="54" t="s">
        <v>86</v>
      </c>
      <c r="H16" s="54" t="s">
        <v>93</v>
      </c>
      <c r="I16" s="54" t="s">
        <v>93</v>
      </c>
      <c r="J16" s="54" t="s">
        <v>93</v>
      </c>
      <c r="K16" s="54" t="s">
        <v>93</v>
      </c>
      <c r="L16" s="54" t="s">
        <v>93</v>
      </c>
      <c r="M16" s="54" t="s">
        <v>93</v>
      </c>
      <c r="N16" s="54" t="s">
        <v>93</v>
      </c>
      <c r="O16" s="54" t="s">
        <v>93</v>
      </c>
      <c r="P16" s="54" t="s">
        <v>93</v>
      </c>
      <c r="Q16" s="55" t="s"/>
      <c r="R16" s="66" t="s"/>
      <c r="S16" s="65" t="s">
        <v>109</v>
      </c>
      <c r="T16" s="62" t="s"/>
      <c r="U16" s="8" t="s"/>
      <c r="V16" s="57" t="s"/>
      <c r="W16" s="57" t="s"/>
      <c r="X16" s="57" t="s"/>
      <c r="Y16" s="58" t="s"/>
      <c r="Z16" s="59" t="s"/>
      <c r="AA16" s="59" t="s"/>
      <c r="AB16" s="59" t="s"/>
      <c r="AC16" s="59" t="s"/>
      <c r="AD16" s="59" t="s"/>
      <c r="AE16" s="59" t="s"/>
      <c r="AF16" s="60" t="s"/>
      <c r="AG16" s="59" t="s"/>
      <c r="AH16" s="59" t="s"/>
      <c r="AI16" s="59" t="s"/>
      <c r="AJ16" s="59" t="s"/>
    </row>
    <row r="17" spans="1:36" ht="13.5">
      <c r="A17" s="61" t="s">
        <v>110</v>
      </c>
      <c r="B17" s="54" t="s">
        <v>101</v>
      </c>
      <c r="C17" s="55" t="s">
        <v>79</v>
      </c>
      <c r="D17" s="56" t="s">
        <v>72</v>
      </c>
      <c r="E17" s="54" t="s">
        <v>73</v>
      </c>
      <c r="F17" s="54" t="s">
        <v>73</v>
      </c>
      <c r="G17" s="54" t="s">
        <v>86</v>
      </c>
      <c r="H17" s="54" t="s">
        <v>74</v>
      </c>
      <c r="I17" s="54" t="s">
        <v>74</v>
      </c>
      <c r="J17" s="54" t="s">
        <v>74</v>
      </c>
      <c r="K17" s="54" t="s">
        <v>93</v>
      </c>
      <c r="L17" s="54" t="s">
        <v>93</v>
      </c>
      <c r="M17" s="54" t="s">
        <v>93</v>
      </c>
      <c r="N17" s="54" t="s">
        <v>93</v>
      </c>
      <c r="O17" s="54" t="s">
        <v>93</v>
      </c>
      <c r="P17" s="54" t="s">
        <v>93</v>
      </c>
      <c r="Q17" s="55" t="s"/>
      <c r="R17" s="66" t="s"/>
      <c r="S17" s="65" t="s">
        <v>109</v>
      </c>
      <c r="T17" s="62" t="s"/>
      <c r="U17" s="57" t="s"/>
      <c r="V17" s="57" t="s"/>
      <c r="W17" s="57" t="s"/>
      <c r="X17" s="57" t="s"/>
      <c r="Y17" s="57" t="s"/>
      <c r="Z17" s="59" t="s"/>
      <c r="AA17" s="59" t="s"/>
      <c r="AB17" s="59" t="s"/>
      <c r="AC17" s="59" t="s"/>
      <c r="AD17" s="59" t="s"/>
      <c r="AE17" s="59" t="s"/>
      <c r="AF17" s="60" t="s"/>
      <c r="AG17" s="59" t="s"/>
      <c r="AH17" s="59" t="s"/>
      <c r="AI17" s="59" t="s"/>
      <c r="AJ17" s="59" t="s"/>
    </row>
    <row r="18" spans="1:36" ht="13.5">
      <c r="A18" s="61" t="s">
        <v>111</v>
      </c>
      <c r="B18" s="54" t="s">
        <v>101</v>
      </c>
      <c r="C18" s="55" t="s">
        <v>71</v>
      </c>
      <c r="D18" s="56" t="s">
        <v>72</v>
      </c>
      <c r="E18" s="54" t="s">
        <v>73</v>
      </c>
      <c r="F18" s="54" t="s">
        <v>73</v>
      </c>
      <c r="G18" s="54" t="s">
        <v>86</v>
      </c>
      <c r="H18" s="54" t="s">
        <v>74</v>
      </c>
      <c r="I18" s="54" t="s">
        <v>74</v>
      </c>
      <c r="J18" s="54" t="s">
        <v>74</v>
      </c>
      <c r="K18" s="54" t="s">
        <v>97</v>
      </c>
      <c r="L18" s="54" t="s">
        <v>97</v>
      </c>
      <c r="M18" s="54" t="s">
        <v>97</v>
      </c>
      <c r="N18" s="54" t="s">
        <v>97</v>
      </c>
      <c r="O18" s="54" t="s">
        <v>97</v>
      </c>
      <c r="P18" s="54" t="s">
        <v>97</v>
      </c>
      <c r="Q18" s="55" t="s"/>
      <c r="R18" s="66" t="s"/>
      <c r="S18" s="65" t="s">
        <v>112</v>
      </c>
      <c r="T18" s="62" t="s"/>
      <c r="U18" s="57" t="s"/>
      <c r="V18" s="57" t="s"/>
      <c r="W18" s="57" t="s"/>
      <c r="X18" s="57" t="s"/>
      <c r="Y18" s="57" t="s"/>
      <c r="Z18" s="59" t="s"/>
      <c r="AA18" s="59" t="s"/>
      <c r="AB18" s="59" t="s"/>
      <c r="AC18" s="59" t="s"/>
      <c r="AD18" s="59" t="s"/>
      <c r="AE18" s="59" t="s"/>
      <c r="AF18" s="60" t="s"/>
      <c r="AG18" s="59" t="s"/>
      <c r="AH18" s="59" t="s"/>
      <c r="AI18" s="59" t="s"/>
      <c r="AJ18" s="59" t="s"/>
    </row>
    <row r="19" spans="1:36" ht="24">
      <c r="A19" s="61" t="s">
        <v>113</v>
      </c>
      <c r="B19" s="54" t="s">
        <v>114</v>
      </c>
      <c r="C19" s="55" t="s">
        <v>115</v>
      </c>
      <c r="D19" s="56" t="s">
        <v>72</v>
      </c>
      <c r="E19" s="54" t="s">
        <v>73</v>
      </c>
      <c r="F19" s="54" t="s">
        <v>73</v>
      </c>
      <c r="G19" s="54" t="s">
        <v>89</v>
      </c>
      <c r="H19" s="54" t="s">
        <v>89</v>
      </c>
      <c r="I19" s="54" t="s">
        <v>116</v>
      </c>
      <c r="J19" s="54" t="s">
        <v>116</v>
      </c>
      <c r="K19" s="54" t="s">
        <v>89</v>
      </c>
      <c r="L19" s="54" t="s">
        <v>89</v>
      </c>
      <c r="M19" s="54" t="s">
        <v>117</v>
      </c>
      <c r="N19" s="54" t="s">
        <v>117</v>
      </c>
      <c r="O19" s="54" t="s">
        <v>117</v>
      </c>
      <c r="P19" s="54" t="s">
        <v>117</v>
      </c>
      <c r="Q19" s="55" t="s"/>
      <c r="R19" s="66" t="s"/>
      <c r="S19" s="65" t="s">
        <v>118</v>
      </c>
      <c r="T19" s="62" t="s"/>
      <c r="U19" s="57" t="s"/>
      <c r="V19" s="57" t="s"/>
      <c r="W19" s="57" t="s"/>
      <c r="X19" s="57" t="s"/>
      <c r="Y19" s="57" t="s"/>
      <c r="Z19" s="59" t="s"/>
      <c r="AA19" s="59" t="s"/>
      <c r="AB19" s="59" t="s"/>
      <c r="AC19" s="59" t="s"/>
      <c r="AD19" s="59" t="s"/>
      <c r="AE19" s="59" t="s"/>
      <c r="AF19" s="60" t="s"/>
      <c r="AG19" s="59" t="s"/>
      <c r="AH19" s="59" t="s"/>
      <c r="AI19" s="59" t="s"/>
      <c r="AJ19" s="59" t="s"/>
    </row>
    <row r="20" spans="1:36" ht="24">
      <c r="A20" s="61" t="s">
        <v>119</v>
      </c>
      <c r="B20" s="54" t="s">
        <v>114</v>
      </c>
      <c r="C20" s="55" t="s">
        <v>115</v>
      </c>
      <c r="D20" s="56" t="s">
        <v>72</v>
      </c>
      <c r="E20" s="54" t="s">
        <v>73</v>
      </c>
      <c r="F20" s="54" t="s">
        <v>73</v>
      </c>
      <c r="G20" s="54" t="s">
        <v>89</v>
      </c>
      <c r="H20" s="54" t="s">
        <v>89</v>
      </c>
      <c r="I20" s="54" t="s">
        <v>120</v>
      </c>
      <c r="J20" s="54" t="s">
        <v>120</v>
      </c>
      <c r="K20" s="54" t="s">
        <v>89</v>
      </c>
      <c r="L20" s="54" t="s">
        <v>89</v>
      </c>
      <c r="M20" s="54" t="s">
        <v>117</v>
      </c>
      <c r="N20" s="54" t="s">
        <v>117</v>
      </c>
      <c r="O20" s="54" t="s">
        <v>117</v>
      </c>
      <c r="P20" s="54" t="s">
        <v>117</v>
      </c>
      <c r="Q20" s="55" t="s"/>
      <c r="R20" s="66" t="s"/>
      <c r="S20" s="65" t="s">
        <v>118</v>
      </c>
      <c r="T20" s="62" t="s"/>
      <c r="U20" s="57" t="s"/>
      <c r="V20" s="57" t="s"/>
      <c r="W20" s="57" t="s"/>
      <c r="X20" s="57" t="s"/>
      <c r="Y20" s="67" t="s"/>
      <c r="Z20" s="68" t="s"/>
      <c r="AA20" s="68" t="s"/>
      <c r="AB20" s="68" t="s"/>
      <c r="AC20" s="68" t="s"/>
      <c r="AD20" s="68" t="s"/>
      <c r="AE20" s="68" t="s"/>
      <c r="AF20" s="69" t="s"/>
      <c r="AG20" s="68" t="s"/>
      <c r="AH20" s="68" t="s"/>
      <c r="AI20" s="68" t="s"/>
      <c r="AJ20" s="68" t="s"/>
    </row>
    <row r="21" spans="1:36" ht="24">
      <c r="A21" s="70" t="s">
        <v>121</v>
      </c>
      <c r="B21" s="54" t="s">
        <v>70</v>
      </c>
      <c r="C21" s="55" t="s">
        <v>122</v>
      </c>
      <c r="D21" s="71" t="s">
        <v>123</v>
      </c>
      <c r="E21" s="54" t="s">
        <v>86</v>
      </c>
      <c r="F21" s="54" t="s">
        <v>86</v>
      </c>
      <c r="G21" s="54" t="s">
        <v>86</v>
      </c>
      <c r="H21" s="54" t="s">
        <v>86</v>
      </c>
      <c r="I21" s="54" t="s">
        <v>124</v>
      </c>
      <c r="J21" s="54" t="s">
        <v>124</v>
      </c>
      <c r="K21" s="54" t="s">
        <v>124</v>
      </c>
      <c r="L21" s="54" t="s">
        <v>125</v>
      </c>
      <c r="M21" s="54" t="s">
        <v>125</v>
      </c>
      <c r="N21" s="54" t="s">
        <v>125</v>
      </c>
      <c r="O21" s="54" t="s">
        <v>125</v>
      </c>
      <c r="P21" s="54" t="s">
        <v>125</v>
      </c>
      <c r="Q21" s="51" t="s"/>
      <c r="R21" s="51" t="s"/>
      <c r="S21" s="51" t="s">
        <v>126</v>
      </c>
      <c r="T21" s="62" t="s"/>
      <c r="U21" s="57" t="s"/>
      <c r="V21" s="57" t="s"/>
      <c r="W21" s="57" t="s"/>
      <c r="X21" s="57" t="s"/>
      <c r="Y21" s="58" t="s"/>
      <c r="Z21" s="59" t="s"/>
      <c r="AA21" s="59" t="s"/>
      <c r="AB21" s="59" t="s"/>
      <c r="AC21" s="59" t="s"/>
      <c r="AD21" s="59" t="s"/>
      <c r="AE21" s="59" t="s"/>
      <c r="AF21" s="60" t="s"/>
      <c r="AG21" s="59" t="s"/>
      <c r="AH21" s="59" t="s"/>
      <c r="AI21" s="59" t="s"/>
      <c r="AJ21" s="59" t="s"/>
    </row>
    <row r="22" spans="1:36" ht="24">
      <c r="A22" s="63" t="s">
        <v>127</v>
      </c>
      <c r="B22" s="54" t="s">
        <v>78</v>
      </c>
      <c r="C22" s="55" t="s">
        <v>96</v>
      </c>
      <c r="D22" s="71" t="s">
        <v>123</v>
      </c>
      <c r="E22" s="54" t="s">
        <v>89</v>
      </c>
      <c r="F22" s="54" t="s">
        <v>89</v>
      </c>
      <c r="G22" s="54" t="s">
        <v>89</v>
      </c>
      <c r="H22" s="54" t="s">
        <v>89</v>
      </c>
      <c r="I22" s="54" t="s">
        <v>89</v>
      </c>
      <c r="J22" s="54" t="s">
        <v>89</v>
      </c>
      <c r="K22" s="54" t="s">
        <v>89</v>
      </c>
      <c r="L22" s="54" t="s">
        <v>89</v>
      </c>
      <c r="M22" s="54" t="s">
        <v>128</v>
      </c>
      <c r="N22" s="54" t="s">
        <v>128</v>
      </c>
      <c r="O22" s="54" t="s">
        <v>128</v>
      </c>
      <c r="P22" s="54" t="s">
        <v>128</v>
      </c>
      <c r="Q22" s="51" t="s"/>
      <c r="R22" s="51" t="s"/>
      <c r="S22" s="51" t="s">
        <v>129</v>
      </c>
      <c r="T22" s="62" t="s"/>
      <c r="U22" s="57" t="s"/>
      <c r="V22" s="57" t="s"/>
      <c r="W22" s="57" t="s"/>
      <c r="X22" s="57" t="s"/>
      <c r="Y22" s="58" t="s"/>
      <c r="Z22" s="59" t="s"/>
      <c r="AA22" s="59" t="s"/>
      <c r="AB22" s="59" t="s"/>
      <c r="AC22" s="59" t="s"/>
      <c r="AD22" s="59" t="s"/>
      <c r="AE22" s="59" t="s"/>
      <c r="AF22" s="60" t="s"/>
      <c r="AG22" s="59" t="s"/>
      <c r="AH22" s="59" t="s"/>
      <c r="AI22" s="59" t="s"/>
      <c r="AJ22" s="59" t="s"/>
    </row>
    <row r="23" spans="1:36" ht="13.5">
      <c r="A23" s="63" t="s">
        <v>130</v>
      </c>
      <c r="B23" s="54" t="s">
        <v>78</v>
      </c>
      <c r="C23" s="55" t="s">
        <v>71</v>
      </c>
      <c r="D23" s="71" t="s">
        <v>123</v>
      </c>
      <c r="E23" s="54" t="s">
        <v>93</v>
      </c>
      <c r="F23" s="54" t="s">
        <v>93</v>
      </c>
      <c r="G23" s="54" t="s">
        <v>74</v>
      </c>
      <c r="H23" s="54" t="s">
        <v>74</v>
      </c>
      <c r="I23" s="54" t="s">
        <v>74</v>
      </c>
      <c r="J23" s="54" t="s">
        <v>74</v>
      </c>
      <c r="K23" s="54" t="s">
        <v>74</v>
      </c>
      <c r="L23" s="54" t="s">
        <v>93</v>
      </c>
      <c r="M23" s="54" t="s">
        <v>93</v>
      </c>
      <c r="N23" s="54" t="s">
        <v>93</v>
      </c>
      <c r="O23" s="54" t="s">
        <v>93</v>
      </c>
      <c r="P23" s="54" t="s">
        <v>93</v>
      </c>
      <c r="Q23" s="51" t="s"/>
      <c r="R23" s="51" t="s"/>
      <c r="S23" s="51" t="s">
        <v>129</v>
      </c>
      <c r="T23" s="62" t="s"/>
      <c r="U23" s="57" t="s"/>
      <c r="V23" s="57" t="s"/>
      <c r="W23" s="57" t="s"/>
      <c r="X23" s="57" t="s"/>
      <c r="Y23" s="57" t="s"/>
      <c r="Z23" s="59" t="s"/>
      <c r="AA23" s="59" t="s"/>
      <c r="AB23" s="59" t="s"/>
      <c r="AC23" s="59" t="s"/>
      <c r="AD23" s="59" t="s"/>
      <c r="AE23" s="59" t="s"/>
      <c r="AF23" s="60" t="s"/>
      <c r="AG23" s="59" t="s"/>
      <c r="AH23" s="59" t="s"/>
      <c r="AI23" s="59" t="s"/>
      <c r="AJ23" s="59" t="s"/>
    </row>
    <row r="24" spans="1:36" ht="13.5">
      <c r="A24" s="54" t="s">
        <v>131</v>
      </c>
      <c r="B24" s="54" t="s">
        <v>78</v>
      </c>
      <c r="C24" s="55" t="s">
        <v>132</v>
      </c>
      <c r="D24" s="71" t="s">
        <v>123</v>
      </c>
      <c r="E24" s="54" t="s">
        <v>73</v>
      </c>
      <c r="F24" s="54" t="s">
        <v>73</v>
      </c>
      <c r="G24" s="54" t="s">
        <v>74</v>
      </c>
      <c r="H24" s="54" t="s">
        <v>74</v>
      </c>
      <c r="I24" s="54" t="s">
        <v>74</v>
      </c>
      <c r="J24" s="54" t="s">
        <v>74</v>
      </c>
      <c r="K24" s="54" t="s">
        <v>74</v>
      </c>
      <c r="L24" s="54" t="s">
        <v>93</v>
      </c>
      <c r="M24" s="54" t="s">
        <v>93</v>
      </c>
      <c r="N24" s="54" t="s">
        <v>93</v>
      </c>
      <c r="O24" s="54" t="s">
        <v>93</v>
      </c>
      <c r="P24" s="54" t="s">
        <v>93</v>
      </c>
      <c r="Q24" s="51" t="s"/>
      <c r="R24" s="51" t="s"/>
      <c r="S24" s="54" t="s">
        <v>133</v>
      </c>
      <c r="T24" s="62" t="s"/>
      <c r="U24" s="57" t="s"/>
      <c r="V24" s="57" t="s"/>
      <c r="W24" s="57" t="s"/>
      <c r="X24" s="57" t="s"/>
      <c r="Y24" s="57" t="s"/>
      <c r="Z24" s="59" t="s"/>
      <c r="AA24" s="59" t="s"/>
      <c r="AB24" s="59" t="s"/>
      <c r="AC24" s="59" t="s"/>
      <c r="AD24" s="59" t="s"/>
      <c r="AE24" s="59" t="s"/>
      <c r="AF24" s="60" t="s"/>
      <c r="AG24" s="59" t="s"/>
      <c r="AH24" s="59" t="s"/>
      <c r="AI24" s="59" t="s"/>
      <c r="AJ24" s="59" t="s"/>
    </row>
    <row r="25" spans="1:36" ht="13.5">
      <c r="A25" s="54" t="s">
        <v>134</v>
      </c>
      <c r="B25" s="54" t="s">
        <v>78</v>
      </c>
      <c r="C25" s="55" t="s">
        <v>79</v>
      </c>
      <c r="D25" s="71" t="s">
        <v>135</v>
      </c>
      <c r="E25" s="54" t="s">
        <v>93</v>
      </c>
      <c r="F25" s="54" t="s">
        <v>93</v>
      </c>
      <c r="G25" s="54" t="s">
        <v>74</v>
      </c>
      <c r="H25" s="54" t="s">
        <v>74</v>
      </c>
      <c r="I25" s="54" t="s">
        <v>74</v>
      </c>
      <c r="J25" s="54" t="s">
        <v>74</v>
      </c>
      <c r="K25" s="54" t="s">
        <v>74</v>
      </c>
      <c r="L25" s="54" t="s">
        <v>97</v>
      </c>
      <c r="M25" s="54" t="s">
        <v>97</v>
      </c>
      <c r="N25" s="54" t="s">
        <v>97</v>
      </c>
      <c r="O25" s="54" t="s">
        <v>97</v>
      </c>
      <c r="P25" s="54" t="s">
        <v>97</v>
      </c>
      <c r="Q25" s="51" t="s"/>
      <c r="R25" s="51" t="s"/>
      <c r="S25" s="54" t="s">
        <v>135</v>
      </c>
      <c r="T25" s="62" t="s"/>
      <c r="U25" s="57" t="s"/>
      <c r="V25" s="57" t="s"/>
      <c r="W25" s="57" t="s"/>
      <c r="X25" s="57" t="s"/>
      <c r="Y25" s="57" t="s"/>
      <c r="Z25" s="59" t="s"/>
      <c r="AA25" s="59" t="s"/>
      <c r="AB25" s="59" t="s"/>
      <c r="AC25" s="59" t="s"/>
      <c r="AD25" s="59" t="s"/>
      <c r="AE25" s="59" t="s"/>
      <c r="AF25" s="60" t="s"/>
      <c r="AG25" s="59" t="s"/>
      <c r="AH25" s="59" t="s"/>
      <c r="AI25" s="59" t="s"/>
      <c r="AJ25" s="59" t="s"/>
    </row>
    <row r="26" spans="1:36" ht="24">
      <c r="A26" s="72" t="s">
        <v>136</v>
      </c>
      <c r="B26" s="54" t="s">
        <v>137</v>
      </c>
      <c r="C26" s="55" t="s">
        <v>71</v>
      </c>
      <c r="D26" s="73" t="s">
        <v>138</v>
      </c>
      <c r="E26" s="54" t="s">
        <v>86</v>
      </c>
      <c r="F26" s="54" t="s">
        <v>86</v>
      </c>
      <c r="G26" s="54" t="s">
        <v>86</v>
      </c>
      <c r="H26" s="54" t="s">
        <v>86</v>
      </c>
      <c r="I26" s="54" t="s">
        <v>139</v>
      </c>
      <c r="J26" s="54" t="s">
        <v>139</v>
      </c>
      <c r="K26" s="54" t="s">
        <v>139</v>
      </c>
      <c r="L26" s="54" t="s">
        <v>139</v>
      </c>
      <c r="M26" s="54" t="s">
        <v>139</v>
      </c>
      <c r="N26" s="54" t="s">
        <v>139</v>
      </c>
      <c r="O26" s="54" t="s">
        <v>139</v>
      </c>
      <c r="P26" s="54" t="s">
        <v>139</v>
      </c>
      <c r="Q26" s="51" t="s"/>
      <c r="R26" s="51" t="s"/>
      <c r="S26" s="54" t="s">
        <v>140</v>
      </c>
      <c r="T26" s="62" t="s"/>
      <c r="U26" s="57" t="s"/>
      <c r="V26" s="57" t="s"/>
      <c r="W26" s="57" t="s"/>
      <c r="X26" s="57" t="s"/>
      <c r="Y26" s="57" t="s"/>
      <c r="Z26" s="59" t="s"/>
      <c r="AA26" s="59" t="s"/>
      <c r="AB26" s="59" t="s"/>
      <c r="AC26" s="59" t="s"/>
      <c r="AD26" s="59" t="s"/>
      <c r="AE26" s="59" t="s"/>
      <c r="AF26" s="59" t="s"/>
      <c r="AG26" s="59" t="s"/>
      <c r="AH26" s="59" t="s"/>
      <c r="AI26" s="59" t="s"/>
      <c r="AJ26" s="59" t="s"/>
    </row>
    <row r="27" spans="1:36" ht="24">
      <c r="A27" s="63" t="s">
        <v>141</v>
      </c>
      <c r="B27" s="54" t="s">
        <v>78</v>
      </c>
      <c r="C27" s="55" t="s">
        <v>71</v>
      </c>
      <c r="D27" s="73" t="s">
        <v>138</v>
      </c>
      <c r="E27" s="54" t="s">
        <v>86</v>
      </c>
      <c r="F27" s="54" t="s">
        <v>86</v>
      </c>
      <c r="G27" s="54" t="s">
        <v>86</v>
      </c>
      <c r="H27" s="54" t="s">
        <v>86</v>
      </c>
      <c r="I27" s="54" t="s">
        <v>87</v>
      </c>
      <c r="J27" s="54" t="s">
        <v>87</v>
      </c>
      <c r="K27" s="54" t="s">
        <v>87</v>
      </c>
      <c r="L27" s="54" t="s">
        <v>87</v>
      </c>
      <c r="M27" s="54" t="s">
        <v>87</v>
      </c>
      <c r="N27" s="54" t="s">
        <v>87</v>
      </c>
      <c r="O27" s="54" t="s">
        <v>87</v>
      </c>
      <c r="P27" s="54" t="s">
        <v>87</v>
      </c>
      <c r="Q27" s="51" t="s"/>
      <c r="R27" s="51" t="s"/>
      <c r="S27" s="54" t="s">
        <v>142</v>
      </c>
      <c r="T27" s="62" t="s"/>
      <c r="U27" s="57" t="s"/>
      <c r="V27" s="57" t="s"/>
      <c r="W27" s="57" t="s"/>
      <c r="X27" s="57" t="s"/>
      <c r="Y27" s="57" t="s"/>
      <c r="Z27" s="59" t="s"/>
      <c r="AA27" s="59" t="s"/>
      <c r="AB27" s="59" t="s"/>
      <c r="AC27" s="59" t="s"/>
      <c r="AD27" s="59" t="s"/>
      <c r="AE27" s="59" t="s"/>
      <c r="AF27" s="59" t="s"/>
      <c r="AG27" s="59" t="s"/>
      <c r="AH27" s="59" t="s"/>
      <c r="AI27" s="59" t="s"/>
      <c r="AJ27" s="59" t="s"/>
    </row>
    <row r="28" spans="1:36" ht="13.5">
      <c r="A28" s="61" t="s">
        <v>143</v>
      </c>
      <c r="B28" s="54" t="s">
        <v>78</v>
      </c>
      <c r="C28" s="74" t="s">
        <v>144</v>
      </c>
      <c r="D28" s="73" t="s">
        <v>138</v>
      </c>
      <c r="E28" s="54" t="s">
        <v>145</v>
      </c>
      <c r="F28" s="54" t="s">
        <v>145</v>
      </c>
      <c r="G28" s="54" t="s">
        <v>145</v>
      </c>
      <c r="H28" s="54" t="s">
        <v>145</v>
      </c>
      <c r="I28" s="54" t="s">
        <v>145</v>
      </c>
      <c r="J28" s="54" t="s">
        <v>145</v>
      </c>
      <c r="K28" s="54" t="s">
        <v>145</v>
      </c>
      <c r="L28" s="54" t="s">
        <v>145</v>
      </c>
      <c r="M28" s="54" t="s">
        <v>145</v>
      </c>
      <c r="N28" s="54" t="s">
        <v>145</v>
      </c>
      <c r="O28" s="54" t="s">
        <v>145</v>
      </c>
      <c r="P28" s="54" t="s">
        <v>145</v>
      </c>
      <c r="Q28" s="51" t="s"/>
      <c r="R28" s="51" t="s"/>
      <c r="S28" s="54" t="s">
        <v>146</v>
      </c>
      <c r="T28" s="62" t="s"/>
      <c r="U28" s="57" t="s"/>
      <c r="V28" s="57" t="s"/>
      <c r="W28" s="57" t="s"/>
      <c r="X28" s="57" t="s"/>
      <c r="Y28" s="57" t="s"/>
      <c r="Z28" s="59" t="s"/>
      <c r="AA28" s="59" t="s"/>
      <c r="AB28" s="59" t="s"/>
      <c r="AC28" s="59" t="s"/>
      <c r="AD28" s="59" t="s"/>
      <c r="AE28" s="59" t="s"/>
      <c r="AF28" s="59" t="s"/>
      <c r="AG28" s="59" t="s"/>
      <c r="AH28" s="59" t="s"/>
      <c r="AI28" s="59" t="s"/>
      <c r="AJ28" s="59" t="s"/>
    </row>
    <row r="29" spans="1:36" ht="24">
      <c r="A29" s="63" t="s">
        <v>147</v>
      </c>
      <c r="B29" s="54" t="s">
        <v>78</v>
      </c>
      <c r="C29" s="74" t="s">
        <v>71</v>
      </c>
      <c r="D29" s="73" t="s">
        <v>138</v>
      </c>
      <c r="E29" s="54" t="s">
        <v>86</v>
      </c>
      <c r="F29" s="54" t="s">
        <v>86</v>
      </c>
      <c r="G29" s="54" t="s">
        <v>86</v>
      </c>
      <c r="H29" s="54" t="s">
        <v>86</v>
      </c>
      <c r="I29" s="54" t="s">
        <v>87</v>
      </c>
      <c r="J29" s="54" t="s">
        <v>87</v>
      </c>
      <c r="K29" s="54" t="s">
        <v>87</v>
      </c>
      <c r="L29" s="54" t="s">
        <v>87</v>
      </c>
      <c r="M29" s="54" t="s">
        <v>87</v>
      </c>
      <c r="N29" s="54" t="s">
        <v>87</v>
      </c>
      <c r="O29" s="54" t="s">
        <v>87</v>
      </c>
      <c r="P29" s="54" t="s">
        <v>87</v>
      </c>
      <c r="Q29" s="51" t="s"/>
      <c r="R29" s="51" t="s"/>
      <c r="S29" s="54" t="s">
        <v>138</v>
      </c>
      <c r="T29" s="62" t="s"/>
      <c r="U29" s="57" t="s"/>
      <c r="V29" s="57" t="s"/>
      <c r="W29" s="57" t="s"/>
      <c r="X29" s="57" t="s"/>
      <c r="Y29" s="57" t="s"/>
      <c r="Z29" s="59" t="s"/>
      <c r="AA29" s="59" t="s"/>
      <c r="AB29" s="59" t="s"/>
      <c r="AC29" s="59" t="s"/>
      <c r="AD29" s="59" t="s"/>
      <c r="AE29" s="59" t="s"/>
      <c r="AF29" s="59" t="s"/>
      <c r="AG29" s="59" t="s"/>
      <c r="AH29" s="59" t="s"/>
      <c r="AI29" s="59" t="s"/>
      <c r="AJ29" s="59" t="s"/>
    </row>
    <row r="30" spans="1:36" ht="13.5">
      <c r="A30" s="72" t="s">
        <v>148</v>
      </c>
      <c r="B30" s="54" t="s">
        <v>137</v>
      </c>
      <c r="C30" s="74" t="s">
        <v>96</v>
      </c>
      <c r="D30" s="75" t="s">
        <v>149</v>
      </c>
      <c r="E30" s="54" t="s">
        <v>93</v>
      </c>
      <c r="F30" s="54" t="s">
        <v>74</v>
      </c>
      <c r="G30" s="54" t="s">
        <v>74</v>
      </c>
      <c r="H30" s="54" t="s">
        <v>74</v>
      </c>
      <c r="I30" s="54" t="s">
        <v>74</v>
      </c>
      <c r="J30" s="54" t="s">
        <v>74</v>
      </c>
      <c r="K30" s="54" t="s">
        <v>74</v>
      </c>
      <c r="L30" s="54" t="s">
        <v>93</v>
      </c>
      <c r="M30" s="54" t="s">
        <v>93</v>
      </c>
      <c r="N30" s="54" t="s">
        <v>93</v>
      </c>
      <c r="O30" s="54" t="s">
        <v>93</v>
      </c>
      <c r="P30" s="54" t="s">
        <v>93</v>
      </c>
      <c r="Q30" s="51" t="s"/>
      <c r="R30" s="51" t="s"/>
      <c r="S30" s="51" t="s">
        <v>150</v>
      </c>
      <c r="T30" s="62" t="s"/>
      <c r="U30" s="57" t="s"/>
      <c r="V30" s="57" t="s"/>
      <c r="W30" s="57" t="s"/>
      <c r="X30" s="57" t="s"/>
      <c r="Y30" s="58" t="s"/>
      <c r="Z30" s="59" t="s"/>
      <c r="AA30" s="59" t="s"/>
      <c r="AB30" s="59" t="s"/>
      <c r="AC30" s="59" t="s"/>
      <c r="AD30" s="59" t="s"/>
      <c r="AE30" s="59" t="s"/>
      <c r="AF30" s="60" t="s"/>
      <c r="AG30" s="59" t="s"/>
      <c r="AH30" s="59" t="s"/>
      <c r="AI30" s="59" t="s"/>
      <c r="AJ30" s="59" t="s"/>
    </row>
    <row r="31" spans="1:36" ht="13.5">
      <c r="A31" s="61" t="s">
        <v>151</v>
      </c>
      <c r="B31" s="54" t="s">
        <v>78</v>
      </c>
      <c r="C31" s="74" t="s">
        <v>96</v>
      </c>
      <c r="D31" s="75" t="s">
        <v>149</v>
      </c>
      <c r="E31" s="54" t="s">
        <v>73</v>
      </c>
      <c r="F31" s="54" t="s">
        <v>73</v>
      </c>
      <c r="G31" s="54" t="s">
        <v>74</v>
      </c>
      <c r="H31" s="54" t="s">
        <v>74</v>
      </c>
      <c r="I31" s="54" t="s">
        <v>74</v>
      </c>
      <c r="J31" s="54" t="s">
        <v>74</v>
      </c>
      <c r="K31" s="54" t="s">
        <v>74</v>
      </c>
      <c r="L31" s="54" t="s">
        <v>97</v>
      </c>
      <c r="M31" s="54" t="s">
        <v>97</v>
      </c>
      <c r="N31" s="54" t="s">
        <v>97</v>
      </c>
      <c r="O31" s="54" t="s">
        <v>97</v>
      </c>
      <c r="P31" s="54" t="s">
        <v>97</v>
      </c>
      <c r="Q31" s="51" t="s"/>
      <c r="R31" s="51" t="s"/>
      <c r="S31" s="51" t="s">
        <v>150</v>
      </c>
      <c r="T31" s="62" t="s"/>
      <c r="U31" s="57" t="s"/>
      <c r="V31" s="57" t="s"/>
      <c r="W31" s="57" t="s"/>
      <c r="X31" s="57" t="s"/>
      <c r="Y31" s="57" t="s"/>
      <c r="Z31" s="59" t="s"/>
      <c r="AA31" s="59" t="s"/>
      <c r="AB31" s="59" t="s"/>
      <c r="AC31" s="59" t="s"/>
      <c r="AD31" s="59" t="s"/>
      <c r="AE31" s="59" t="s"/>
      <c r="AF31" s="60" t="s"/>
      <c r="AG31" s="59" t="s"/>
      <c r="AH31" s="59" t="s"/>
      <c r="AI31" s="59" t="s"/>
      <c r="AJ31" s="59" t="s"/>
    </row>
    <row r="32" spans="1:36" ht="13.5">
      <c r="A32" s="54" t="s">
        <v>152</v>
      </c>
      <c r="B32" s="54" t="s">
        <v>78</v>
      </c>
      <c r="C32" s="74" t="s">
        <v>79</v>
      </c>
      <c r="D32" s="75" t="s">
        <v>149</v>
      </c>
      <c r="E32" s="54" t="s">
        <v>93</v>
      </c>
      <c r="F32" s="54" t="s">
        <v>93</v>
      </c>
      <c r="G32" s="54" t="s">
        <v>74</v>
      </c>
      <c r="H32" s="54" t="s">
        <v>74</v>
      </c>
      <c r="I32" s="54" t="s">
        <v>74</v>
      </c>
      <c r="J32" s="54" t="s">
        <v>74</v>
      </c>
      <c r="K32" s="54" t="s">
        <v>74</v>
      </c>
      <c r="L32" s="54" t="s">
        <v>93</v>
      </c>
      <c r="M32" s="54" t="s">
        <v>93</v>
      </c>
      <c r="N32" s="54" t="s">
        <v>93</v>
      </c>
      <c r="O32" s="54" t="s">
        <v>93</v>
      </c>
      <c r="P32" s="76" t="s">
        <v>93</v>
      </c>
      <c r="Q32" s="77" t="s"/>
      <c r="R32" s="77" t="s"/>
      <c r="S32" s="51" t="s">
        <v>150</v>
      </c>
      <c r="T32" s="38" t="s"/>
      <c r="U32" s="57" t="s"/>
      <c r="V32" s="57" t="s"/>
      <c r="W32" s="57" t="s"/>
      <c r="X32" s="57" t="s"/>
      <c r="Y32" s="57" t="s"/>
      <c r="Z32" s="59" t="s"/>
      <c r="AA32" s="59" t="s"/>
      <c r="AB32" s="59" t="s"/>
      <c r="AC32" s="59" t="s"/>
      <c r="AD32" s="59" t="s"/>
      <c r="AE32" s="59" t="s"/>
      <c r="AF32" s="60" t="s"/>
      <c r="AG32" s="59" t="s"/>
      <c r="AH32" s="59" t="s"/>
      <c r="AI32" s="59" t="s"/>
      <c r="AJ32" s="59" t="s"/>
    </row>
    <row r="33" spans="1:36" ht="13.5">
      <c r="A33" s="63" t="s">
        <v>153</v>
      </c>
      <c r="B33" s="54" t="s">
        <v>78</v>
      </c>
      <c r="C33" s="74" t="s">
        <v>71</v>
      </c>
      <c r="D33" s="75" t="s">
        <v>149</v>
      </c>
      <c r="E33" s="54" t="s">
        <v>73</v>
      </c>
      <c r="F33" s="54" t="s">
        <v>73</v>
      </c>
      <c r="G33" s="54" t="s">
        <v>74</v>
      </c>
      <c r="H33" s="54" t="s">
        <v>74</v>
      </c>
      <c r="I33" s="54" t="s">
        <v>74</v>
      </c>
      <c r="J33" s="54" t="s">
        <v>74</v>
      </c>
      <c r="K33" s="54" t="s">
        <v>74</v>
      </c>
      <c r="L33" s="54" t="s">
        <v>93</v>
      </c>
      <c r="M33" s="54" t="s">
        <v>93</v>
      </c>
      <c r="N33" s="54" t="s">
        <v>93</v>
      </c>
      <c r="O33" s="54" t="s">
        <v>93</v>
      </c>
      <c r="P33" s="76" t="s">
        <v>93</v>
      </c>
      <c r="Q33" s="65" t="s"/>
      <c r="R33" s="65" t="s"/>
      <c r="S33" s="51" t="s">
        <v>154</v>
      </c>
      <c r="T33" s="38" t="s"/>
      <c r="U33" s="78" t="s"/>
      <c r="V33" s="79" t="s"/>
      <c r="W33" s="38" t="s"/>
      <c r="X33" s="57" t="s"/>
      <c r="Y33" s="57" t="s"/>
      <c r="Z33" s="59" t="s"/>
      <c r="AA33" s="59" t="s"/>
      <c r="AB33" s="59" t="s"/>
      <c r="AC33" s="59" t="s"/>
      <c r="AD33" s="59" t="s"/>
      <c r="AE33" s="59" t="s"/>
      <c r="AF33" s="60" t="s"/>
      <c r="AG33" s="59" t="s"/>
      <c r="AH33" s="59" t="s"/>
      <c r="AI33" s="59" t="s"/>
      <c r="AJ33" s="59" t="s"/>
    </row>
    <row r="34" spans="1:36" ht="13.5">
      <c r="A34" s="63" t="s">
        <v>155</v>
      </c>
      <c r="B34" s="54" t="s">
        <v>78</v>
      </c>
      <c r="C34" s="74" t="s">
        <v>122</v>
      </c>
      <c r="D34" s="75" t="s">
        <v>149</v>
      </c>
      <c r="E34" s="54" t="s">
        <v>92</v>
      </c>
      <c r="F34" s="54" t="s">
        <v>92</v>
      </c>
      <c r="G34" s="54" t="s">
        <v>93</v>
      </c>
      <c r="H34" s="54" t="s">
        <v>93</v>
      </c>
      <c r="I34" s="54" t="s">
        <v>93</v>
      </c>
      <c r="J34" s="54" t="s">
        <v>93</v>
      </c>
      <c r="K34" s="54" t="s">
        <v>93</v>
      </c>
      <c r="L34" s="54" t="s">
        <v>93</v>
      </c>
      <c r="M34" s="54" t="s">
        <v>93</v>
      </c>
      <c r="N34" s="54" t="s">
        <v>93</v>
      </c>
      <c r="O34" s="54" t="s">
        <v>93</v>
      </c>
      <c r="P34" s="76" t="s">
        <v>93</v>
      </c>
      <c r="Q34" s="65" t="s"/>
      <c r="R34" s="65" t="s"/>
      <c r="S34" s="51" t="s">
        <v>156</v>
      </c>
      <c r="T34" s="38" t="s"/>
      <c r="U34" s="78" t="s"/>
      <c r="V34" s="79" t="s"/>
      <c r="W34" s="38" t="s"/>
      <c r="X34" s="57" t="s"/>
      <c r="Y34" s="57" t="s"/>
      <c r="Z34" s="59" t="s"/>
      <c r="AA34" s="59" t="s"/>
      <c r="AB34" s="59" t="s"/>
      <c r="AC34" s="59" t="s"/>
      <c r="AD34" s="59" t="s"/>
      <c r="AE34" s="59" t="s"/>
      <c r="AF34" s="60" t="s"/>
      <c r="AG34" s="59" t="s"/>
      <c r="AH34" s="59" t="s"/>
      <c r="AI34" s="59" t="s"/>
      <c r="AJ34" s="59" t="s"/>
    </row>
    <row r="35" spans="1:36" ht="24">
      <c r="A35" s="63" t="s">
        <v>157</v>
      </c>
      <c r="B35" s="54" t="s">
        <v>78</v>
      </c>
      <c r="C35" s="74" t="s">
        <v>122</v>
      </c>
      <c r="D35" s="75" t="s">
        <v>149</v>
      </c>
      <c r="E35" s="54" t="s">
        <v>158</v>
      </c>
      <c r="F35" s="54" t="s">
        <v>73</v>
      </c>
      <c r="G35" s="54" t="s">
        <v>74</v>
      </c>
      <c r="H35" s="54" t="s">
        <v>74</v>
      </c>
      <c r="I35" s="54" t="s">
        <v>74</v>
      </c>
      <c r="J35" s="54" t="s">
        <v>74</v>
      </c>
      <c r="K35" s="54" t="s">
        <v>74</v>
      </c>
      <c r="L35" s="54" t="s">
        <v>159</v>
      </c>
      <c r="M35" s="54" t="s">
        <v>159</v>
      </c>
      <c r="N35" s="54" t="s">
        <v>159</v>
      </c>
      <c r="O35" s="54" t="s">
        <v>159</v>
      </c>
      <c r="P35" s="76" t="s">
        <v>159</v>
      </c>
      <c r="Q35" s="65" t="s"/>
      <c r="R35" s="65" t="s"/>
      <c r="S35" s="51" t="s">
        <v>160</v>
      </c>
      <c r="T35" s="38" t="s"/>
      <c r="U35" s="78" t="s"/>
      <c r="V35" s="79" t="s"/>
      <c r="W35" s="38" t="s"/>
      <c r="X35" s="57" t="s"/>
      <c r="Y35" s="57" t="s"/>
      <c r="Z35" s="59" t="s"/>
      <c r="AA35" s="59" t="s"/>
      <c r="AB35" s="59" t="s"/>
      <c r="AC35" s="59" t="s"/>
      <c r="AD35" s="59" t="s"/>
      <c r="AE35" s="59" t="s"/>
      <c r="AF35" s="60" t="s"/>
      <c r="AG35" s="59" t="s"/>
      <c r="AH35" s="59" t="s"/>
      <c r="AI35" s="59" t="s"/>
      <c r="AJ35" s="59" t="s"/>
    </row>
    <row r="36" spans="1:36" ht="24">
      <c r="A36" s="53" t="s">
        <v>161</v>
      </c>
      <c r="B36" s="54" t="s">
        <v>162</v>
      </c>
      <c r="C36" s="74" t="s">
        <v>122</v>
      </c>
      <c r="D36" s="80" t="s">
        <v>163</v>
      </c>
      <c r="E36" s="54" t="s">
        <v>73</v>
      </c>
      <c r="F36" s="54" t="s">
        <v>73</v>
      </c>
      <c r="G36" s="54" t="s">
        <v>164</v>
      </c>
      <c r="H36" s="54" t="s">
        <v>164</v>
      </c>
      <c r="I36" s="54" t="s">
        <v>164</v>
      </c>
      <c r="J36" s="54" t="s">
        <v>164</v>
      </c>
      <c r="K36" s="54" t="s">
        <v>164</v>
      </c>
      <c r="L36" s="54" t="s">
        <v>165</v>
      </c>
      <c r="M36" s="54" t="s">
        <v>165</v>
      </c>
      <c r="N36" s="54" t="s">
        <v>165</v>
      </c>
      <c r="O36" s="54" t="s">
        <v>165</v>
      </c>
      <c r="P36" s="76" t="s">
        <v>165</v>
      </c>
      <c r="Q36" s="65" t="s"/>
      <c r="R36" s="65" t="s"/>
      <c r="S36" s="51" t="s">
        <v>150</v>
      </c>
      <c r="T36" s="38" t="s"/>
      <c r="U36" s="78" t="s"/>
      <c r="V36" s="79" t="s"/>
      <c r="W36" s="38" t="s"/>
      <c r="X36" s="57" t="s"/>
      <c r="Y36" s="57" t="s"/>
      <c r="Z36" s="59" t="s"/>
      <c r="AA36" s="59" t="s"/>
      <c r="AB36" s="59" t="s"/>
      <c r="AC36" s="59" t="s"/>
      <c r="AD36" s="59" t="s"/>
      <c r="AE36" s="59" t="s"/>
      <c r="AF36" s="60" t="s"/>
      <c r="AG36" s="59" t="s"/>
      <c r="AH36" s="59" t="s"/>
      <c r="AI36" s="59" t="s"/>
      <c r="AJ36" s="59" t="s"/>
    </row>
    <row r="37" spans="1:36" ht="13.5">
      <c r="A37" s="81" t="s">
        <v>166</v>
      </c>
      <c r="B37" s="82" t="s">
        <v>167</v>
      </c>
      <c r="C37" s="55" t="s">
        <v>132</v>
      </c>
      <c r="D37" s="83" t="s">
        <v>168</v>
      </c>
      <c r="E37" s="82" t="s">
        <v>73</v>
      </c>
      <c r="F37" s="82" t="s">
        <v>73</v>
      </c>
      <c r="G37" s="82" t="s">
        <v>86</v>
      </c>
      <c r="H37" s="82" t="s">
        <v>74</v>
      </c>
      <c r="I37" s="82" t="s">
        <v>74</v>
      </c>
      <c r="J37" s="82" t="s">
        <v>74</v>
      </c>
      <c r="K37" s="82" t="s">
        <v>93</v>
      </c>
      <c r="L37" s="82" t="s">
        <v>93</v>
      </c>
      <c r="M37" s="82" t="s">
        <v>93</v>
      </c>
      <c r="N37" s="82" t="s">
        <v>93</v>
      </c>
      <c r="O37" s="82" t="s">
        <v>93</v>
      </c>
      <c r="P37" s="84" t="s">
        <v>93</v>
      </c>
      <c r="Q37" s="65" t="s"/>
      <c r="R37" s="65" t="s"/>
      <c r="S37" s="65" t="s">
        <v>99</v>
      </c>
      <c r="T37" s="38" t="s"/>
      <c r="U37" s="78" t="s"/>
      <c r="V37" s="79" t="s"/>
      <c r="W37" s="38" t="s"/>
      <c r="X37" s="57" t="s"/>
      <c r="Y37" s="57" t="s"/>
      <c r="Z37" s="59" t="s"/>
      <c r="AA37" s="59" t="s"/>
      <c r="AB37" s="59" t="s"/>
      <c r="AC37" s="59" t="s"/>
      <c r="AD37" s="59" t="s"/>
      <c r="AE37" s="59" t="s"/>
      <c r="AF37" s="60" t="s"/>
      <c r="AG37" s="59" t="s"/>
      <c r="AH37" s="59" t="s"/>
      <c r="AI37" s="59" t="s"/>
      <c r="AJ37" s="59" t="s"/>
    </row>
    <row r="38" spans="1:36" ht="13.5">
      <c r="A38" s="82" t="s">
        <v>169</v>
      </c>
      <c r="B38" s="82" t="s">
        <v>101</v>
      </c>
      <c r="C38" s="85" t="s">
        <v>85</v>
      </c>
      <c r="D38" s="83" t="s">
        <v>168</v>
      </c>
      <c r="E38" s="82" t="s">
        <v>73</v>
      </c>
      <c r="F38" s="82" t="s">
        <v>73</v>
      </c>
      <c r="G38" s="82" t="s">
        <v>86</v>
      </c>
      <c r="H38" s="82" t="s">
        <v>74</v>
      </c>
      <c r="I38" s="82" t="s">
        <v>74</v>
      </c>
      <c r="J38" s="82" t="s">
        <v>74</v>
      </c>
      <c r="K38" s="82" t="s">
        <v>93</v>
      </c>
      <c r="L38" s="82" t="s">
        <v>93</v>
      </c>
      <c r="M38" s="82" t="s">
        <v>93</v>
      </c>
      <c r="N38" s="82" t="s">
        <v>93</v>
      </c>
      <c r="O38" s="82" t="s">
        <v>93</v>
      </c>
      <c r="P38" s="84" t="s">
        <v>93</v>
      </c>
      <c r="Q38" s="65" t="s"/>
      <c r="R38" s="65" t="s"/>
      <c r="S38" s="65" t="s">
        <v>109</v>
      </c>
      <c r="T38" s="38" t="s"/>
      <c r="U38" s="78" t="s"/>
      <c r="V38" s="79" t="s"/>
      <c r="W38" s="38" t="s"/>
      <c r="X38" s="57" t="s"/>
      <c r="Y38" s="57" t="s"/>
      <c r="Z38" s="59" t="s"/>
      <c r="AA38" s="59" t="s"/>
      <c r="AB38" s="59" t="s"/>
      <c r="AC38" s="59" t="s"/>
      <c r="AD38" s="59" t="s"/>
      <c r="AE38" s="59" t="s"/>
      <c r="AF38" s="60" t="s"/>
      <c r="AG38" s="59" t="s"/>
      <c r="AH38" s="59" t="s"/>
      <c r="AI38" s="59" t="s"/>
      <c r="AJ38" s="59" t="s"/>
    </row>
    <row r="39" spans="1:36" ht="13.5">
      <c r="A39" s="82" t="s">
        <v>170</v>
      </c>
      <c r="B39" s="82" t="s">
        <v>101</v>
      </c>
      <c r="C39" s="85" t="s">
        <v>71</v>
      </c>
      <c r="D39" s="83" t="s">
        <v>168</v>
      </c>
      <c r="E39" s="82" t="s">
        <v>73</v>
      </c>
      <c r="F39" s="82" t="s">
        <v>73</v>
      </c>
      <c r="G39" s="82" t="s">
        <v>86</v>
      </c>
      <c r="H39" s="82" t="s">
        <v>74</v>
      </c>
      <c r="I39" s="82" t="s">
        <v>74</v>
      </c>
      <c r="J39" s="82" t="s">
        <v>74</v>
      </c>
      <c r="K39" s="82" t="s">
        <v>97</v>
      </c>
      <c r="L39" s="82" t="s">
        <v>97</v>
      </c>
      <c r="M39" s="82" t="s">
        <v>97</v>
      </c>
      <c r="N39" s="82" t="s">
        <v>97</v>
      </c>
      <c r="O39" s="82" t="s">
        <v>97</v>
      </c>
      <c r="P39" s="84" t="s">
        <v>97</v>
      </c>
      <c r="Q39" s="65" t="s"/>
      <c r="R39" s="65" t="s"/>
      <c r="S39" s="65" t="s">
        <v>109</v>
      </c>
      <c r="T39" s="38" t="s"/>
      <c r="U39" s="78" t="s"/>
      <c r="V39" s="79" t="s"/>
      <c r="W39" s="38" t="s"/>
      <c r="X39" s="57" t="s"/>
      <c r="Y39" s="57" t="s"/>
      <c r="Z39" s="59" t="s"/>
      <c r="AA39" s="59" t="s"/>
      <c r="AB39" s="59" t="s"/>
      <c r="AC39" s="59" t="s"/>
      <c r="AD39" s="59" t="s"/>
      <c r="AE39" s="59" t="s"/>
      <c r="AF39" s="60" t="s"/>
      <c r="AG39" s="59" t="s"/>
      <c r="AH39" s="59" t="s"/>
      <c r="AI39" s="59" t="s"/>
      <c r="AJ39" s="59" t="s"/>
    </row>
    <row r="40" spans="1:36" ht="24">
      <c r="A40" s="81" t="s">
        <v>171</v>
      </c>
      <c r="B40" s="82" t="s">
        <v>101</v>
      </c>
      <c r="C40" s="55" t="s">
        <v>132</v>
      </c>
      <c r="D40" s="86" t="s">
        <v>172</v>
      </c>
      <c r="E40" s="82" t="s">
        <v>73</v>
      </c>
      <c r="F40" s="82" t="s">
        <v>73</v>
      </c>
      <c r="G40" s="82" t="s">
        <v>86</v>
      </c>
      <c r="H40" s="82" t="s">
        <v>173</v>
      </c>
      <c r="I40" s="82" t="s">
        <v>173</v>
      </c>
      <c r="J40" s="82" t="s">
        <v>173</v>
      </c>
      <c r="K40" s="82" t="s">
        <v>173</v>
      </c>
      <c r="L40" s="82" t="s">
        <v>173</v>
      </c>
      <c r="M40" s="82" t="s">
        <v>173</v>
      </c>
      <c r="N40" s="82" t="s">
        <v>97</v>
      </c>
      <c r="O40" s="82" t="s">
        <v>97</v>
      </c>
      <c r="P40" s="84" t="s">
        <v>80</v>
      </c>
      <c r="Q40" s="65" t="s"/>
      <c r="R40" s="65" t="s"/>
      <c r="S40" s="65" t="s">
        <v>174</v>
      </c>
      <c r="T40" s="38" t="s"/>
      <c r="U40" s="78" t="s"/>
      <c r="V40" s="79" t="s"/>
      <c r="W40" s="38" t="s"/>
      <c r="X40" s="57" t="s"/>
      <c r="Y40" s="57" t="s"/>
      <c r="Z40" s="59" t="s"/>
      <c r="AA40" s="59" t="s"/>
      <c r="AB40" s="59" t="s"/>
      <c r="AC40" s="59" t="s"/>
      <c r="AD40" s="59" t="s"/>
      <c r="AE40" s="59" t="s"/>
      <c r="AF40" s="60" t="s"/>
      <c r="AG40" s="59" t="s"/>
      <c r="AH40" s="59" t="s"/>
      <c r="AI40" s="59" t="s"/>
      <c r="AJ40" s="59" t="s"/>
    </row>
    <row r="41" spans="1:36" ht="27">
      <c r="A41" s="82" t="s">
        <v>175</v>
      </c>
      <c r="B41" s="82" t="s">
        <v>101</v>
      </c>
      <c r="C41" s="85" t="s">
        <v>79</v>
      </c>
      <c r="D41" s="86" t="s">
        <v>172</v>
      </c>
      <c r="E41" s="82" t="s">
        <v>73</v>
      </c>
      <c r="F41" s="82" t="s">
        <v>73</v>
      </c>
      <c r="G41" s="82" t="s">
        <v>86</v>
      </c>
      <c r="H41" s="82" t="s">
        <v>74</v>
      </c>
      <c r="I41" s="82" t="s">
        <v>74</v>
      </c>
      <c r="J41" s="82" t="s">
        <v>74</v>
      </c>
      <c r="K41" s="82" t="s">
        <v>97</v>
      </c>
      <c r="L41" s="82" t="s">
        <v>97</v>
      </c>
      <c r="M41" s="82" t="s">
        <v>97</v>
      </c>
      <c r="N41" s="82" t="s">
        <v>97</v>
      </c>
      <c r="O41" s="82" t="s">
        <v>97</v>
      </c>
      <c r="P41" s="84" t="s">
        <v>97</v>
      </c>
      <c r="Q41" s="65" t="s"/>
      <c r="R41" s="65" t="s"/>
      <c r="S41" s="65" t="s">
        <v>176</v>
      </c>
      <c r="T41" s="38" t="s"/>
      <c r="U41" s="78" t="s"/>
      <c r="V41" s="79" t="s"/>
      <c r="W41" s="38" t="s"/>
      <c r="X41" s="57" t="s"/>
      <c r="Y41" s="57" t="s"/>
      <c r="Z41" s="59" t="s"/>
      <c r="AA41" s="59" t="s"/>
      <c r="AB41" s="59" t="s"/>
      <c r="AC41" s="59" t="s"/>
      <c r="AD41" s="59" t="s"/>
      <c r="AE41" s="59" t="s"/>
      <c r="AF41" s="60" t="s"/>
      <c r="AG41" s="59" t="s"/>
      <c r="AH41" s="59" t="s"/>
      <c r="AI41" s="59" t="s"/>
      <c r="AJ41" s="59" t="s"/>
    </row>
    <row r="42" spans="1:36" ht="24">
      <c r="A42" s="54" t="s">
        <v>177</v>
      </c>
      <c r="B42" s="54" t="s">
        <v>78</v>
      </c>
      <c r="C42" s="74" t="s">
        <v>71</v>
      </c>
      <c r="D42" s="87" t="s">
        <v>178</v>
      </c>
      <c r="E42" s="54" t="s">
        <v>73</v>
      </c>
      <c r="F42" s="54" t="s">
        <v>73</v>
      </c>
      <c r="G42" s="54" t="s">
        <v>116</v>
      </c>
      <c r="H42" s="54" t="s">
        <v>116</v>
      </c>
      <c r="I42" s="54" t="s">
        <v>116</v>
      </c>
      <c r="J42" s="54" t="s">
        <v>178</v>
      </c>
      <c r="K42" s="54" t="s">
        <v>178</v>
      </c>
      <c r="L42" s="54" t="s">
        <v>178</v>
      </c>
      <c r="M42" s="54" t="s">
        <v>178</v>
      </c>
      <c r="N42" s="54" t="s">
        <v>178</v>
      </c>
      <c r="O42" s="54" t="s">
        <v>178</v>
      </c>
      <c r="P42" s="76" t="s">
        <v>178</v>
      </c>
      <c r="Q42" s="65" t="s"/>
      <c r="R42" s="65" t="s"/>
      <c r="S42" s="51" t="s">
        <v>178</v>
      </c>
      <c r="T42" s="38" t="s"/>
      <c r="U42" s="78" t="s"/>
      <c r="V42" s="79" t="s"/>
      <c r="W42" s="38" t="s"/>
      <c r="X42" s="57" t="s"/>
      <c r="Y42" s="57" t="s"/>
      <c r="Z42" s="59" t="s"/>
      <c r="AA42" s="59" t="s"/>
      <c r="AB42" s="59" t="s"/>
      <c r="AC42" s="59" t="s"/>
      <c r="AD42" s="59" t="s"/>
      <c r="AE42" s="59" t="s"/>
      <c r="AF42" s="60" t="s"/>
      <c r="AG42" s="59" t="s"/>
      <c r="AH42" s="59" t="s"/>
      <c r="AI42" s="59" t="s"/>
      <c r="AJ42" s="59" t="s"/>
    </row>
    <row r="43" spans="1:36" ht="24">
      <c r="A43" s="53" t="s">
        <v>179</v>
      </c>
      <c r="B43" s="54" t="s">
        <v>180</v>
      </c>
      <c r="C43" s="74" t="s">
        <v>96</v>
      </c>
      <c r="D43" s="87" t="s">
        <v>178</v>
      </c>
      <c r="E43" s="54" t="s">
        <v>178</v>
      </c>
      <c r="F43" s="54" t="s">
        <v>178</v>
      </c>
      <c r="G43" s="54" t="s">
        <v>178</v>
      </c>
      <c r="H43" s="54" t="s">
        <v>178</v>
      </c>
      <c r="I43" s="54" t="s">
        <v>178</v>
      </c>
      <c r="J43" s="54" t="s">
        <v>178</v>
      </c>
      <c r="K43" s="54" t="s">
        <v>178</v>
      </c>
      <c r="L43" s="54" t="s">
        <v>178</v>
      </c>
      <c r="M43" s="54" t="s">
        <v>178</v>
      </c>
      <c r="N43" s="54" t="s">
        <v>178</v>
      </c>
      <c r="O43" s="54" t="s">
        <v>178</v>
      </c>
      <c r="P43" s="76" t="s">
        <v>178</v>
      </c>
      <c r="Q43" s="65" t="s"/>
      <c r="R43" s="65" t="s"/>
      <c r="S43" s="51" t="s">
        <v>178</v>
      </c>
      <c r="T43" s="38" t="s"/>
      <c r="U43" s="78" t="s"/>
      <c r="V43" s="79" t="s"/>
      <c r="W43" s="38" t="s"/>
      <c r="X43" s="57" t="s"/>
      <c r="Y43" s="57" t="s"/>
      <c r="Z43" s="59" t="s"/>
      <c r="AA43" s="59" t="s"/>
      <c r="AB43" s="59" t="s"/>
      <c r="AC43" s="59" t="s"/>
      <c r="AD43" s="59" t="s"/>
      <c r="AE43" s="59" t="s"/>
      <c r="AF43" s="60" t="s"/>
      <c r="AG43" s="59" t="s"/>
      <c r="AH43" s="59" t="s"/>
      <c r="AI43" s="59" t="s"/>
      <c r="AJ43" s="59" t="s"/>
    </row>
    <row r="44" spans="1:36" ht="13.5">
      <c r="A44" s="82" t="s">
        <v>181</v>
      </c>
      <c r="B44" s="82" t="s">
        <v>101</v>
      </c>
      <c r="C44" s="85" t="s">
        <v>71</v>
      </c>
      <c r="D44" s="88" t="s">
        <v>178</v>
      </c>
      <c r="E44" s="82" t="s">
        <v>178</v>
      </c>
      <c r="F44" s="82" t="s">
        <v>178</v>
      </c>
      <c r="G44" s="82" t="s">
        <v>178</v>
      </c>
      <c r="H44" s="82" t="s">
        <v>178</v>
      </c>
      <c r="I44" s="82" t="s">
        <v>178</v>
      </c>
      <c r="J44" s="82" t="s">
        <v>178</v>
      </c>
      <c r="K44" s="82" t="s">
        <v>178</v>
      </c>
      <c r="L44" s="82" t="s">
        <v>178</v>
      </c>
      <c r="M44" s="82" t="s">
        <v>178</v>
      </c>
      <c r="N44" s="82" t="s">
        <v>178</v>
      </c>
      <c r="O44" s="82" t="s">
        <v>178</v>
      </c>
      <c r="P44" s="84" t="s">
        <v>178</v>
      </c>
      <c r="Q44" s="65" t="s"/>
      <c r="R44" s="65" t="s"/>
      <c r="S44" s="51" t="s">
        <v>178</v>
      </c>
      <c r="T44" s="38" t="s"/>
      <c r="U44" s="78" t="s"/>
      <c r="V44" s="79" t="s"/>
      <c r="W44" s="38" t="s"/>
      <c r="X44" s="57" t="s"/>
      <c r="Y44" s="57" t="s"/>
      <c r="Z44" s="59" t="s"/>
      <c r="AA44" s="59" t="s"/>
      <c r="AB44" s="59" t="s"/>
      <c r="AC44" s="59" t="s"/>
      <c r="AD44" s="59" t="s"/>
      <c r="AE44" s="59" t="s"/>
      <c r="AF44" s="60" t="s"/>
      <c r="AG44" s="59" t="s"/>
      <c r="AH44" s="59" t="s"/>
      <c r="AI44" s="59" t="s"/>
      <c r="AJ44" s="59" t="s"/>
    </row>
    <row r="45" spans="1:36" ht="13.5">
      <c r="A45" s="63" t="s">
        <v>182</v>
      </c>
      <c r="B45" s="54" t="s">
        <v>183</v>
      </c>
      <c r="C45" s="74" t="s">
        <v>184</v>
      </c>
      <c r="D45" s="89" t="s">
        <v>185</v>
      </c>
      <c r="E45" s="54" t="s">
        <v>185</v>
      </c>
      <c r="F45" s="54" t="s">
        <v>185</v>
      </c>
      <c r="G45" s="54" t="s">
        <v>185</v>
      </c>
      <c r="H45" s="54" t="s">
        <v>185</v>
      </c>
      <c r="I45" s="54" t="s">
        <v>185</v>
      </c>
      <c r="J45" s="54" t="s">
        <v>185</v>
      </c>
      <c r="K45" s="54" t="s">
        <v>185</v>
      </c>
      <c r="L45" s="76" t="s">
        <v>185</v>
      </c>
      <c r="M45" s="54" t="s">
        <v>185</v>
      </c>
      <c r="N45" s="54" t="s">
        <v>185</v>
      </c>
      <c r="O45" s="54" t="s">
        <v>185</v>
      </c>
      <c r="P45" s="76" t="s">
        <v>185</v>
      </c>
      <c r="Q45" s="65" t="s"/>
      <c r="R45" s="65" t="s"/>
      <c r="S45" s="65" t="s"/>
      <c r="T45" s="38" t="s"/>
      <c r="U45" s="78" t="s"/>
      <c r="V45" s="79" t="s"/>
      <c r="W45" s="38" t="s"/>
      <c r="X45" s="57" t="s"/>
      <c r="Y45" s="57" t="s"/>
      <c r="Z45" s="59" t="s"/>
      <c r="AA45" s="59" t="s"/>
      <c r="AB45" s="59" t="s"/>
      <c r="AC45" s="59" t="s"/>
      <c r="AD45" s="59" t="s"/>
      <c r="AE45" s="59" t="s"/>
      <c r="AF45" s="60" t="s"/>
      <c r="AG45" s="59" t="s"/>
      <c r="AH45" s="59" t="s"/>
      <c r="AI45" s="59" t="s"/>
      <c r="AJ45" s="59" t="s"/>
    </row>
    <row r="46" spans="1:36" ht="13.5">
      <c r="A46" s="63" t="s">
        <v>186</v>
      </c>
      <c r="B46" s="54" t="s">
        <v>78</v>
      </c>
      <c r="C46" s="74" t="s">
        <v>187</v>
      </c>
      <c r="D46" s="89" t="s">
        <v>185</v>
      </c>
      <c r="E46" s="90" t="s">
        <v>185</v>
      </c>
      <c r="F46" s="90" t="s">
        <v>185</v>
      </c>
      <c r="G46" s="90" t="s">
        <v>185</v>
      </c>
      <c r="H46" s="90" t="s">
        <v>185</v>
      </c>
      <c r="I46" s="90" t="s">
        <v>185</v>
      </c>
      <c r="J46" s="90" t="s">
        <v>185</v>
      </c>
      <c r="K46" s="90" t="s">
        <v>185</v>
      </c>
      <c r="L46" s="90" t="s">
        <v>185</v>
      </c>
      <c r="M46" s="90" t="s">
        <v>185</v>
      </c>
      <c r="N46" s="90" t="s">
        <v>185</v>
      </c>
      <c r="O46" s="90" t="s">
        <v>185</v>
      </c>
      <c r="P46" s="91" t="s">
        <v>185</v>
      </c>
      <c r="Q46" s="65" t="s"/>
      <c r="R46" s="65" t="s"/>
      <c r="S46" s="65" t="s"/>
      <c r="T46" s="38" t="s"/>
      <c r="U46" s="78" t="s"/>
      <c r="V46" s="79" t="s"/>
      <c r="W46" s="38" t="s"/>
      <c r="X46" s="57" t="s"/>
      <c r="Y46" s="57" t="s"/>
      <c r="Z46" s="59" t="s"/>
      <c r="AA46" s="59" t="s"/>
      <c r="AB46" s="59" t="s"/>
      <c r="AC46" s="59" t="s"/>
      <c r="AD46" s="59" t="s"/>
      <c r="AE46" s="59" t="s"/>
      <c r="AF46" s="60" t="s"/>
      <c r="AG46" s="59" t="s"/>
      <c r="AH46" s="59" t="s"/>
      <c r="AI46" s="59" t="s"/>
      <c r="AJ46" s="59" t="s"/>
    </row>
    <row r="47" spans="1:36" ht="13.5">
      <c r="A47" s="82" t="s">
        <v>188</v>
      </c>
      <c r="B47" s="82" t="s">
        <v>189</v>
      </c>
      <c r="C47" s="85" t="s">
        <v>190</v>
      </c>
      <c r="D47" s="89" t="s">
        <v>185</v>
      </c>
      <c r="E47" s="82" t="s">
        <v>185</v>
      </c>
      <c r="F47" s="82" t="s">
        <v>185</v>
      </c>
      <c r="G47" s="82" t="s">
        <v>185</v>
      </c>
      <c r="H47" s="82" t="s">
        <v>185</v>
      </c>
      <c r="I47" s="82" t="s">
        <v>185</v>
      </c>
      <c r="J47" s="82" t="s">
        <v>185</v>
      </c>
      <c r="K47" s="82" t="s">
        <v>185</v>
      </c>
      <c r="L47" s="82" t="s">
        <v>185</v>
      </c>
      <c r="M47" s="82" t="s">
        <v>185</v>
      </c>
      <c r="N47" s="82" t="s">
        <v>185</v>
      </c>
      <c r="O47" s="82" t="s">
        <v>185</v>
      </c>
      <c r="P47" s="84" t="s">
        <v>185</v>
      </c>
      <c r="Q47" s="65" t="s"/>
      <c r="R47" s="65" t="s"/>
      <c r="S47" s="65" t="s">
        <v>174</v>
      </c>
      <c r="T47" s="38" t="s"/>
      <c r="U47" s="78" t="s"/>
      <c r="V47" s="79" t="s"/>
      <c r="W47" s="38" t="s"/>
      <c r="X47" s="57" t="s"/>
      <c r="Y47" s="57" t="s"/>
      <c r="Z47" s="59" t="s"/>
      <c r="AA47" s="59" t="s"/>
      <c r="AB47" s="59" t="s"/>
      <c r="AC47" s="59" t="s"/>
      <c r="AD47" s="59" t="s"/>
      <c r="AE47" s="59" t="s"/>
      <c r="AF47" s="60" t="s"/>
      <c r="AG47" s="59" t="s"/>
      <c r="AH47" s="59" t="s"/>
      <c r="AI47" s="59" t="s"/>
      <c r="AJ47" s="59" t="s"/>
    </row>
    <row r="48" spans="1:36" ht="13.5">
      <c r="A48" s="92" t="s"/>
      <c r="B48" s="92" t="s"/>
      <c r="C48" s="92" t="s"/>
      <c r="D48" s="92" t="s"/>
      <c r="E48" s="92" t="s"/>
      <c r="F48" s="92" t="s"/>
      <c r="G48" s="92" t="s"/>
      <c r="H48" s="92" t="s"/>
      <c r="I48" s="92" t="s"/>
      <c r="J48" s="92" t="s"/>
      <c r="K48" s="92" t="s"/>
      <c r="L48" s="92" t="s"/>
      <c r="M48" s="92" t="s"/>
      <c r="N48" s="92" t="s"/>
      <c r="O48" s="92" t="s"/>
      <c r="P48" s="38" t="s"/>
      <c r="Q48" s="38" t="s"/>
      <c r="R48" s="38" t="s"/>
      <c r="S48" s="38" t="s"/>
      <c r="T48" s="78" t="s"/>
      <c r="U48" s="79" t="s"/>
      <c r="V48" s="38" t="s"/>
      <c r="W48" s="57" t="s"/>
      <c r="X48" s="57" t="s"/>
      <c r="Y48" s="59" t="s"/>
      <c r="Z48" s="59" t="s"/>
      <c r="AA48" s="59" t="s"/>
      <c r="AB48" s="59" t="s"/>
      <c r="AC48" s="59" t="s"/>
      <c r="AD48" s="59" t="s"/>
      <c r="AE48" s="60" t="s"/>
      <c r="AF48" s="59" t="s"/>
      <c r="AG48" s="59" t="s"/>
      <c r="AH48" s="59" t="s"/>
      <c r="AI48" s="59" t="s"/>
      <c r="AJ48" s="59" t="s"/>
    </row>
    <row r="49" spans="1:36" ht="13.5">
      <c r="A49" s="92" t="s"/>
      <c r="B49" s="92" t="s"/>
      <c r="C49" s="92" t="s"/>
      <c r="D49" s="92" t="s"/>
      <c r="E49" s="92" t="s"/>
      <c r="F49" s="92" t="s"/>
      <c r="G49" s="92" t="s"/>
      <c r="H49" s="92" t="s"/>
      <c r="I49" s="92" t="s"/>
      <c r="J49" s="92" t="s"/>
      <c r="K49" s="92" t="s"/>
      <c r="L49" s="92" t="s"/>
      <c r="M49" s="92" t="s"/>
      <c r="N49" s="92" t="s"/>
      <c r="O49" s="92" t="s"/>
      <c r="P49" s="38" t="s"/>
      <c r="Q49" s="38" t="s"/>
      <c r="R49" s="38" t="s"/>
      <c r="S49" s="38" t="s"/>
      <c r="T49" s="78" t="s"/>
      <c r="U49" s="79" t="s"/>
      <c r="V49" s="38" t="s"/>
      <c r="W49" s="57" t="s"/>
      <c r="X49" s="57" t="s"/>
      <c r="Y49" s="59" t="s"/>
      <c r="Z49" s="59" t="s"/>
      <c r="AA49" s="59" t="s"/>
      <c r="AB49" s="59" t="s"/>
      <c r="AC49" s="59" t="s"/>
      <c r="AD49" s="59" t="s"/>
      <c r="AE49" s="60" t="s"/>
      <c r="AF49" s="59" t="s"/>
      <c r="AG49" s="59" t="s"/>
      <c r="AH49" s="59" t="s"/>
      <c r="AI49" s="59" t="s"/>
      <c r="AJ49" s="59" t="s"/>
    </row>
    <row r="50" spans="1:36" ht="13.5">
      <c r="A50" s="92" t="s"/>
      <c r="B50" s="92" t="s"/>
      <c r="C50" s="92" t="s"/>
      <c r="D50" s="92" t="s"/>
      <c r="E50" s="92" t="s"/>
      <c r="F50" s="92" t="s"/>
      <c r="G50" s="92" t="s"/>
      <c r="H50" s="92" t="s"/>
      <c r="I50" s="92" t="s"/>
      <c r="J50" s="92" t="s"/>
      <c r="K50" s="92" t="s"/>
      <c r="L50" s="92" t="s"/>
      <c r="M50" s="92" t="s"/>
      <c r="N50" s="92" t="s"/>
      <c r="O50" s="92" t="s"/>
      <c r="P50" s="38" t="s"/>
      <c r="Q50" s="38" t="s"/>
      <c r="R50" s="38" t="s"/>
      <c r="S50" s="38" t="s"/>
      <c r="T50" s="78" t="s"/>
      <c r="U50" s="79" t="s"/>
      <c r="V50" s="38" t="s"/>
      <c r="W50" s="57" t="s"/>
      <c r="X50" s="57" t="s"/>
      <c r="Y50" s="59" t="s"/>
      <c r="Z50" s="59" t="s"/>
      <c r="AA50" s="59" t="s"/>
      <c r="AB50" s="59" t="s"/>
      <c r="AC50" s="59" t="s"/>
      <c r="AD50" s="59" t="s"/>
      <c r="AE50" s="60" t="s"/>
      <c r="AF50" s="59" t="s"/>
      <c r="AG50" s="59" t="s"/>
      <c r="AH50" s="59" t="s"/>
      <c r="AI50" s="59" t="s"/>
      <c r="AJ50" s="59" t="s"/>
    </row>
    <row r="51" spans="1:36" ht="13.5">
      <c r="A51" s="92" t="s"/>
      <c r="B51" s="92" t="s"/>
      <c r="C51" s="92" t="s"/>
      <c r="D51" s="92" t="s"/>
      <c r="E51" s="92" t="s"/>
      <c r="F51" s="92" t="s"/>
      <c r="G51" s="92" t="s"/>
      <c r="H51" s="92" t="s"/>
      <c r="I51" s="92" t="s"/>
      <c r="J51" s="92" t="s"/>
      <c r="K51" s="92" t="s"/>
      <c r="L51" s="92" t="s"/>
      <c r="M51" s="92" t="s"/>
      <c r="N51" s="92" t="s"/>
      <c r="O51" s="92" t="s"/>
      <c r="P51" s="38" t="s"/>
      <c r="Q51" s="38" t="s"/>
      <c r="R51" s="38" t="s"/>
      <c r="S51" s="38" t="s"/>
      <c r="T51" s="78" t="s"/>
      <c r="U51" s="79" t="s"/>
      <c r="V51" s="38" t="s"/>
      <c r="W51" s="57" t="s"/>
      <c r="X51" s="57" t="s"/>
      <c r="Y51" s="59" t="s"/>
      <c r="Z51" s="59" t="s"/>
      <c r="AA51" s="59" t="s"/>
      <c r="AB51" s="59" t="s"/>
      <c r="AC51" s="59" t="s"/>
      <c r="AD51" s="59" t="s"/>
      <c r="AE51" s="60" t="s"/>
      <c r="AF51" s="59" t="s"/>
      <c r="AG51" s="59" t="s"/>
      <c r="AH51" s="59" t="s"/>
      <c r="AI51" s="59" t="s"/>
      <c r="AJ51" s="59" t="s"/>
    </row>
    <row r="52" spans="1:36" ht="13.5">
      <c r="A52" s="92" t="s"/>
      <c r="B52" s="92" t="s"/>
      <c r="C52" s="92" t="s"/>
      <c r="D52" s="92" t="s"/>
      <c r="E52" s="92" t="s"/>
      <c r="F52" s="92" t="s"/>
      <c r="G52" s="92" t="s"/>
      <c r="H52" s="92" t="s"/>
      <c r="I52" s="92" t="s"/>
      <c r="J52" s="92" t="s"/>
      <c r="K52" s="92" t="s"/>
      <c r="L52" s="92" t="s"/>
      <c r="M52" s="92" t="s"/>
      <c r="N52" s="92" t="s"/>
      <c r="O52" s="92" t="s"/>
      <c r="P52" s="38" t="s"/>
      <c r="Q52" s="38" t="s"/>
      <c r="R52" s="38" t="s"/>
      <c r="S52" s="38" t="s"/>
      <c r="T52" s="78" t="s"/>
      <c r="U52" s="79" t="s"/>
      <c r="V52" s="38" t="s"/>
      <c r="W52" s="57" t="s"/>
      <c r="X52" s="57" t="s"/>
      <c r="Y52" s="59" t="s"/>
      <c r="Z52" s="59" t="s"/>
      <c r="AA52" s="59" t="s"/>
      <c r="AB52" s="59" t="s"/>
      <c r="AC52" s="59" t="s"/>
      <c r="AD52" s="59" t="s"/>
      <c r="AE52" s="60" t="s"/>
      <c r="AF52" s="59" t="s"/>
      <c r="AG52" s="59" t="s"/>
      <c r="AH52" s="59" t="s"/>
      <c r="AI52" s="59" t="s"/>
      <c r="AJ52" s="59" t="s"/>
    </row>
    <row r="53" spans="1:36" ht="13.5">
      <c r="A53" s="92" t="s"/>
      <c r="B53" s="92" t="s"/>
      <c r="C53" s="92" t="s"/>
      <c r="D53" s="92" t="s"/>
      <c r="E53" s="92" t="s"/>
      <c r="F53" s="92" t="s"/>
      <c r="G53" s="92" t="s"/>
      <c r="H53" s="92" t="s"/>
      <c r="I53" s="92" t="s"/>
      <c r="J53" s="92" t="s"/>
      <c r="K53" s="92" t="s"/>
      <c r="L53" s="92" t="s"/>
      <c r="M53" s="92" t="s"/>
      <c r="N53" s="92" t="s"/>
      <c r="O53" s="92" t="s"/>
      <c r="P53" s="38" t="s"/>
      <c r="Q53" s="38" t="s"/>
      <c r="R53" s="38" t="s"/>
      <c r="S53" s="38" t="s"/>
      <c r="T53" s="78" t="s"/>
      <c r="U53" s="79" t="s"/>
      <c r="V53" s="38" t="s"/>
      <c r="W53" s="57" t="s"/>
      <c r="X53" s="57" t="s"/>
      <c r="Y53" s="59" t="s"/>
      <c r="Z53" s="59" t="s"/>
      <c r="AA53" s="59" t="s"/>
      <c r="AB53" s="59" t="s"/>
      <c r="AC53" s="59" t="s"/>
      <c r="AD53" s="59" t="s"/>
      <c r="AE53" s="60" t="s"/>
      <c r="AF53" s="59" t="s"/>
      <c r="AG53" s="59" t="s"/>
      <c r="AH53" s="59" t="s"/>
      <c r="AI53" s="59" t="s"/>
      <c r="AJ53" s="59" t="s"/>
    </row>
    <row r="54" spans="1:36" ht="13.5">
      <c r="A54" s="92" t="s"/>
      <c r="B54" s="92" t="s"/>
      <c r="C54" s="92" t="s"/>
      <c r="D54" s="92" t="s"/>
      <c r="E54" s="92" t="s"/>
      <c r="F54" s="92" t="s"/>
      <c r="G54" s="92" t="s"/>
      <c r="H54" s="92" t="s"/>
      <c r="I54" s="92" t="s"/>
      <c r="J54" s="92" t="s"/>
      <c r="K54" s="92" t="s"/>
      <c r="L54" s="92" t="s"/>
      <c r="M54" s="92" t="s"/>
      <c r="N54" s="92" t="s"/>
      <c r="O54" s="92" t="s"/>
      <c r="P54" s="38" t="s"/>
      <c r="Q54" s="38" t="s"/>
      <c r="R54" s="38" t="s"/>
      <c r="S54" s="38" t="s"/>
      <c r="T54" s="78" t="s"/>
      <c r="U54" s="79" t="s"/>
      <c r="V54" s="38" t="s"/>
      <c r="W54" s="57" t="s"/>
      <c r="X54" s="57" t="s"/>
      <c r="Y54" s="59" t="s"/>
      <c r="Z54" s="59" t="s"/>
      <c r="AA54" s="59" t="s"/>
      <c r="AB54" s="59" t="s"/>
      <c r="AC54" s="59" t="s"/>
      <c r="AD54" s="59" t="s"/>
      <c r="AE54" s="60" t="s"/>
      <c r="AF54" s="59" t="s"/>
      <c r="AG54" s="59" t="s"/>
      <c r="AH54" s="59" t="s"/>
      <c r="AI54" s="59" t="s"/>
      <c r="AJ54" s="59" t="s"/>
    </row>
    <row r="55" spans="1:36" ht="13.5">
      <c r="A55" s="92" t="s"/>
      <c r="B55" s="92" t="s"/>
      <c r="C55" s="92" t="s"/>
      <c r="D55" s="92" t="s"/>
      <c r="E55" s="92" t="s"/>
      <c r="F55" s="92" t="s"/>
      <c r="G55" s="92" t="s"/>
      <c r="H55" s="92" t="s"/>
      <c r="I55" s="92" t="s"/>
      <c r="J55" s="92" t="s"/>
      <c r="K55" s="92" t="s"/>
      <c r="L55" s="92" t="s"/>
      <c r="M55" s="92" t="s"/>
      <c r="N55" s="92" t="s"/>
      <c r="O55" s="92" t="s"/>
      <c r="P55" s="38" t="s"/>
      <c r="Q55" s="38" t="s"/>
      <c r="R55" s="38" t="s"/>
      <c r="S55" s="38" t="s"/>
      <c r="T55" s="78" t="s"/>
      <c r="U55" s="79" t="s"/>
      <c r="V55" s="38" t="s"/>
      <c r="W55" s="57" t="s"/>
      <c r="X55" s="57" t="s"/>
      <c r="Y55" s="59" t="s"/>
      <c r="Z55" s="59" t="s"/>
      <c r="AA55" s="59" t="s"/>
      <c r="AB55" s="59" t="s"/>
      <c r="AC55" s="59" t="s"/>
      <c r="AD55" s="59" t="s"/>
      <c r="AE55" s="60" t="s"/>
      <c r="AF55" s="59" t="s"/>
      <c r="AG55" s="59" t="s"/>
      <c r="AH55" s="59" t="s"/>
      <c r="AI55" s="59" t="s"/>
      <c r="AJ55" s="59" t="s"/>
    </row>
    <row r="56" spans="1:36" ht="13.5">
      <c r="A56" s="93" t="s"/>
      <c r="B56" s="92" t="s"/>
      <c r="C56" s="92" t="s"/>
      <c r="D56" s="92" t="s"/>
      <c r="E56" s="92" t="s"/>
      <c r="F56" s="94" t="s"/>
      <c r="G56" s="57" t="s"/>
      <c r="H56" s="57" t="s"/>
      <c r="I56" s="57" t="s"/>
      <c r="J56" s="57" t="s"/>
      <c r="K56" s="57" t="s"/>
      <c r="L56" s="57" t="s"/>
      <c r="M56" s="57" t="s"/>
      <c r="N56" s="57" t="s"/>
      <c r="O56" s="57" t="s"/>
      <c r="P56" s="38" t="s"/>
      <c r="Q56" s="38" t="s"/>
      <c r="R56" s="38" t="s"/>
      <c r="S56" s="38" t="s"/>
      <c r="T56" s="78" t="s"/>
      <c r="U56" s="79" t="s"/>
      <c r="V56" s="38" t="s"/>
      <c r="W56" s="57" t="s"/>
      <c r="X56" s="57" t="s"/>
      <c r="Y56" s="59" t="s"/>
      <c r="Z56" s="59" t="s"/>
      <c r="AA56" s="59" t="s"/>
      <c r="AB56" s="59" t="s"/>
      <c r="AC56" s="59" t="s"/>
      <c r="AD56" s="59" t="s"/>
      <c r="AE56" s="60" t="s"/>
      <c r="AF56" s="59" t="s"/>
      <c r="AG56" s="59" t="s"/>
      <c r="AH56" s="59" t="s"/>
      <c r="AI56" s="59" t="s"/>
      <c r="AJ56" s="59" t="s"/>
    </row>
    <row r="57" spans="1:36" ht="14.25">
      <c r="A57" s="95" t="s">
        <v>191</v>
      </c>
      <c r="B57" s="6" t="s"/>
      <c r="C57" s="6" t="s"/>
      <c r="D57" s="6" t="s"/>
      <c r="E57" s="6" t="s"/>
      <c r="F57" s="6" t="s"/>
      <c r="G57" s="6" t="s"/>
      <c r="H57" s="6" t="s"/>
      <c r="I57" s="6" t="s"/>
      <c r="J57" s="6" t="s"/>
      <c r="K57" s="6" t="s"/>
      <c r="L57" s="6" t="s"/>
      <c r="M57" s="6" t="s"/>
      <c r="N57" s="6" t="s"/>
      <c r="O57" s="6" t="s"/>
      <c r="P57" s="38" t="s"/>
      <c r="Q57" s="38" t="s"/>
      <c r="R57" s="38" t="s"/>
      <c r="S57" s="96" t="s"/>
      <c r="T57" s="97" t="s"/>
      <c r="U57" s="97" t="s"/>
      <c r="V57" s="97" t="s"/>
      <c r="W57" s="18" t="s"/>
      <c r="X57" s="97" t="s"/>
      <c r="Y57" s="98" t="s"/>
      <c r="Z57" s="79" t="s"/>
      <c r="AA57" s="79" t="s"/>
      <c r="AB57" s="79" t="s"/>
      <c r="AC57" s="79" t="s"/>
      <c r="AD57" s="79" t="s"/>
      <c r="AE57" s="52" t="s"/>
      <c r="AF57" s="79" t="s"/>
      <c r="AG57" s="79" t="s"/>
      <c r="AH57" s="79" t="s"/>
      <c r="AI57" s="79" t="s"/>
      <c r="AJ57" s="79" t="s"/>
    </row>
    <row r="58" spans="1:36" ht="14.25">
      <c r="A58" s="6" t="s"/>
      <c r="B58" s="6" t="s"/>
      <c r="C58" s="6" t="s"/>
      <c r="D58" s="6" t="s"/>
      <c r="E58" s="6" t="s"/>
      <c r="F58" s="6" t="s"/>
      <c r="G58" s="6" t="s"/>
      <c r="H58" s="6" t="s"/>
      <c r="I58" s="6" t="s"/>
      <c r="J58" s="6" t="s"/>
      <c r="K58" s="6" t="s"/>
      <c r="L58" s="6" t="s"/>
      <c r="M58" s="6" t="s"/>
      <c r="N58" s="6" t="s"/>
      <c r="O58" s="6" t="s"/>
      <c r="P58" s="38" t="s"/>
      <c r="Q58" s="38" t="s"/>
      <c r="R58" s="38" t="s"/>
      <c r="S58" s="99" t="s"/>
      <c r="T58" s="100" t="s"/>
      <c r="U58" s="101" t="s"/>
      <c r="V58" s="102" t="s"/>
      <c r="W58" s="102" t="s"/>
      <c r="X58" s="99" t="s"/>
      <c r="Y58" s="98" t="s"/>
      <c r="Z58" s="79" t="s"/>
      <c r="AA58" s="79" t="s"/>
      <c r="AB58" s="79" t="s"/>
      <c r="AC58" s="79" t="s"/>
      <c r="AD58" s="79" t="s"/>
      <c r="AE58" s="52" t="s"/>
      <c r="AF58" s="79" t="s"/>
      <c r="AG58" s="79" t="s"/>
      <c r="AH58" s="79" t="s"/>
      <c r="AI58" s="79" t="s"/>
      <c r="AJ58" s="79" t="s"/>
    </row>
    <row r="59" spans="1:36" ht="14.25">
      <c r="A59" s="95" t="s">
        <v>192</v>
      </c>
      <c r="B59" s="95" t="s"/>
      <c r="C59" s="95" t="s"/>
      <c r="D59" s="103" t="s">
        <v>44</v>
      </c>
      <c r="E59" s="6" t="s"/>
      <c r="F59" s="6" t="s"/>
      <c r="G59" s="6" t="s"/>
      <c r="H59" s="6" t="s"/>
      <c r="I59" s="6" t="s"/>
      <c r="J59" s="6" t="s"/>
      <c r="K59" s="6" t="s"/>
      <c r="L59" s="6" t="s"/>
      <c r="M59" s="6" t="s"/>
      <c r="N59" s="6" t="s"/>
      <c r="O59" s="6" t="s"/>
      <c r="P59" s="38" t="s"/>
      <c r="Q59" s="38" t="s"/>
      <c r="R59" s="38" t="s"/>
      <c r="S59" s="99" t="s">
        <v>193</v>
      </c>
      <c r="T59" s="104" t="s">
        <v>194</v>
      </c>
      <c r="U59" s="105" t="s">
        <v>195</v>
      </c>
      <c r="V59" s="102" t="s">
        <v>78</v>
      </c>
      <c r="W59" s="102" t="s">
        <v>101</v>
      </c>
      <c r="X59" s="99" t="s"/>
      <c r="Y59" s="98" t="s">
        <v>196</v>
      </c>
      <c r="Z59" s="59" t="s"/>
      <c r="AA59" s="59" t="s"/>
      <c r="AB59" s="59" t="s"/>
      <c r="AC59" s="59" t="s"/>
      <c r="AD59" s="59" t="s"/>
      <c r="AE59" s="60" t="s"/>
      <c r="AF59" s="59" t="s"/>
      <c r="AG59" s="59" t="s"/>
      <c r="AH59" s="59" t="s"/>
      <c r="AI59" s="59" t="s"/>
      <c r="AJ59" s="59" t="s"/>
    </row>
    <row r="60" spans="1:36" ht="27">
      <c r="A60" s="106" t="s">
        <v>197</v>
      </c>
      <c r="B60" s="106" t="s">
        <v>52</v>
      </c>
      <c r="C60" s="107" t="s">
        <v>198</v>
      </c>
      <c r="D60" s="108" t="s">
        <v>55</v>
      </c>
      <c r="E60" s="108" t="s">
        <v>56</v>
      </c>
      <c r="F60" s="109" t="s">
        <v>57</v>
      </c>
      <c r="G60" s="109" t="s">
        <v>58</v>
      </c>
      <c r="H60" s="109" t="s">
        <v>59</v>
      </c>
      <c r="I60" s="109" t="s">
        <v>60</v>
      </c>
      <c r="J60" s="109" t="s">
        <v>61</v>
      </c>
      <c r="K60" s="108" t="s">
        <v>62</v>
      </c>
      <c r="L60" s="110" t="s">
        <v>63</v>
      </c>
      <c r="M60" s="110" t="s">
        <v>64</v>
      </c>
      <c r="N60" s="110" t="s">
        <v>65</v>
      </c>
      <c r="O60" s="110" t="s">
        <v>66</v>
      </c>
      <c r="P60" s="38" t="s"/>
      <c r="Q60" s="38" t="s"/>
      <c r="R60" s="38" t="s"/>
      <c r="S60" s="65" t="s">
        <v>199</v>
      </c>
      <c r="T60" s="104">
        <v>15.9583333333333</v>
      </c>
      <c r="U60" s="105">
        <v>0.352670349907919</v>
      </c>
      <c r="V60" s="111">
        <v>10.3333333333333</v>
      </c>
      <c r="W60" s="102">
        <v>5.625</v>
      </c>
      <c r="X60" s="99" t="s"/>
      <c r="Y60" s="98">
        <v>15.9583333333333</v>
      </c>
      <c r="Z60" s="59" t="s"/>
      <c r="AA60" s="59" t="s"/>
      <c r="AB60" s="59" t="s"/>
      <c r="AC60" s="59" t="s"/>
      <c r="AD60" s="59" t="s"/>
      <c r="AE60" s="60" t="s"/>
      <c r="AF60" s="59" t="s"/>
      <c r="AG60" s="59" t="s"/>
      <c r="AH60" s="59" t="s"/>
      <c r="AI60" s="59" t="s"/>
      <c r="AJ60" s="59" t="s"/>
    </row>
    <row r="61" spans="1:36" ht="14.25">
      <c r="A61" s="112" t="s">
        <v>200</v>
      </c>
      <c r="B61" s="76" t="s">
        <v>78</v>
      </c>
      <c r="C61" s="113">
        <f>=D61/D87</f>
        <v>0.277777777777778</v>
      </c>
      <c r="D61" s="114">
        <v>5</v>
      </c>
      <c r="E61" s="114">
        <v>5</v>
      </c>
      <c r="F61" s="114">
        <v>12</v>
      </c>
      <c r="G61" s="115">
        <v>12</v>
      </c>
      <c r="H61" s="114">
        <v>12</v>
      </c>
      <c r="I61" s="114">
        <v>12</v>
      </c>
      <c r="J61" s="114">
        <v>12</v>
      </c>
      <c r="K61" s="55" t="s"/>
      <c r="L61" s="55" t="s"/>
      <c r="M61" s="55" t="s"/>
      <c r="N61" s="55" t="s"/>
      <c r="O61" s="55" t="s"/>
      <c r="P61" s="38" t="s"/>
      <c r="Q61" s="38" t="s"/>
      <c r="R61" s="38" t="s"/>
      <c r="S61" s="116" t="s">
        <v>201</v>
      </c>
      <c r="T61" s="104">
        <v>9.91666666666666</v>
      </c>
      <c r="U61" s="105">
        <v>0.219152854511971</v>
      </c>
      <c r="V61" s="111">
        <v>5.83333333333333</v>
      </c>
      <c r="W61" s="102">
        <v>4.08333333333333</v>
      </c>
      <c r="X61" s="99" t="s"/>
      <c r="Y61" s="98">
        <v>9.91666666666666</v>
      </c>
      <c r="Z61" s="59" t="s"/>
      <c r="AA61" s="59" t="s"/>
      <c r="AB61" s="59" t="s"/>
      <c r="AC61" s="59" t="s"/>
      <c r="AD61" s="59" t="s"/>
      <c r="AE61" s="60" t="s"/>
      <c r="AF61" s="59" t="s"/>
      <c r="AG61" s="59" t="s"/>
      <c r="AH61" s="59" t="s"/>
      <c r="AI61" s="59" t="s"/>
      <c r="AJ61" s="59" t="s"/>
    </row>
    <row r="62" spans="1:36" ht="14.25">
      <c r="A62" s="112" t="s"/>
      <c r="B62" s="76" t="s">
        <v>101</v>
      </c>
      <c r="C62" s="113">
        <f>=D62/D88</f>
        <v>0</v>
      </c>
      <c r="D62" s="114">
        <v>0</v>
      </c>
      <c r="E62" s="114">
        <v>0</v>
      </c>
      <c r="F62" s="114">
        <v>1</v>
      </c>
      <c r="G62" s="115">
        <v>5</v>
      </c>
      <c r="H62" s="114">
        <v>10</v>
      </c>
      <c r="I62" s="114">
        <v>10</v>
      </c>
      <c r="J62" s="114">
        <v>3</v>
      </c>
      <c r="K62" s="55" t="s"/>
      <c r="L62" s="55" t="s"/>
      <c r="M62" s="55" t="s"/>
      <c r="N62" s="55" t="s"/>
      <c r="O62" s="55" t="s"/>
      <c r="P62" s="38" t="s"/>
      <c r="Q62" s="38" t="s"/>
      <c r="R62" s="38" t="s"/>
      <c r="S62" s="116" t="s">
        <v>202</v>
      </c>
      <c r="T62" s="104">
        <v>5.375</v>
      </c>
      <c r="U62" s="105">
        <v>0.125</v>
      </c>
      <c r="V62" s="111">
        <v>2.91666666666667</v>
      </c>
      <c r="W62" s="102">
        <v>2.45833333333333</v>
      </c>
      <c r="X62" s="99" t="s"/>
      <c r="Y62" s="98">
        <v>5.375</v>
      </c>
      <c r="Z62" s="59" t="s"/>
      <c r="AA62" s="59" t="s"/>
      <c r="AB62" s="59" t="s"/>
      <c r="AC62" s="59" t="s"/>
      <c r="AD62" s="59" t="s"/>
      <c r="AE62" s="60" t="s"/>
      <c r="AF62" s="59" t="s"/>
      <c r="AG62" s="59" t="s"/>
      <c r="AH62" s="59" t="s"/>
      <c r="AI62" s="59" t="s"/>
      <c r="AJ62" s="59" t="s"/>
    </row>
    <row r="63" spans="1:36" ht="14.25">
      <c r="A63" s="117" t="s">
        <v>203</v>
      </c>
      <c r="B63" s="76" t="s">
        <v>78</v>
      </c>
      <c r="C63" s="113">
        <f>=D63/D87</f>
        <v>0.277777777777778</v>
      </c>
      <c r="D63" s="118">
        <v>5</v>
      </c>
      <c r="E63" s="118">
        <v>5</v>
      </c>
      <c r="F63" s="118">
        <v>5</v>
      </c>
      <c r="G63" s="118">
        <v>5</v>
      </c>
      <c r="H63" s="119" t="s"/>
      <c r="I63" s="119" t="s"/>
      <c r="J63" s="119" t="s"/>
      <c r="K63" s="119" t="s"/>
      <c r="L63" s="119" t="s"/>
      <c r="M63" s="119" t="s"/>
      <c r="N63" s="120" t="s"/>
      <c r="O63" s="120" t="s"/>
      <c r="P63" s="38" t="s"/>
      <c r="Q63" s="38" t="s"/>
      <c r="R63" s="38" t="s"/>
      <c r="S63" s="116" t="s">
        <v>204</v>
      </c>
      <c r="T63" s="104">
        <v>1.83333333333333</v>
      </c>
      <c r="U63" s="105">
        <v>0.0405156537753223</v>
      </c>
      <c r="V63" s="111">
        <v>0.75</v>
      </c>
      <c r="W63" s="102">
        <v>1.08333333333333</v>
      </c>
      <c r="X63" s="99" t="s"/>
      <c r="Y63" s="98">
        <v>1.83333333333333</v>
      </c>
      <c r="Z63" s="59" t="s"/>
      <c r="AA63" s="59" t="s"/>
      <c r="AB63" s="59" t="s"/>
      <c r="AC63" s="59" t="s"/>
      <c r="AD63" s="59" t="s"/>
      <c r="AE63" s="60" t="s"/>
      <c r="AF63" s="59" t="s"/>
      <c r="AG63" s="59" t="s"/>
      <c r="AH63" s="59" t="s"/>
      <c r="AI63" s="59" t="s"/>
      <c r="AJ63" s="59" t="s"/>
    </row>
    <row r="64" spans="1:29" ht="14.25">
      <c r="A64" s="121" t="s"/>
      <c r="B64" s="76" t="s">
        <v>101</v>
      </c>
      <c r="C64" s="113">
        <f>=D64/D88</f>
        <v>0</v>
      </c>
      <c r="D64" s="118">
        <v>0</v>
      </c>
      <c r="E64" s="118">
        <v>3</v>
      </c>
      <c r="F64" s="118">
        <v>10</v>
      </c>
      <c r="G64" s="118">
        <v>5</v>
      </c>
      <c r="H64" s="119" t="s"/>
      <c r="I64" s="119" t="s"/>
      <c r="J64" s="119" t="s"/>
      <c r="K64" s="119" t="s"/>
      <c r="L64" s="119" t="s"/>
      <c r="M64" s="119" t="s"/>
      <c r="N64" s="120" t="s"/>
      <c r="O64" s="120" t="s"/>
      <c r="P64" s="38" t="s"/>
      <c r="Q64" s="38" t="s"/>
      <c r="R64" s="38" t="s"/>
      <c r="S64" s="116" t="s">
        <v>205</v>
      </c>
      <c r="T64" s="104">
        <v>2</v>
      </c>
      <c r="U64" s="105">
        <v>0.0441988950276243</v>
      </c>
      <c r="V64" s="102">
        <v>1.5</v>
      </c>
      <c r="W64" s="102">
        <v>0.5</v>
      </c>
      <c r="X64" s="99" t="s"/>
      <c r="Y64" s="97" t="s"/>
      <c r="Z64" s="59" t="s"/>
      <c r="AA64" s="59" t="s"/>
      <c r="AB64" s="59" t="s"/>
      <c r="AC64" s="59" t="s"/>
    </row>
    <row r="65" spans="1:36" ht="28.5">
      <c r="A65" s="117" t="s">
        <v>206</v>
      </c>
      <c r="B65" s="54" t="s">
        <v>78</v>
      </c>
      <c r="C65" s="113">
        <f>=D65/D87</f>
        <v>0.222222222222222</v>
      </c>
      <c r="D65" s="122">
        <v>4</v>
      </c>
      <c r="E65" s="122">
        <v>3</v>
      </c>
      <c r="F65" s="122">
        <v>1</v>
      </c>
      <c r="G65" s="122">
        <v>1</v>
      </c>
      <c r="H65" s="122">
        <v>1</v>
      </c>
      <c r="I65" s="122">
        <v>1</v>
      </c>
      <c r="J65" s="122">
        <v>1</v>
      </c>
      <c r="K65" s="122">
        <v>6</v>
      </c>
      <c r="L65" s="123">
        <v>6</v>
      </c>
      <c r="M65" s="123">
        <v>6</v>
      </c>
      <c r="N65" s="123">
        <v>6</v>
      </c>
      <c r="O65" s="123">
        <v>6</v>
      </c>
      <c r="P65" s="38" t="s"/>
      <c r="Q65" s="38" t="s"/>
      <c r="R65" s="38" t="s"/>
      <c r="S65" s="116" t="s">
        <v>207</v>
      </c>
      <c r="T65" s="104">
        <v>2.66666666666667</v>
      </c>
      <c r="U65" s="105">
        <v>0.0589318600368325</v>
      </c>
      <c r="V65" s="102">
        <v>2</v>
      </c>
      <c r="W65" s="102">
        <v>0.666666666666667</v>
      </c>
      <c r="X65" s="99" t="s"/>
      <c r="Y65" s="97" t="s"/>
      <c r="Z65" s="59" t="s"/>
      <c r="AA65" s="59" t="s"/>
      <c r="AB65" s="59" t="s"/>
      <c r="AC65" s="59" t="s"/>
      <c r="AD65" s="59" t="s"/>
      <c r="AE65" s="60" t="s"/>
      <c r="AF65" s="59" t="s"/>
      <c r="AG65" s="59" t="s"/>
      <c r="AH65" s="59" t="s"/>
      <c r="AI65" s="59" t="s"/>
      <c r="AJ65" s="59" t="s"/>
    </row>
    <row r="66" spans="1:36" ht="14.25">
      <c r="A66" s="112" t="s"/>
      <c r="B66" s="54" t="s">
        <v>101</v>
      </c>
      <c r="C66" s="113">
        <f>=D66/D88</f>
        <v>0</v>
      </c>
      <c r="D66" s="124" t="s"/>
      <c r="E66" s="124" t="s"/>
      <c r="F66" s="124">
        <v>1</v>
      </c>
      <c r="G66" s="124">
        <v>1</v>
      </c>
      <c r="H66" s="124">
        <v>1</v>
      </c>
      <c r="I66" s="124">
        <v>1</v>
      </c>
      <c r="J66" s="124">
        <v>4</v>
      </c>
      <c r="K66" s="124">
        <v>7</v>
      </c>
      <c r="L66" s="123">
        <v>7</v>
      </c>
      <c r="M66" s="123">
        <v>8</v>
      </c>
      <c r="N66" s="123">
        <v>7</v>
      </c>
      <c r="O66" s="123">
        <v>6</v>
      </c>
      <c r="P66" s="38" t="s"/>
      <c r="Q66" s="38" t="s"/>
      <c r="R66" s="38" t="s"/>
      <c r="S66" s="65" t="s">
        <v>208</v>
      </c>
      <c r="T66" s="104">
        <v>4.5</v>
      </c>
      <c r="U66" s="105">
        <v>0.0994475138121548</v>
      </c>
      <c r="V66" s="102">
        <v>3.33333333333333</v>
      </c>
      <c r="W66" s="102">
        <v>1.16666666666667</v>
      </c>
      <c r="X66" s="99" t="s"/>
      <c r="Y66" s="18" t="s"/>
      <c r="Z66" s="59" t="s"/>
      <c r="AA66" s="59" t="s"/>
      <c r="AB66" s="59" t="s"/>
      <c r="AC66" s="59" t="s"/>
      <c r="AD66" s="59" t="s"/>
      <c r="AE66" s="60" t="s"/>
      <c r="AF66" s="59" t="s"/>
      <c r="AG66" s="59" t="s"/>
      <c r="AH66" s="59" t="s"/>
      <c r="AI66" s="59" t="s"/>
      <c r="AJ66" s="59" t="s"/>
    </row>
    <row r="67" spans="1:36" ht="13.5">
      <c r="A67" s="112" t="s">
        <v>209</v>
      </c>
      <c r="B67" s="54" t="s">
        <v>78</v>
      </c>
      <c r="C67" s="113">
        <f>=D67/D87</f>
        <v>0.0555555555555556</v>
      </c>
      <c r="D67" s="125">
        <v>1</v>
      </c>
      <c r="E67" s="125">
        <v>1</v>
      </c>
      <c r="F67" s="125">
        <v>2</v>
      </c>
      <c r="G67" s="125">
        <v>2</v>
      </c>
      <c r="H67" s="125">
        <v>2</v>
      </c>
      <c r="I67" s="125">
        <v>2</v>
      </c>
      <c r="J67" s="125">
        <v>2</v>
      </c>
      <c r="K67" s="125">
        <v>2</v>
      </c>
      <c r="L67" s="55" t="s"/>
      <c r="M67" s="55" t="s"/>
      <c r="N67" s="55" t="s"/>
      <c r="O67" s="55" t="s"/>
      <c r="P67" s="38" t="s"/>
      <c r="Q67" s="38" t="s"/>
      <c r="R67" s="38" t="s"/>
      <c r="S67" s="126" t="s">
        <v>185</v>
      </c>
      <c r="T67" s="127">
        <v>3</v>
      </c>
      <c r="U67" s="105">
        <v>0.0662983425414365</v>
      </c>
      <c r="V67" s="128">
        <v>2</v>
      </c>
      <c r="W67" s="128">
        <v>1</v>
      </c>
      <c r="X67" s="128" t="s"/>
      <c r="Y67" s="98">
        <v>3</v>
      </c>
      <c r="Z67" s="59" t="s"/>
      <c r="AA67" s="59" t="s"/>
      <c r="AB67" s="59" t="s"/>
      <c r="AC67" s="59" t="s"/>
      <c r="AD67" s="59" t="s"/>
      <c r="AE67" s="60" t="s"/>
      <c r="AF67" s="59" t="s"/>
      <c r="AG67" s="59" t="s"/>
      <c r="AH67" s="59" t="s"/>
      <c r="AI67" s="59" t="s"/>
      <c r="AJ67" s="59" t="s"/>
    </row>
    <row r="68" spans="1:36" ht="13.5">
      <c r="A68" s="112" t="s"/>
      <c r="B68" s="54" t="s">
        <v>101</v>
      </c>
      <c r="C68" s="113">
        <f>=D68/D88</f>
        <v>0</v>
      </c>
      <c r="D68" s="125" t="s"/>
      <c r="E68" s="125" t="s"/>
      <c r="F68" s="125">
        <v>2</v>
      </c>
      <c r="G68" s="125">
        <v>2</v>
      </c>
      <c r="H68" s="125">
        <v>0</v>
      </c>
      <c r="I68" s="125">
        <v>0</v>
      </c>
      <c r="J68" s="125">
        <v>2</v>
      </c>
      <c r="K68" s="125">
        <v>2</v>
      </c>
      <c r="L68" s="55" t="s"/>
      <c r="M68" s="55" t="s"/>
      <c r="N68" s="55" t="s"/>
      <c r="O68" s="55" t="s"/>
      <c r="P68" s="38" t="s"/>
      <c r="Q68" s="38" t="s"/>
      <c r="R68" s="38" t="s"/>
      <c r="S68" s="129" t="s">
        <v>210</v>
      </c>
      <c r="T68" s="130">
        <v>45.25</v>
      </c>
      <c r="U68" s="131">
        <v>1</v>
      </c>
      <c r="V68" s="13">
        <v>28.6666666666666</v>
      </c>
      <c r="W68" s="13">
        <v>16.5833333333333</v>
      </c>
      <c r="X68" s="13" t="s"/>
      <c r="Y68" s="18">
        <v>45.25</v>
      </c>
      <c r="Z68" s="59" t="s"/>
      <c r="AA68" s="59" t="s"/>
      <c r="AB68" s="59" t="s"/>
      <c r="AC68" s="59" t="s"/>
      <c r="AD68" s="59" t="s"/>
      <c r="AE68" s="60" t="s"/>
      <c r="AF68" s="59" t="s"/>
      <c r="AG68" s="59" t="s"/>
      <c r="AH68" s="59" t="s"/>
      <c r="AI68" s="59" t="s"/>
      <c r="AJ68" s="59" t="s"/>
    </row>
    <row r="69" spans="1:36" ht="13.5">
      <c r="A69" s="112" t="s">
        <v>211</v>
      </c>
      <c r="B69" s="54" t="s">
        <v>78</v>
      </c>
      <c r="C69" s="113">
        <f>=D69/D87</f>
        <v>0</v>
      </c>
      <c r="D69" s="132" t="s"/>
      <c r="E69" s="132">
        <v>0</v>
      </c>
      <c r="F69" s="132">
        <v>1</v>
      </c>
      <c r="G69" s="132">
        <v>0</v>
      </c>
      <c r="H69" s="132">
        <v>3</v>
      </c>
      <c r="I69" s="132">
        <v>3</v>
      </c>
      <c r="J69" s="132">
        <v>3</v>
      </c>
      <c r="K69" s="132">
        <v>3</v>
      </c>
      <c r="L69" s="132">
        <v>3</v>
      </c>
      <c r="M69" s="132">
        <v>3</v>
      </c>
      <c r="N69" s="132">
        <v>3</v>
      </c>
      <c r="O69" s="132">
        <v>3</v>
      </c>
      <c r="P69" s="38" t="s"/>
      <c r="Q69" s="38" t="s"/>
      <c r="R69" s="38" t="s"/>
      <c r="S69" s="129" t="s">
        <v>212</v>
      </c>
      <c r="T69" s="130">
        <v>43</v>
      </c>
      <c r="U69" s="131" t="s"/>
      <c r="V69" s="13">
        <v>27</v>
      </c>
      <c r="W69" s="13">
        <v>16</v>
      </c>
      <c r="X69" s="13" t="s"/>
      <c r="Y69" s="18" t="s"/>
      <c r="Z69" s="59" t="s"/>
      <c r="AA69" s="59" t="s"/>
      <c r="AB69" s="59" t="s"/>
      <c r="AC69" s="59" t="s"/>
      <c r="AD69" s="59" t="s"/>
      <c r="AE69" s="60" t="s"/>
      <c r="AF69" s="59" t="s"/>
      <c r="AG69" s="59" t="s"/>
      <c r="AH69" s="59" t="s"/>
      <c r="AI69" s="59" t="s"/>
      <c r="AJ69" s="59" t="s"/>
    </row>
    <row r="70" spans="1:36" ht="13.5">
      <c r="A70" s="112" t="s"/>
      <c r="B70" s="54" t="s">
        <v>101</v>
      </c>
      <c r="C70" s="113">
        <f>=D70/D88</f>
        <v>0</v>
      </c>
      <c r="D70" s="132" t="s"/>
      <c r="E70" s="132" t="s"/>
      <c r="F70" s="132" t="s"/>
      <c r="G70" s="132" t="s"/>
      <c r="H70" s="132" t="s"/>
      <c r="I70" s="132" t="s"/>
      <c r="J70" s="132">
        <v>4</v>
      </c>
      <c r="K70" s="132">
        <v>4</v>
      </c>
      <c r="L70" s="132">
        <v>4</v>
      </c>
      <c r="M70" s="132">
        <v>4</v>
      </c>
      <c r="N70" s="132">
        <v>4</v>
      </c>
      <c r="O70" s="132">
        <v>3</v>
      </c>
      <c r="P70" s="38" t="s"/>
      <c r="Q70" s="38" t="s"/>
      <c r="R70" s="38" t="s"/>
      <c r="S70" s="13" t="s"/>
      <c r="T70" s="130" t="s"/>
      <c r="U70" s="131" t="s"/>
      <c r="V70" s="13" t="s"/>
      <c r="W70" s="13" t="s"/>
      <c r="X70" s="13" t="s"/>
      <c r="Y70" s="18" t="s"/>
      <c r="Z70" s="59" t="s"/>
      <c r="AA70" s="59" t="s"/>
      <c r="AB70" s="59" t="s"/>
      <c r="AC70" s="59" t="s"/>
      <c r="AD70" s="59" t="s"/>
      <c r="AE70" s="60" t="s"/>
      <c r="AF70" s="59" t="s"/>
      <c r="AG70" s="59" t="s"/>
      <c r="AH70" s="59" t="s"/>
      <c r="AI70" s="59" t="s"/>
      <c r="AJ70" s="59" t="s"/>
    </row>
    <row r="71" spans="1:36" ht="20" customHeight="true">
      <c r="A71" s="112" t="s">
        <v>116</v>
      </c>
      <c r="B71" s="54" t="s">
        <v>78</v>
      </c>
      <c r="C71" s="113">
        <f>=D71/D87</f>
        <v>0</v>
      </c>
      <c r="D71" s="55" t="s"/>
      <c r="E71" s="55" t="s"/>
      <c r="F71" s="133">
        <v>1</v>
      </c>
      <c r="G71" s="133">
        <v>1</v>
      </c>
      <c r="H71" s="133">
        <v>1</v>
      </c>
      <c r="I71" s="133" t="s"/>
      <c r="J71" s="133" t="s"/>
      <c r="K71" s="55" t="s"/>
      <c r="L71" s="55" t="s"/>
      <c r="M71" s="55" t="s"/>
      <c r="N71" s="55" t="s"/>
      <c r="O71" s="55" t="s"/>
      <c r="P71" s="38" t="s"/>
      <c r="Q71" s="38" t="s"/>
      <c r="R71" s="38" t="s"/>
      <c r="S71" s="18" t="s"/>
      <c r="T71" s="18" t="s"/>
      <c r="U71" s="18" t="s"/>
      <c r="V71" s="18" t="s"/>
      <c r="W71" s="18" t="s"/>
      <c r="X71" s="18" t="s"/>
      <c r="Y71" s="18" t="s"/>
      <c r="Z71" s="59" t="s"/>
      <c r="AA71" s="59" t="s"/>
      <c r="AB71" s="59" t="s"/>
      <c r="AC71" s="59" t="s"/>
      <c r="AD71" s="59" t="s"/>
      <c r="AE71" s="60" t="s"/>
      <c r="AF71" s="59" t="s"/>
      <c r="AG71" s="59" t="s"/>
      <c r="AH71" s="59" t="s"/>
      <c r="AI71" s="59" t="s"/>
      <c r="AJ71" s="59" t="s"/>
    </row>
    <row r="72" spans="1:25" ht="17" customHeight="true">
      <c r="A72" s="112" t="s"/>
      <c r="B72" s="54" t="s">
        <v>101</v>
      </c>
      <c r="C72" s="113">
        <f>=D72/D88</f>
        <v>0</v>
      </c>
      <c r="D72" s="55" t="s"/>
      <c r="E72" s="55" t="s"/>
      <c r="F72" s="133">
        <v>0</v>
      </c>
      <c r="G72" s="133">
        <v>0</v>
      </c>
      <c r="H72" s="133">
        <v>1</v>
      </c>
      <c r="I72" s="133">
        <v>1</v>
      </c>
      <c r="J72" s="133" t="s"/>
      <c r="K72" s="55" t="s"/>
      <c r="L72" s="55" t="s"/>
      <c r="M72" s="55" t="s"/>
      <c r="N72" s="55" t="s"/>
      <c r="O72" s="55" t="s"/>
      <c r="P72" s="38" t="s"/>
      <c r="Q72" s="38" t="s"/>
      <c r="R72" s="38" t="s"/>
      <c r="S72" s="97" t="s"/>
      <c r="T72" s="97" t="s"/>
      <c r="U72" s="97" t="s"/>
      <c r="V72" s="97" t="s"/>
      <c r="W72" s="97" t="s"/>
      <c r="X72" s="97" t="s"/>
      <c r="Y72" s="18" t="s"/>
    </row>
    <row r="73" spans="1:25" ht="13.5">
      <c r="A73" s="112" t="s">
        <v>213</v>
      </c>
      <c r="B73" s="54" t="s">
        <v>78</v>
      </c>
      <c r="C73" s="113">
        <f>=D73/D87</f>
        <v>0</v>
      </c>
      <c r="D73" s="55" t="s"/>
      <c r="E73" s="55" t="s"/>
      <c r="F73" s="55" t="s"/>
      <c r="G73" s="55" t="s"/>
      <c r="H73" s="55" t="s"/>
      <c r="I73" s="55" t="s"/>
      <c r="J73" s="55" t="s"/>
      <c r="K73" s="134">
        <v>3</v>
      </c>
      <c r="L73" s="134">
        <v>3</v>
      </c>
      <c r="M73" s="134">
        <v>3</v>
      </c>
      <c r="N73" s="134">
        <v>3</v>
      </c>
      <c r="O73" s="134">
        <v>3</v>
      </c>
      <c r="P73" s="38">
        <v>3</v>
      </c>
      <c r="Q73" s="67">
        <v>3</v>
      </c>
      <c r="R73" s="38" t="s"/>
      <c r="S73" s="97" t="s"/>
      <c r="T73" s="97" t="s"/>
      <c r="U73" s="97" t="s"/>
      <c r="V73" s="97" t="s"/>
      <c r="W73" s="97" t="s"/>
      <c r="X73" s="97" t="s"/>
      <c r="Y73" s="18" t="s"/>
    </row>
    <row r="74" spans="1:24" ht="13.5">
      <c r="A74" s="112" t="s"/>
      <c r="B74" s="54" t="s">
        <v>101</v>
      </c>
      <c r="C74" s="113">
        <f>=D74/D88</f>
        <v>0</v>
      </c>
      <c r="D74" s="55" t="s"/>
      <c r="E74" s="55" t="s"/>
      <c r="F74" s="55" t="s"/>
      <c r="G74" s="55" t="s"/>
      <c r="H74" s="55" t="s"/>
      <c r="I74" s="55" t="s"/>
      <c r="J74" s="55" t="s"/>
      <c r="K74" s="134" t="s"/>
      <c r="L74" s="134" t="s"/>
      <c r="M74" s="134" t="s"/>
      <c r="N74" s="135">
        <v>1</v>
      </c>
      <c r="O74" s="135">
        <v>1</v>
      </c>
      <c r="P74" s="38" t="s"/>
      <c r="Q74" s="67" t="s"/>
      <c r="R74" s="38" t="s"/>
      <c r="S74" s="136" t="s"/>
      <c r="T74" s="136" t="s"/>
      <c r="U74" s="136" t="s"/>
      <c r="V74" s="136" t="s"/>
      <c r="W74" s="136" t="s"/>
      <c r="X74" s="136" t="s"/>
    </row>
    <row r="75" spans="1:24" ht="13.5">
      <c r="A75" s="137" t="s">
        <v>214</v>
      </c>
      <c r="B75" s="54" t="s">
        <v>78</v>
      </c>
      <c r="C75" s="113" t="s"/>
      <c r="D75" s="55" t="s"/>
      <c r="E75" s="55" t="s"/>
      <c r="F75" s="55" t="s"/>
      <c r="G75" s="55" t="s"/>
      <c r="H75" s="55" t="s"/>
      <c r="I75" s="55" t="s"/>
      <c r="J75" s="55" t="s"/>
      <c r="K75" s="135">
        <v>2</v>
      </c>
      <c r="L75" s="135">
        <v>2</v>
      </c>
      <c r="M75" s="135">
        <v>2</v>
      </c>
      <c r="N75" s="135">
        <v>2</v>
      </c>
      <c r="O75" s="135">
        <v>2</v>
      </c>
      <c r="P75" s="38">
        <v>2</v>
      </c>
      <c r="Q75" s="67">
        <v>2</v>
      </c>
      <c r="R75" s="38" t="s"/>
      <c r="S75" s="136" t="s"/>
      <c r="T75" s="136" t="s"/>
      <c r="U75" s="136" t="s"/>
      <c r="V75" s="136" t="s"/>
      <c r="W75" s="136" t="s"/>
      <c r="X75" s="136" t="s"/>
    </row>
    <row r="76" spans="1:24" ht="13.5">
      <c r="A76" s="138" t="s"/>
      <c r="B76" s="54" t="s">
        <v>101</v>
      </c>
      <c r="C76" s="113" t="s"/>
      <c r="D76" s="55" t="s"/>
      <c r="E76" s="55" t="s"/>
      <c r="F76" s="55" t="s"/>
      <c r="G76" s="55" t="s"/>
      <c r="H76" s="55" t="s"/>
      <c r="I76" s="55" t="s"/>
      <c r="J76" s="55" t="s"/>
      <c r="K76" s="135" t="s"/>
      <c r="L76" s="135" t="s"/>
      <c r="M76" s="135" t="s"/>
      <c r="N76" s="135" t="s"/>
      <c r="O76" s="135">
        <v>1</v>
      </c>
      <c r="P76" s="38" t="s"/>
      <c r="Q76" s="67" t="s"/>
      <c r="R76" s="38" t="s"/>
      <c r="S76" s="136" t="s"/>
      <c r="T76" s="136" t="s"/>
      <c r="U76" s="136" t="s"/>
      <c r="V76" s="136" t="s"/>
      <c r="W76" s="136" t="s"/>
      <c r="X76" s="136" t="s"/>
    </row>
    <row r="77" spans="1:24" ht="13.5">
      <c r="A77" s="137" t="s">
        <v>215</v>
      </c>
      <c r="B77" s="54" t="s">
        <v>78</v>
      </c>
      <c r="C77" s="113" t="s"/>
      <c r="D77" s="55" t="s"/>
      <c r="E77" s="55" t="s"/>
      <c r="F77" s="55" t="s"/>
      <c r="G77" s="55" t="s"/>
      <c r="H77" s="55" t="s"/>
      <c r="I77" s="55" t="s"/>
      <c r="J77" s="55" t="s"/>
      <c r="K77" s="55" t="s"/>
      <c r="L77" s="139">
        <v>2</v>
      </c>
      <c r="M77" s="139">
        <v>2</v>
      </c>
      <c r="N77" s="139">
        <v>2</v>
      </c>
      <c r="O77" s="139">
        <v>2</v>
      </c>
      <c r="P77" s="38">
        <v>2</v>
      </c>
      <c r="Q77" s="67">
        <v>2</v>
      </c>
      <c r="R77" s="38" t="s"/>
      <c r="S77" s="136" t="s"/>
      <c r="T77" s="136" t="s"/>
      <c r="U77" s="136" t="s"/>
      <c r="V77" s="136" t="s"/>
      <c r="W77" s="136" t="s"/>
      <c r="X77" s="136" t="s"/>
    </row>
    <row r="78" spans="1:24" ht="13.5">
      <c r="A78" s="138" t="s"/>
      <c r="B78" s="54" t="s">
        <v>101</v>
      </c>
      <c r="C78" s="113" t="s"/>
      <c r="D78" s="55" t="s"/>
      <c r="E78" s="55" t="s"/>
      <c r="F78" s="55" t="s"/>
      <c r="G78" s="55" t="s"/>
      <c r="H78" s="55" t="s"/>
      <c r="I78" s="55" t="s"/>
      <c r="J78" s="55" t="s"/>
      <c r="K78" s="55" t="s"/>
      <c r="L78" s="139" t="s"/>
      <c r="M78" s="139" t="s"/>
      <c r="N78" s="139" t="s"/>
      <c r="O78" s="139">
        <v>1</v>
      </c>
      <c r="P78" s="38" t="s"/>
      <c r="Q78" s="38" t="s"/>
      <c r="R78" s="38" t="s"/>
      <c r="S78" s="136" t="s"/>
      <c r="T78" s="136" t="s"/>
      <c r="U78" s="136" t="s"/>
      <c r="V78" s="136" t="s"/>
      <c r="W78" s="136" t="s"/>
      <c r="X78" s="136" t="s"/>
    </row>
    <row r="79" spans="1:24" ht="13.5">
      <c r="A79" s="140" t="s">
        <v>216</v>
      </c>
      <c r="B79" s="54" t="s">
        <v>78</v>
      </c>
      <c r="C79" s="113" t="s"/>
      <c r="D79" s="55" t="s"/>
      <c r="E79" s="55" t="s"/>
      <c r="F79" s="55" t="s"/>
      <c r="G79" s="55" t="s"/>
      <c r="H79" s="55" t="s"/>
      <c r="I79" s="55" t="s"/>
      <c r="J79" s="55" t="s"/>
      <c r="K79" s="141">
        <v>1</v>
      </c>
      <c r="L79" s="141">
        <v>1</v>
      </c>
      <c r="M79" s="141">
        <v>1</v>
      </c>
      <c r="N79" s="141">
        <v>1</v>
      </c>
      <c r="O79" s="141">
        <v>1</v>
      </c>
      <c r="P79" s="38" t="s"/>
      <c r="Q79" s="38" t="s"/>
      <c r="R79" s="38" t="s"/>
      <c r="S79" s="136" t="s"/>
      <c r="T79" s="136" t="s"/>
      <c r="U79" s="136" t="s"/>
      <c r="V79" s="136" t="s"/>
      <c r="W79" s="136" t="s"/>
      <c r="X79" s="136" t="s"/>
    </row>
    <row r="80" spans="1:24" ht="13.5">
      <c r="A80" s="142" t="s"/>
      <c r="B80" s="54" t="s">
        <v>101</v>
      </c>
      <c r="C80" s="113" t="s"/>
      <c r="D80" s="55" t="s"/>
      <c r="E80" s="55" t="s"/>
      <c r="F80" s="55" t="s"/>
      <c r="G80" s="55" t="s"/>
      <c r="H80" s="55" t="s"/>
      <c r="I80" s="55" t="s"/>
      <c r="J80" s="55" t="s"/>
      <c r="K80" s="141">
        <v>0</v>
      </c>
      <c r="L80" s="141">
        <v>2</v>
      </c>
      <c r="M80" s="141">
        <v>2</v>
      </c>
      <c r="N80" s="141">
        <v>2</v>
      </c>
      <c r="O80" s="141">
        <v>2</v>
      </c>
      <c r="P80" s="38" t="s"/>
      <c r="Q80" s="38" t="s"/>
      <c r="R80" s="38" t="s"/>
      <c r="S80" s="136" t="s"/>
      <c r="T80" s="136" t="s"/>
      <c r="U80" s="136" t="s"/>
      <c r="V80" s="136" t="s"/>
      <c r="W80" s="136" t="s"/>
      <c r="X80" s="136" t="s"/>
    </row>
    <row r="81" spans="1:24" ht="30" customHeight="true">
      <c r="A81" s="112" t="s">
        <v>217</v>
      </c>
      <c r="B81" s="54" t="s">
        <v>78</v>
      </c>
      <c r="C81" s="113">
        <f>=D81/D87</f>
        <v>0</v>
      </c>
      <c r="D81" s="55" t="s"/>
      <c r="E81" s="55" t="s"/>
      <c r="F81" s="55" t="s"/>
      <c r="G81" s="55" t="s"/>
      <c r="H81" s="143">
        <v>2</v>
      </c>
      <c r="I81" s="143">
        <v>3</v>
      </c>
      <c r="J81" s="143">
        <v>3</v>
      </c>
      <c r="K81" s="143">
        <v>4</v>
      </c>
      <c r="L81" s="143">
        <v>4</v>
      </c>
      <c r="M81" s="143">
        <v>4</v>
      </c>
      <c r="N81" s="143">
        <v>4</v>
      </c>
      <c r="O81" s="143">
        <v>4</v>
      </c>
      <c r="P81" s="38">
        <v>4</v>
      </c>
      <c r="Q81" s="38">
        <v>4</v>
      </c>
      <c r="R81" s="38" t="s"/>
      <c r="S81" s="136" t="s"/>
      <c r="T81" s="136" t="s"/>
      <c r="U81" s="136" t="s"/>
      <c r="V81" s="136" t="s"/>
      <c r="W81" s="136" t="s"/>
      <c r="X81" s="136" t="s"/>
    </row>
    <row r="82" spans="1:24" ht="24" customHeight="true">
      <c r="A82" s="144" t="s">
        <v>218</v>
      </c>
      <c r="B82" s="90" t="s">
        <v>101</v>
      </c>
      <c r="C82" s="145" t="s"/>
      <c r="D82" s="146" t="s"/>
      <c r="E82" s="146" t="s"/>
      <c r="F82" s="146" t="s"/>
      <c r="G82" s="146">
        <v>1</v>
      </c>
      <c r="H82" s="146">
        <v>2</v>
      </c>
      <c r="I82" s="146">
        <v>2</v>
      </c>
      <c r="J82" s="146">
        <v>1</v>
      </c>
      <c r="K82" s="146">
        <v>1</v>
      </c>
      <c r="L82" s="146">
        <v>1</v>
      </c>
      <c r="M82" s="146" t="s"/>
      <c r="N82" s="146" t="s"/>
      <c r="O82" s="146" t="s"/>
      <c r="P82" s="38" t="s"/>
      <c r="Q82" s="38" t="s"/>
      <c r="R82" s="38" t="s"/>
      <c r="S82" s="136" t="s"/>
      <c r="T82" s="136" t="s"/>
      <c r="U82" s="136" t="s"/>
      <c r="V82" s="136" t="s"/>
      <c r="W82" s="136" t="s"/>
      <c r="X82" s="136" t="s"/>
    </row>
    <row r="83" spans="1:24" ht="13.5">
      <c r="A83" s="144" t="s">
        <v>178</v>
      </c>
      <c r="B83" s="90" t="s">
        <v>78</v>
      </c>
      <c r="C83" s="145">
        <f>=D83/D87</f>
        <v>0.0555555555555556</v>
      </c>
      <c r="D83" s="146">
        <v>1</v>
      </c>
      <c r="E83" s="146">
        <v>2</v>
      </c>
      <c r="F83" s="146">
        <v>3</v>
      </c>
      <c r="G83" s="146">
        <v>3</v>
      </c>
      <c r="H83" s="146">
        <v>3</v>
      </c>
      <c r="I83" s="146">
        <v>3</v>
      </c>
      <c r="J83" s="146">
        <v>3</v>
      </c>
      <c r="K83" s="146">
        <v>3</v>
      </c>
      <c r="L83" s="146">
        <v>3</v>
      </c>
      <c r="M83" s="146">
        <v>3</v>
      </c>
      <c r="N83" s="146">
        <v>3</v>
      </c>
      <c r="O83" s="146">
        <v>3</v>
      </c>
      <c r="P83" s="38">
        <v>3</v>
      </c>
      <c r="Q83" s="38">
        <v>3</v>
      </c>
      <c r="R83" s="38" t="s"/>
      <c r="S83" s="136" t="s"/>
      <c r="T83" s="136" t="s"/>
      <c r="U83" s="136" t="s"/>
      <c r="V83" s="136" t="s"/>
      <c r="W83" s="136" t="s"/>
      <c r="X83" s="136" t="s"/>
    </row>
    <row r="84" spans="1:24" ht="13.5">
      <c r="A84" s="147" t="s"/>
      <c r="B84" s="90" t="s">
        <v>101</v>
      </c>
      <c r="C84" s="145" t="s"/>
      <c r="D84" s="146">
        <v>1</v>
      </c>
      <c r="E84" s="146">
        <v>1</v>
      </c>
      <c r="F84" s="146">
        <v>1</v>
      </c>
      <c r="G84" s="146">
        <v>1</v>
      </c>
      <c r="H84" s="146">
        <v>1</v>
      </c>
      <c r="I84" s="146">
        <v>1</v>
      </c>
      <c r="J84" s="146">
        <v>1</v>
      </c>
      <c r="K84" s="146">
        <v>1</v>
      </c>
      <c r="L84" s="146">
        <v>1</v>
      </c>
      <c r="M84" s="146">
        <v>1</v>
      </c>
      <c r="N84" s="146">
        <v>1</v>
      </c>
      <c r="O84" s="146">
        <v>1</v>
      </c>
      <c r="P84" s="38">
        <v>1</v>
      </c>
      <c r="Q84" s="38">
        <v>1</v>
      </c>
      <c r="R84" s="38" t="s"/>
      <c r="S84" s="136" t="s"/>
      <c r="T84" s="136" t="s"/>
      <c r="U84" s="136" t="s"/>
      <c r="V84" s="136" t="s"/>
      <c r="W84" s="136" t="s"/>
      <c r="X84" s="136" t="s"/>
    </row>
    <row r="85" spans="1:24" ht="24">
      <c r="A85" s="90" t="s">
        <v>185</v>
      </c>
      <c r="B85" s="90" t="s">
        <v>219</v>
      </c>
      <c r="C85" s="145">
        <f>=D85/D87</f>
        <v>0.111111111111111</v>
      </c>
      <c r="D85" s="144">
        <v>2</v>
      </c>
      <c r="E85" s="144">
        <v>2</v>
      </c>
      <c r="F85" s="144">
        <v>2</v>
      </c>
      <c r="G85" s="144">
        <v>2</v>
      </c>
      <c r="H85" s="144">
        <v>2</v>
      </c>
      <c r="I85" s="144">
        <v>2</v>
      </c>
      <c r="J85" s="144">
        <v>2</v>
      </c>
      <c r="K85" s="144">
        <v>2</v>
      </c>
      <c r="L85" s="144">
        <v>2</v>
      </c>
      <c r="M85" s="144">
        <v>2</v>
      </c>
      <c r="N85" s="144">
        <v>2</v>
      </c>
      <c r="O85" s="144">
        <v>2</v>
      </c>
      <c r="P85" s="38" t="s"/>
      <c r="Q85" s="38" t="s"/>
      <c r="R85" s="38" t="s"/>
      <c r="S85" s="136" t="s"/>
      <c r="T85" s="136" t="s"/>
      <c r="U85" s="136" t="s"/>
      <c r="V85" s="136" t="s"/>
      <c r="W85" s="136" t="s"/>
      <c r="X85" s="136" t="s"/>
    </row>
    <row r="86" spans="1:24" ht="13.5">
      <c r="A86" s="90" t="s">
        <v>185</v>
      </c>
      <c r="B86" s="90" t="s">
        <v>101</v>
      </c>
      <c r="C86" s="145">
        <f>=D86/D88</f>
        <v>0.5</v>
      </c>
      <c r="D86" s="144">
        <v>1</v>
      </c>
      <c r="E86" s="144">
        <v>1</v>
      </c>
      <c r="F86" s="144">
        <v>1</v>
      </c>
      <c r="G86" s="144">
        <v>1</v>
      </c>
      <c r="H86" s="144">
        <v>1</v>
      </c>
      <c r="I86" s="144">
        <v>1</v>
      </c>
      <c r="J86" s="144">
        <v>1</v>
      </c>
      <c r="K86" s="148">
        <v>1</v>
      </c>
      <c r="L86" s="144">
        <v>1</v>
      </c>
      <c r="M86" s="148">
        <v>1</v>
      </c>
      <c r="N86" s="55">
        <v>1</v>
      </c>
      <c r="O86" s="55">
        <v>1</v>
      </c>
      <c r="P86" s="38" t="s"/>
      <c r="Q86" s="38" t="s"/>
      <c r="R86" s="38" t="s"/>
      <c r="S86" s="136" t="s"/>
      <c r="T86" s="136" t="s"/>
      <c r="U86" s="136" t="s"/>
      <c r="V86" s="136" t="s"/>
      <c r="W86" s="136" t="s"/>
      <c r="X86" s="136" t="s"/>
    </row>
    <row r="87" spans="1:24" ht="13.5">
      <c r="A87" s="54" t="s">
        <v>220</v>
      </c>
      <c r="B87" s="63" t="s">
        <v>78</v>
      </c>
      <c r="C87" s="54">
        <v>26</v>
      </c>
      <c r="D87" s="55">
        <f>=D61+D63+D65+D67+D69+D71+D73+D75+D77+D79+D81+D83+D85</f>
        <v>18</v>
      </c>
      <c r="E87" s="55">
        <f>=E61+E63+E65+E67+E69+E71+E73+E75+E77+E79+E81+E83+E85</f>
        <v>18</v>
      </c>
      <c r="F87" s="55">
        <f>=F61+F63+F65+F67+F69+F71+F73+F75+F77+F79+F81+F83+F85</f>
        <v>27</v>
      </c>
      <c r="G87" s="55">
        <f>=G61+G63+G65+G67+G69+G71+G73+G75+G77+G79+G81+G83+G85</f>
        <v>26</v>
      </c>
      <c r="H87" s="55">
        <f>=H61+H63+H65+H67+H69+H71+H73+H75+H77+H79+H81+H83+H85</f>
        <v>26</v>
      </c>
      <c r="I87" s="55">
        <f>=I61+I63+I65+I67+I69+I71+I73+I75+I77+I79+I81+I83+I85</f>
        <v>26</v>
      </c>
      <c r="J87" s="55">
        <f>=J61+J63+J65+J67+J69+J71+J73+J75+J77+J79+J81+J83+J85</f>
        <v>26</v>
      </c>
      <c r="K87" s="55">
        <f>=K61+K63+K65+K67+K69+K71+K73+K75+K77+K79+K81+K83+K85</f>
        <v>26</v>
      </c>
      <c r="L87" s="55">
        <f>=L61+L63+L65+L67+L69+L71+L73+L75+L77+L79+L81+L83+L85</f>
        <v>26</v>
      </c>
      <c r="M87" s="55">
        <f>=M61+M63+M65+M67+M69+M71+M73+M75+M77+M79+M81+M83+M85</f>
        <v>26</v>
      </c>
      <c r="N87" s="55">
        <f>=N61+N63+N65+N67+N69+N71+N73+N75+N77+N79+N81+N83+N85</f>
        <v>26</v>
      </c>
      <c r="O87" s="55">
        <f>=O61+O63+O65+O67+O69+O71+O73+O75+O77+O79+O81+O83+O85</f>
        <v>26</v>
      </c>
      <c r="P87" s="38" t="s"/>
      <c r="Q87" s="38" t="s"/>
      <c r="R87" s="38" t="s"/>
      <c r="S87" s="136" t="s"/>
      <c r="T87" s="136" t="s"/>
      <c r="U87" s="136" t="s"/>
      <c r="V87" s="136" t="s"/>
      <c r="W87" s="136" t="s"/>
      <c r="X87" s="136" t="s"/>
    </row>
    <row r="88" spans="1:24" ht="13.5">
      <c r="A88" s="54" t="s"/>
      <c r="B88" s="54" t="s">
        <v>101</v>
      </c>
      <c r="C88" s="54">
        <v>7</v>
      </c>
      <c r="D88" s="55">
        <f>=D62+D64+D66+D68+D70+D72+D74+D76+D78+D80+D82+D84+D86</f>
        <v>2</v>
      </c>
      <c r="E88" s="55">
        <f>=E62+E64+E66+E68+E70+E72+E74+E76+E78+E80+E82+E84+E86</f>
        <v>5</v>
      </c>
      <c r="F88" s="55">
        <f>=F62+F64+F66+F68+F70+F72+F74+F76+F78+F80+F82+F84+F86</f>
        <v>16</v>
      </c>
      <c r="G88" s="55">
        <f>=G62+G64+G66+G68+G70+G72+G74+G76+G78+G80+G82+G84+G86</f>
        <v>16</v>
      </c>
      <c r="H88" s="55">
        <f>=H62+H64+H66+H68+H70+H72+H74+H76+H78+H80+H82+H84+H86</f>
        <v>16</v>
      </c>
      <c r="I88" s="55">
        <f>=I62+I64+I66+I68+I70+I72+I74+I76+I78+I80+I82+I84+I86</f>
        <v>16</v>
      </c>
      <c r="J88" s="55">
        <f>=J62+J64+J66+J68+J70+J72+J74+J76+J78+J80+J82+J84+J86</f>
        <v>16</v>
      </c>
      <c r="K88" s="55">
        <f>=K62+K64+K66+K68+K70+K72+K74+K76+K78+K80+K82+K84+K86</f>
        <v>16</v>
      </c>
      <c r="L88" s="55">
        <f>=L62+L64+L66+L68+L70+L72+L74+L76+L78+L80+L82+L84+L86</f>
        <v>16</v>
      </c>
      <c r="M88" s="55">
        <f>=M62+M64+M66+M68+M70+M72+M74+M76+M78+M80+M82+M84+M86</f>
        <v>16</v>
      </c>
      <c r="N88" s="55">
        <f>=N62+N64+N66+N68+N70+N72+N74+N76+N78+N80+N82+N84+N86</f>
        <v>16</v>
      </c>
      <c r="O88" s="55">
        <f>=O62+O64+O66+O68+O70+O72+O74+O76+O78+O80+O82+O84+O86</f>
        <v>16</v>
      </c>
      <c r="P88" s="38" t="s"/>
      <c r="Q88" s="38" t="s"/>
      <c r="R88" s="38" t="s"/>
      <c r="S88" s="67" t="s"/>
      <c r="T88" s="149" t="s"/>
      <c r="U88" s="150" t="s"/>
      <c r="V88" s="67" t="s"/>
      <c r="W88" s="67" t="s"/>
      <c r="X88" s="136" t="s"/>
    </row>
    <row r="89" spans="16:29" ht="13.5">
      <c r="P89" s="38" t="s"/>
      <c r="Q89" s="38" t="s"/>
      <c r="R89" s="38" t="s"/>
      <c r="Z89" s="8" t="s"/>
      <c r="AA89" s="59" t="s"/>
      <c r="AB89" s="59" t="s"/>
      <c r="AC89" s="59" t="s"/>
    </row>
    <row r="90" spans="16:36" ht="13.5">
      <c r="P90" s="38" t="s"/>
      <c r="Q90" s="38" t="s"/>
      <c r="R90" s="38" t="s"/>
      <c r="Z90" s="67" t="s"/>
      <c r="AA90" s="59" t="s"/>
      <c r="AB90" s="59" t="s"/>
      <c r="AC90" s="59" t="s"/>
      <c r="AD90" s="59" t="s"/>
      <c r="AE90" s="60" t="s"/>
      <c r="AF90" s="59" t="s"/>
      <c r="AG90" s="59" t="s"/>
      <c r="AH90" s="59" t="s"/>
      <c r="AI90" s="59" t="s"/>
      <c r="AJ90" s="59" t="s"/>
    </row>
    <row r="91" spans="3:36" ht="13.5">
      <c r="C91" s="57" t="s"/>
      <c r="D91" s="38" t="s"/>
      <c r="E91" s="57" t="s"/>
      <c r="F91" s="57" t="s"/>
      <c r="G91" s="57" t="s"/>
      <c r="H91" s="57" t="s"/>
      <c r="I91" s="57" t="s"/>
      <c r="J91" s="57" t="s"/>
      <c r="K91" s="57" t="s"/>
      <c r="L91" s="57" t="s"/>
      <c r="M91" s="57" t="s"/>
      <c r="N91" s="57" t="s"/>
      <c r="O91" s="57" t="s"/>
      <c r="P91" s="38" t="s"/>
      <c r="Q91" s="38" t="s"/>
      <c r="R91" s="38" t="s"/>
      <c r="Z91" s="67" t="s"/>
      <c r="AA91" s="59" t="s"/>
      <c r="AB91" s="59" t="s"/>
      <c r="AC91" s="59" t="s"/>
      <c r="AD91" s="59" t="s"/>
      <c r="AE91" s="60" t="s"/>
      <c r="AF91" s="59" t="s"/>
      <c r="AG91" s="59" t="s"/>
      <c r="AH91" s="59" t="s"/>
      <c r="AI91" s="59" t="s"/>
      <c r="AJ91" s="59" t="s"/>
    </row>
    <row r="92" spans="3:36" ht="13.5">
      <c r="C92" s="57" t="s"/>
      <c r="D92" s="38" t="s"/>
      <c r="E92" s="57" t="s"/>
      <c r="F92" s="57" t="s"/>
      <c r="G92" s="57" t="s"/>
      <c r="H92" s="57" t="s"/>
      <c r="I92" s="57" t="s"/>
      <c r="J92" s="57" t="s"/>
      <c r="K92" s="57" t="s"/>
      <c r="L92" s="57" t="s"/>
      <c r="M92" s="57" t="s"/>
      <c r="N92" s="57" t="s"/>
      <c r="O92" s="57" t="s"/>
      <c r="P92" s="38" t="s"/>
      <c r="Q92" s="38" t="s"/>
      <c r="R92" s="38" t="s"/>
      <c r="S92" s="67" t="s"/>
      <c r="Z92" s="67" t="s"/>
      <c r="AA92" s="59" t="s"/>
      <c r="AB92" s="59" t="s"/>
      <c r="AC92" s="59" t="s"/>
      <c r="AD92" s="59" t="s"/>
      <c r="AE92" s="60" t="s"/>
      <c r="AF92" s="59" t="s"/>
      <c r="AG92" s="59" t="s"/>
      <c r="AH92" s="59" t="s"/>
      <c r="AI92" s="59" t="s"/>
      <c r="AJ92" s="59" t="s"/>
    </row>
    <row r="93" spans="1:36" ht="13.5">
      <c r="A93" s="57" t="s"/>
      <c r="B93" s="57" t="s"/>
      <c r="C93" s="57" t="s"/>
      <c r="D93" s="38" t="s"/>
      <c r="E93" s="57" t="s"/>
      <c r="F93" s="57" t="s"/>
      <c r="G93" s="57" t="s"/>
      <c r="H93" s="57" t="s"/>
      <c r="I93" s="57" t="s"/>
      <c r="J93" s="57" t="s"/>
      <c r="K93" s="57" t="s"/>
      <c r="L93" s="57" t="s"/>
      <c r="M93" s="57" t="s"/>
      <c r="N93" s="57" t="s"/>
      <c r="O93" s="57" t="s"/>
      <c r="P93" s="38" t="s"/>
      <c r="Q93" s="38" t="s"/>
      <c r="R93" s="38" t="s"/>
      <c r="S93" s="57" t="s"/>
      <c r="Z93" s="67" t="s"/>
      <c r="AA93" s="59" t="s"/>
      <c r="AB93" s="59" t="s"/>
      <c r="AC93" s="59" t="s"/>
      <c r="AD93" s="59" t="s"/>
      <c r="AE93" s="60" t="s"/>
      <c r="AF93" s="59" t="s"/>
      <c r="AG93" s="59" t="s"/>
      <c r="AH93" s="59" t="s"/>
      <c r="AI93" s="59" t="s"/>
      <c r="AJ93" s="59" t="s"/>
    </row>
    <row r="94" spans="1:36" ht="13.5">
      <c r="A94" s="57" t="s"/>
      <c r="B94" s="57" t="s"/>
      <c r="C94" s="57" t="s"/>
      <c r="D94" s="38" t="s"/>
      <c r="E94" s="57" t="s"/>
      <c r="F94" s="57" t="s"/>
      <c r="G94" s="57" t="s"/>
      <c r="H94" s="57" t="s"/>
      <c r="I94" s="57" t="s"/>
      <c r="J94" s="57" t="s"/>
      <c r="K94" s="57" t="s"/>
      <c r="L94" s="57" t="s"/>
      <c r="M94" s="57" t="s"/>
      <c r="N94" s="57" t="s"/>
      <c r="P94" s="38" t="s"/>
      <c r="Q94" s="38" t="s"/>
      <c r="R94" s="38" t="s"/>
      <c r="S94" s="57" t="s"/>
      <c r="T94" s="149" t="s"/>
      <c r="U94" s="150" t="s"/>
      <c r="V94" s="67" t="s"/>
      <c r="W94" s="67" t="s"/>
      <c r="X94" s="67" t="s"/>
      <c r="Z94" s="67" t="s"/>
      <c r="AA94" s="59" t="s"/>
      <c r="AB94" s="59" t="s"/>
      <c r="AC94" s="59" t="s"/>
      <c r="AD94" s="59" t="s"/>
      <c r="AE94" s="60" t="s"/>
      <c r="AF94" s="59" t="s"/>
      <c r="AG94" s="59" t="s"/>
      <c r="AH94" s="59" t="s"/>
      <c r="AI94" s="59" t="s"/>
      <c r="AJ94" s="59" t="s"/>
    </row>
    <row r="95" spans="1:36" ht="13.5">
      <c r="A95" s="57" t="s"/>
      <c r="B95" s="57" t="s"/>
      <c r="C95" s="57" t="s"/>
      <c r="D95" s="38" t="s"/>
      <c r="E95" s="57" t="s"/>
      <c r="F95" s="57" t="s"/>
      <c r="G95" s="57" t="s"/>
      <c r="H95" s="57" t="s"/>
      <c r="I95" s="57" t="s"/>
      <c r="J95" s="57" t="s"/>
      <c r="K95" s="57" t="s"/>
      <c r="L95" s="57" t="s"/>
      <c r="M95" s="57" t="s"/>
      <c r="N95" s="57" t="s"/>
      <c r="P95" s="38" t="s"/>
      <c r="Q95" s="38" t="s"/>
      <c r="R95" s="38" t="s"/>
      <c r="S95" s="57" t="s"/>
      <c r="T95" s="78" t="s"/>
      <c r="U95" s="79" t="s"/>
      <c r="V95" s="38" t="s"/>
      <c r="W95" s="57" t="s"/>
      <c r="X95" s="57" t="s"/>
      <c r="AB95" s="59" t="s"/>
      <c r="AC95" s="59" t="s"/>
      <c r="AD95" s="59" t="s"/>
      <c r="AE95" s="60" t="s"/>
      <c r="AF95" s="59" t="s"/>
      <c r="AG95" s="59" t="s"/>
      <c r="AH95" s="59" t="s"/>
      <c r="AI95" s="59" t="s"/>
      <c r="AJ95" s="59" t="s"/>
    </row>
    <row r="96" spans="1:36" ht="13.5" hidden="true">
      <c r="A96" s="95" t="s">
        <v>221</v>
      </c>
      <c r="B96" s="6" t="s"/>
      <c r="C96" s="6" t="s"/>
      <c r="D96" s="6" t="s"/>
      <c r="E96" s="6" t="s"/>
      <c r="F96" s="6" t="s"/>
      <c r="G96" s="6" t="s"/>
      <c r="H96" s="6" t="s"/>
      <c r="I96" s="6" t="s"/>
      <c r="J96" s="6" t="s"/>
      <c r="K96" s="6" t="s"/>
      <c r="L96" s="6" t="s"/>
      <c r="M96" s="6" t="s"/>
      <c r="N96" s="6" t="s"/>
      <c r="O96" s="6" t="s"/>
      <c r="P96" s="38" t="s"/>
      <c r="Q96" s="38" t="s"/>
      <c r="R96" s="38" t="s"/>
      <c r="S96" s="38" t="s"/>
      <c r="T96" s="78" t="s"/>
      <c r="U96" s="79" t="s"/>
      <c r="V96" s="38" t="s"/>
      <c r="W96" s="57" t="s"/>
      <c r="X96" s="57" t="s"/>
      <c r="Y96" s="59" t="s"/>
      <c r="Z96" s="59" t="s"/>
      <c r="AA96" s="59" t="s"/>
      <c r="AB96" s="59" t="s"/>
      <c r="AC96" s="59" t="s"/>
      <c r="AD96" s="59" t="s"/>
      <c r="AE96" s="60" t="s"/>
      <c r="AF96" s="59" t="s"/>
      <c r="AG96" s="59" t="s"/>
      <c r="AH96" s="59" t="s"/>
      <c r="AI96" s="59" t="s"/>
      <c r="AJ96" s="59" t="s"/>
    </row>
    <row r="97" spans="1:36" ht="13.5" hidden="true">
      <c r="A97" s="6" t="s"/>
      <c r="B97" s="6" t="s"/>
      <c r="C97" s="6" t="s"/>
      <c r="D97" s="6" t="s"/>
      <c r="E97" s="6" t="s"/>
      <c r="F97" s="6" t="s"/>
      <c r="G97" s="6" t="s"/>
      <c r="H97" s="6" t="s"/>
      <c r="I97" s="6" t="s"/>
      <c r="J97" s="6" t="s"/>
      <c r="K97" s="6" t="s"/>
      <c r="L97" s="6" t="s"/>
      <c r="M97" s="6" t="s"/>
      <c r="N97" s="6" t="s"/>
      <c r="O97" s="6" t="s"/>
      <c r="P97" s="38" t="s"/>
      <c r="Q97" s="38" t="s"/>
      <c r="R97" s="38" t="s"/>
      <c r="S97" s="38" t="s"/>
      <c r="T97" s="78" t="s"/>
      <c r="U97" s="79" t="s"/>
      <c r="V97" s="38" t="s"/>
      <c r="W97" s="57" t="s"/>
      <c r="X97" s="57" t="s"/>
      <c r="Y97" s="59" t="s"/>
      <c r="Z97" s="59" t="s"/>
      <c r="AA97" s="59" t="s"/>
      <c r="AB97" s="59" t="s"/>
      <c r="AC97" s="59" t="s"/>
      <c r="AD97" s="59" t="s"/>
      <c r="AE97" s="60" t="s"/>
      <c r="AF97" s="59" t="s"/>
      <c r="AG97" s="59" t="s"/>
      <c r="AH97" s="59" t="s"/>
      <c r="AI97" s="59" t="s"/>
      <c r="AJ97" s="59" t="s"/>
    </row>
    <row r="98" spans="1:36" ht="13.5" hidden="true">
      <c r="A98" s="95" t="s">
        <v>192</v>
      </c>
      <c r="B98" s="95" t="s"/>
      <c r="C98" s="95" t="s"/>
      <c r="D98" s="103" t="s">
        <v>44</v>
      </c>
      <c r="E98" s="6" t="s"/>
      <c r="F98" s="6" t="s"/>
      <c r="G98" s="6" t="s"/>
      <c r="H98" s="6" t="s"/>
      <c r="I98" s="6" t="s"/>
      <c r="J98" s="6" t="s"/>
      <c r="K98" s="6" t="s"/>
      <c r="L98" s="6" t="s"/>
      <c r="M98" s="6" t="s"/>
      <c r="N98" s="6" t="s"/>
      <c r="O98" s="6" t="s"/>
      <c r="P98" s="38" t="s"/>
      <c r="Q98" s="38" t="s"/>
      <c r="R98" s="38" t="s"/>
      <c r="S98" s="38" t="s"/>
      <c r="T98" s="78" t="s"/>
      <c r="U98" s="79" t="s"/>
      <c r="V98" s="38" t="s"/>
      <c r="W98" s="57" t="s"/>
      <c r="X98" s="57" t="s"/>
      <c r="Y98" s="59" t="s"/>
      <c r="Z98" s="59" t="s"/>
      <c r="AA98" s="59" t="s"/>
      <c r="AB98" s="59" t="s"/>
      <c r="AC98" s="59" t="s"/>
      <c r="AD98" s="59" t="s"/>
      <c r="AE98" s="60" t="s"/>
      <c r="AF98" s="59" t="s"/>
      <c r="AG98" s="59" t="s"/>
      <c r="AH98" s="59" t="s"/>
      <c r="AI98" s="59" t="s"/>
      <c r="AJ98" s="59" t="s"/>
    </row>
    <row r="99" spans="1:36" ht="13.5" hidden="true">
      <c r="A99" s="106" t="s">
        <v>197</v>
      </c>
      <c r="B99" s="106" t="s">
        <v>52</v>
      </c>
      <c r="C99" s="151" t="s">
        <v>198</v>
      </c>
      <c r="D99" s="110" t="s">
        <v>55</v>
      </c>
      <c r="E99" s="110" t="s">
        <v>56</v>
      </c>
      <c r="F99" s="152" t="s">
        <v>57</v>
      </c>
      <c r="G99" s="152" t="s">
        <v>58</v>
      </c>
      <c r="H99" s="152" t="s">
        <v>59</v>
      </c>
      <c r="I99" s="152" t="s">
        <v>60</v>
      </c>
      <c r="J99" s="152" t="s">
        <v>61</v>
      </c>
      <c r="K99" s="110" t="s">
        <v>62</v>
      </c>
      <c r="L99" s="110" t="s">
        <v>63</v>
      </c>
      <c r="M99" s="110" t="s">
        <v>64</v>
      </c>
      <c r="N99" s="110" t="s">
        <v>65</v>
      </c>
      <c r="O99" s="110" t="s">
        <v>66</v>
      </c>
      <c r="P99" s="38" t="s"/>
      <c r="Q99" s="38" t="s"/>
      <c r="R99" s="38" t="s"/>
      <c r="S99" s="38" t="s"/>
      <c r="T99" s="78" t="s"/>
      <c r="U99" s="79" t="s"/>
      <c r="V99" s="38" t="s"/>
      <c r="W99" s="57" t="s"/>
      <c r="X99" s="57" t="s"/>
      <c r="Y99" s="59" t="s"/>
      <c r="Z99" s="59" t="s"/>
      <c r="AA99" s="59" t="s"/>
      <c r="AB99" s="59" t="s"/>
      <c r="AC99" s="59" t="s"/>
      <c r="AD99" s="59" t="s"/>
      <c r="AE99" s="60" t="s"/>
      <c r="AF99" s="59" t="s"/>
      <c r="AG99" s="59" t="s"/>
      <c r="AH99" s="59" t="s"/>
      <c r="AI99" s="59" t="s"/>
      <c r="AJ99" s="59" t="s"/>
    </row>
    <row r="100" spans="1:36" ht="13.5" hidden="true">
      <c r="A100" s="54" t="s">
        <v>222</v>
      </c>
      <c r="B100" s="76" t="s">
        <v>78</v>
      </c>
      <c r="C100" s="113" t="s"/>
      <c r="D100" s="153">
        <v>12</v>
      </c>
      <c r="E100" s="153">
        <v>12</v>
      </c>
      <c r="F100" s="153">
        <v>10</v>
      </c>
      <c r="G100" s="54" t="s"/>
      <c r="H100" s="54" t="s"/>
      <c r="I100" s="54" t="s"/>
      <c r="J100" s="54" t="s"/>
      <c r="K100" s="54" t="s"/>
      <c r="L100" s="54" t="s"/>
      <c r="M100" s="54" t="s"/>
      <c r="N100" s="54" t="s"/>
      <c r="O100" s="54" t="s"/>
      <c r="P100" s="38" t="s"/>
      <c r="Q100" s="38" t="s"/>
      <c r="R100" s="38" t="s"/>
      <c r="S100" s="38" t="s"/>
      <c r="T100" s="78" t="s"/>
      <c r="U100" s="79" t="s"/>
      <c r="V100" s="38" t="s"/>
      <c r="W100" s="57" t="s"/>
      <c r="X100" s="57" t="s"/>
      <c r="Y100" s="59" t="s"/>
      <c r="Z100" s="59" t="s"/>
      <c r="AA100" s="59" t="s"/>
      <c r="AB100" s="59" t="s"/>
      <c r="AC100" s="59" t="s"/>
      <c r="AD100" s="59" t="s"/>
      <c r="AE100" s="60" t="s"/>
      <c r="AF100" s="59" t="s"/>
      <c r="AG100" s="59" t="s"/>
      <c r="AH100" s="59" t="s"/>
      <c r="AI100" s="59" t="s"/>
      <c r="AJ100" s="59" t="s"/>
    </row>
    <row r="101" spans="1:36" ht="13.5" hidden="true">
      <c r="A101" s="54" t="s"/>
      <c r="B101" s="76" t="s">
        <v>101</v>
      </c>
      <c r="C101" s="113" t="s"/>
      <c r="D101" s="153">
        <v>4</v>
      </c>
      <c r="E101" s="153">
        <v>4</v>
      </c>
      <c r="F101" s="153">
        <v>5</v>
      </c>
      <c r="G101" s="54" t="s"/>
      <c r="H101" s="54" t="s"/>
      <c r="I101" s="54" t="s"/>
      <c r="J101" s="54" t="s"/>
      <c r="K101" s="54" t="s"/>
      <c r="L101" s="54" t="s"/>
      <c r="M101" s="54" t="s"/>
      <c r="N101" s="54" t="s"/>
      <c r="O101" s="54" t="s"/>
      <c r="P101" s="38" t="s"/>
      <c r="Q101" s="38" t="s"/>
      <c r="R101" s="38" t="s"/>
      <c r="S101" s="38" t="s"/>
      <c r="T101" s="78" t="s"/>
      <c r="U101" s="79" t="s"/>
      <c r="V101" s="38" t="s"/>
      <c r="W101" s="57" t="s"/>
      <c r="X101" s="57" t="s"/>
      <c r="Y101" s="59" t="s"/>
      <c r="Z101" s="59" t="s"/>
      <c r="AA101" s="59" t="s"/>
      <c r="AB101" s="59" t="s"/>
      <c r="AC101" s="59" t="s"/>
      <c r="AD101" s="59" t="s"/>
      <c r="AE101" s="60" t="s"/>
      <c r="AF101" s="59" t="s"/>
      <c r="AG101" s="59" t="s"/>
      <c r="AH101" s="59" t="s"/>
      <c r="AI101" s="59" t="s"/>
      <c r="AJ101" s="59" t="s"/>
    </row>
    <row r="102" spans="1:36" ht="13.5" hidden="true">
      <c r="A102" s="54" t="s"/>
      <c r="B102" s="76" t="s">
        <v>78</v>
      </c>
      <c r="C102" s="113" t="s"/>
      <c r="D102" s="154">
        <v>0</v>
      </c>
      <c r="E102" s="154">
        <v>0</v>
      </c>
      <c r="F102" s="154">
        <v>0</v>
      </c>
      <c r="G102" s="6" t="s"/>
      <c r="H102" s="54" t="s"/>
      <c r="I102" s="6" t="s"/>
      <c r="J102" s="6" t="s"/>
      <c r="K102" s="6" t="s"/>
      <c r="L102" s="6" t="s"/>
      <c r="M102" s="54" t="s"/>
      <c r="N102" s="54" t="s"/>
      <c r="O102" s="54" t="s"/>
      <c r="P102" s="38" t="s"/>
      <c r="Q102" s="38" t="s"/>
      <c r="R102" s="38" t="s"/>
      <c r="S102" s="38" t="s"/>
      <c r="T102" s="78" t="s"/>
      <c r="U102" s="79" t="s"/>
      <c r="V102" s="38" t="s"/>
      <c r="W102" s="57" t="s"/>
      <c r="X102" s="57" t="s"/>
      <c r="Y102" s="59" t="s"/>
      <c r="Z102" s="59" t="s"/>
      <c r="AA102" s="59" t="s"/>
      <c r="AB102" s="59" t="s"/>
      <c r="AC102" s="59" t="s"/>
      <c r="AD102" s="59" t="s"/>
      <c r="AE102" s="60" t="s"/>
      <c r="AF102" s="59" t="s"/>
      <c r="AG102" s="59" t="s"/>
      <c r="AH102" s="59" t="s"/>
      <c r="AI102" s="59" t="s"/>
      <c r="AJ102" s="59" t="s"/>
    </row>
    <row r="103" spans="1:36" ht="13.5" hidden="true">
      <c r="A103" s="54" t="s"/>
      <c r="B103" s="76" t="s">
        <v>101</v>
      </c>
      <c r="C103" s="113" t="s"/>
      <c r="D103" s="154">
        <v>0</v>
      </c>
      <c r="E103" s="154">
        <v>0</v>
      </c>
      <c r="F103" s="154">
        <v>0</v>
      </c>
      <c r="G103" s="6" t="s"/>
      <c r="H103" s="54" t="s"/>
      <c r="I103" s="155" t="s"/>
      <c r="J103" s="6" t="s"/>
      <c r="K103" s="6" t="s"/>
      <c r="L103" s="6" t="s"/>
      <c r="M103" s="54" t="s"/>
      <c r="N103" s="54" t="s"/>
      <c r="O103" s="54" t="s"/>
      <c r="P103" s="38" t="s"/>
      <c r="Q103" s="38" t="s"/>
      <c r="R103" s="38" t="s"/>
      <c r="S103" s="38" t="s"/>
      <c r="T103" s="78" t="s"/>
      <c r="U103" s="79" t="s"/>
      <c r="V103" s="38" t="s"/>
      <c r="W103" s="57" t="s"/>
      <c r="X103" s="57" t="s"/>
      <c r="Y103" s="59" t="s"/>
      <c r="Z103" s="59" t="s"/>
      <c r="AA103" s="59" t="s"/>
      <c r="AB103" s="59" t="s"/>
      <c r="AC103" s="59" t="s"/>
      <c r="AD103" s="59" t="s"/>
      <c r="AE103" s="60" t="s"/>
      <c r="AF103" s="59" t="s"/>
      <c r="AG103" s="59" t="s"/>
      <c r="AH103" s="59" t="s"/>
      <c r="AI103" s="59" t="s"/>
      <c r="AJ103" s="59" t="s"/>
    </row>
    <row r="104" spans="1:36" hidden="true" customHeight="true">
      <c r="A104" s="61" t="s">
        <v>223</v>
      </c>
      <c r="B104" s="76" t="s">
        <v>78</v>
      </c>
      <c r="C104" s="113" t="s"/>
      <c r="D104" s="6" t="s"/>
      <c r="E104" s="6" t="s"/>
      <c r="F104" s="156">
        <v>2</v>
      </c>
      <c r="G104" s="157">
        <v>8</v>
      </c>
      <c r="H104" s="157">
        <v>8</v>
      </c>
      <c r="I104" s="157">
        <v>8</v>
      </c>
      <c r="J104" s="54" t="s"/>
      <c r="K104" s="54" t="s"/>
      <c r="L104" s="54" t="s"/>
      <c r="M104" s="54" t="s"/>
      <c r="N104" s="54" t="s"/>
      <c r="O104" s="54" t="s"/>
      <c r="P104" s="38" t="s"/>
      <c r="Q104" s="38" t="s"/>
      <c r="R104" s="38" t="s"/>
      <c r="S104" s="38" t="s"/>
      <c r="T104" s="78" t="s"/>
      <c r="U104" s="79" t="s"/>
      <c r="V104" s="38" t="s"/>
      <c r="W104" s="57" t="s"/>
      <c r="X104" s="57" t="s"/>
      <c r="Y104" s="59" t="s"/>
      <c r="Z104" s="59" t="s"/>
      <c r="AA104" s="59" t="s"/>
      <c r="AB104" s="59" t="s"/>
      <c r="AC104" s="59" t="s"/>
      <c r="AD104" s="59" t="s"/>
      <c r="AE104" s="60" t="s"/>
      <c r="AF104" s="59" t="s"/>
      <c r="AG104" s="59" t="s"/>
      <c r="AH104" s="59" t="s"/>
      <c r="AI104" s="59" t="s"/>
      <c r="AJ104" s="59" t="s"/>
    </row>
    <row r="105" spans="1:36" ht="13.5" hidden="true">
      <c r="A105" s="54" t="s"/>
      <c r="B105" s="76" t="s">
        <v>101</v>
      </c>
      <c r="C105" s="113" t="s"/>
      <c r="D105" s="6" t="s"/>
      <c r="E105" s="6" t="s"/>
      <c r="F105" s="156">
        <v>2</v>
      </c>
      <c r="G105" s="157">
        <v>4</v>
      </c>
      <c r="H105" s="157">
        <v>4</v>
      </c>
      <c r="I105" s="157">
        <v>5</v>
      </c>
      <c r="J105" s="54" t="s"/>
      <c r="K105" s="54" t="s"/>
      <c r="L105" s="54" t="s"/>
      <c r="M105" s="54" t="s"/>
      <c r="N105" s="54" t="s"/>
      <c r="O105" s="54" t="s"/>
      <c r="P105" s="38" t="s"/>
      <c r="Q105" s="38" t="s"/>
      <c r="R105" s="38" t="s"/>
      <c r="S105" s="38" t="s"/>
      <c r="T105" s="78" t="s"/>
      <c r="U105" s="79" t="s"/>
      <c r="V105" s="38" t="s"/>
      <c r="W105" s="57" t="s"/>
      <c r="X105" s="57" t="s"/>
      <c r="Y105" s="59" t="s"/>
      <c r="Z105" s="59" t="s"/>
      <c r="AA105" s="59" t="s"/>
      <c r="AB105" s="59" t="s"/>
      <c r="AC105" s="59" t="s"/>
      <c r="AD105" s="59" t="s"/>
      <c r="AE105" s="60" t="s"/>
      <c r="AF105" s="59" t="s"/>
      <c r="AG105" s="59" t="s"/>
      <c r="AH105" s="59" t="s"/>
      <c r="AI105" s="59" t="s"/>
      <c r="AJ105" s="59" t="s"/>
    </row>
    <row r="106" spans="1:36" ht="13.5" hidden="true">
      <c r="A106" s="54" t="s">
        <v>224</v>
      </c>
      <c r="B106" s="76" t="s">
        <v>78</v>
      </c>
      <c r="C106" s="113" t="s"/>
      <c r="D106" s="54" t="s"/>
      <c r="E106" s="54" t="s"/>
      <c r="F106" s="54" t="s"/>
      <c r="G106" s="158">
        <v>4</v>
      </c>
      <c r="H106" s="158">
        <v>4</v>
      </c>
      <c r="I106" s="158">
        <v>4</v>
      </c>
      <c r="J106" s="158">
        <v>10</v>
      </c>
      <c r="K106" s="158">
        <v>10</v>
      </c>
      <c r="L106" s="158">
        <v>8</v>
      </c>
      <c r="M106" s="54">
        <v>9</v>
      </c>
      <c r="N106" s="54">
        <v>9</v>
      </c>
      <c r="O106" s="54">
        <v>9</v>
      </c>
      <c r="P106" s="38" t="s"/>
      <c r="Q106" s="38" t="s"/>
      <c r="R106" s="38" t="s"/>
      <c r="S106" s="38" t="s"/>
      <c r="T106" s="78" t="s"/>
      <c r="U106" s="79" t="s"/>
      <c r="V106" s="38" t="s"/>
      <c r="W106" s="57" t="s"/>
      <c r="X106" s="57" t="s"/>
      <c r="Y106" s="59" t="s"/>
      <c r="Z106" s="59" t="s"/>
      <c r="AA106" s="59" t="s"/>
      <c r="AB106" s="59" t="s"/>
      <c r="AC106" s="59" t="s"/>
      <c r="AD106" s="59" t="s"/>
      <c r="AE106" s="60" t="s"/>
      <c r="AF106" s="59" t="s"/>
      <c r="AG106" s="59" t="s"/>
      <c r="AH106" s="59" t="s"/>
      <c r="AI106" s="59" t="s"/>
      <c r="AJ106" s="59" t="s"/>
    </row>
    <row r="107" spans="1:36" ht="13.5" hidden="true">
      <c r="A107" s="54" t="s"/>
      <c r="B107" s="54" t="s">
        <v>101</v>
      </c>
      <c r="C107" s="159" t="s"/>
      <c r="D107" s="160" t="s"/>
      <c r="E107" s="160" t="s"/>
      <c r="F107" s="160" t="s"/>
      <c r="G107" s="161">
        <v>0</v>
      </c>
      <c r="H107" s="161">
        <v>1</v>
      </c>
      <c r="I107" s="161">
        <v>1</v>
      </c>
      <c r="J107" s="161">
        <v>4</v>
      </c>
      <c r="K107" s="162">
        <v>4</v>
      </c>
      <c r="L107" s="161">
        <v>5</v>
      </c>
      <c r="M107" s="160">
        <v>3</v>
      </c>
      <c r="N107" s="160">
        <v>3</v>
      </c>
      <c r="O107" s="160">
        <v>3</v>
      </c>
      <c r="P107" s="38" t="s"/>
      <c r="Q107" s="38" t="s"/>
      <c r="R107" s="38" t="s"/>
      <c r="S107" s="38" t="s"/>
      <c r="T107" s="78" t="s"/>
      <c r="U107" s="79" t="s"/>
      <c r="V107" s="38" t="s"/>
      <c r="W107" s="57" t="s"/>
      <c r="X107" s="57" t="s"/>
      <c r="Y107" s="59" t="s"/>
      <c r="Z107" s="59" t="s"/>
      <c r="AA107" s="59" t="s"/>
      <c r="AB107" s="59" t="s"/>
      <c r="AC107" s="59" t="s"/>
      <c r="AD107" s="59" t="s"/>
      <c r="AE107" s="60" t="s"/>
      <c r="AF107" s="59" t="s"/>
      <c r="AG107" s="59" t="s"/>
      <c r="AH107" s="59" t="s"/>
      <c r="AI107" s="59" t="s"/>
      <c r="AJ107" s="59" t="s"/>
    </row>
    <row r="108" spans="1:36" ht="13.5" hidden="true">
      <c r="A108" s="163" t="s">
        <v>225</v>
      </c>
      <c r="B108" s="54" t="s">
        <v>78</v>
      </c>
      <c r="C108" s="113" t="s"/>
      <c r="D108" s="160" t="s"/>
      <c r="E108" s="160" t="s"/>
      <c r="F108" s="160" t="s"/>
      <c r="G108" s="160" t="s"/>
      <c r="H108" s="160" t="s"/>
      <c r="I108" s="160" t="s"/>
      <c r="J108" s="160" t="s"/>
      <c r="K108" s="160" t="s"/>
      <c r="L108" s="164">
        <v>4</v>
      </c>
      <c r="M108" s="164">
        <v>4</v>
      </c>
      <c r="N108" s="164">
        <v>4</v>
      </c>
      <c r="O108" s="164">
        <v>4</v>
      </c>
      <c r="P108" s="38" t="s"/>
      <c r="Q108" s="38" t="s"/>
      <c r="R108" s="38" t="s"/>
      <c r="S108" s="38" t="s"/>
      <c r="T108" s="78" t="s"/>
      <c r="U108" s="79" t="s"/>
      <c r="V108" s="38" t="s"/>
      <c r="W108" s="57" t="s"/>
      <c r="X108" s="57" t="s"/>
      <c r="Y108" s="59" t="s"/>
      <c r="Z108" s="59" t="s"/>
      <c r="AA108" s="59" t="s"/>
      <c r="AB108" s="59" t="s"/>
      <c r="AC108" s="59" t="s"/>
      <c r="AD108" s="59" t="s"/>
      <c r="AE108" s="60" t="s"/>
      <c r="AF108" s="59" t="s"/>
      <c r="AG108" s="59" t="s"/>
      <c r="AH108" s="59" t="s"/>
      <c r="AI108" s="59" t="s"/>
      <c r="AJ108" s="59" t="s"/>
    </row>
    <row r="109" spans="1:36" ht="13.5" hidden="true">
      <c r="A109" s="90" t="s"/>
      <c r="B109" s="90" t="s">
        <v>101</v>
      </c>
      <c r="C109" s="145" t="s"/>
      <c r="D109" s="160" t="s"/>
      <c r="E109" s="160" t="s"/>
      <c r="F109" s="160" t="s"/>
      <c r="G109" s="160" t="s"/>
      <c r="H109" s="160" t="s"/>
      <c r="I109" s="160" t="s"/>
      <c r="J109" s="160" t="s"/>
      <c r="K109" s="160" t="s"/>
      <c r="L109" s="164">
        <v>2</v>
      </c>
      <c r="M109" s="165">
        <v>1</v>
      </c>
      <c r="N109" s="165">
        <v>1</v>
      </c>
      <c r="O109" s="165">
        <v>1</v>
      </c>
      <c r="P109" s="38" t="s"/>
      <c r="Q109" s="38" t="s"/>
      <c r="R109" s="38" t="s"/>
      <c r="S109" s="38" t="s"/>
      <c r="T109" s="166" t="s"/>
      <c r="U109" s="52" t="s"/>
      <c r="V109" s="38" t="s"/>
      <c r="W109" s="57" t="s"/>
      <c r="X109" s="57" t="s"/>
      <c r="Y109" s="59" t="s"/>
      <c r="Z109" s="59" t="s"/>
      <c r="AA109" s="59" t="s"/>
      <c r="AB109" s="59" t="s"/>
      <c r="AC109" s="59" t="s"/>
      <c r="AD109" s="59" t="s"/>
      <c r="AE109" s="60" t="s"/>
      <c r="AF109" s="59" t="s"/>
      <c r="AG109" s="59" t="s"/>
      <c r="AH109" s="59" t="s"/>
      <c r="AI109" s="59" t="s"/>
      <c r="AJ109" s="59" t="s"/>
    </row>
    <row r="110" spans="1:36" ht="13.5" hidden="true">
      <c r="A110" s="54" t="s">
        <v>226</v>
      </c>
      <c r="B110" s="54" t="s">
        <v>78</v>
      </c>
      <c r="C110" s="113" t="s"/>
      <c r="D110" s="167">
        <v>4</v>
      </c>
      <c r="E110" s="167">
        <v>4</v>
      </c>
      <c r="F110" s="167">
        <v>4</v>
      </c>
      <c r="G110" s="167">
        <v>4</v>
      </c>
      <c r="H110" s="167">
        <v>4</v>
      </c>
      <c r="I110" s="167">
        <v>4</v>
      </c>
      <c r="J110" s="167">
        <v>4</v>
      </c>
      <c r="K110" s="167">
        <v>4</v>
      </c>
      <c r="L110" s="167">
        <v>4</v>
      </c>
      <c r="M110" s="167">
        <v>4</v>
      </c>
      <c r="N110" s="167">
        <v>4</v>
      </c>
      <c r="O110" s="167">
        <v>4</v>
      </c>
      <c r="P110" s="38" t="s"/>
      <c r="Q110" s="38" t="s"/>
      <c r="R110" s="38" t="s"/>
      <c r="S110" s="38" t="s"/>
      <c r="T110" s="166" t="s"/>
      <c r="U110" s="52" t="s"/>
      <c r="V110" s="38" t="s"/>
      <c r="W110" s="57" t="s"/>
      <c r="X110" s="57" t="s"/>
      <c r="Y110" s="59" t="s"/>
      <c r="Z110" s="59" t="s"/>
      <c r="AA110" s="59" t="s"/>
      <c r="AB110" s="59" t="s"/>
      <c r="AC110" s="59" t="s"/>
      <c r="AD110" s="59" t="s"/>
      <c r="AE110" s="60" t="s"/>
      <c r="AF110" s="59" t="s"/>
      <c r="AG110" s="59" t="s"/>
      <c r="AH110" s="59" t="s"/>
      <c r="AI110" s="59" t="s"/>
      <c r="AJ110" s="59" t="s"/>
    </row>
    <row r="111" spans="1:36" ht="13.5" hidden="true">
      <c r="A111" s="54" t="s"/>
      <c r="B111" s="54" t="s">
        <v>101</v>
      </c>
      <c r="C111" s="168" t="s"/>
      <c r="D111" s="87">
        <v>1</v>
      </c>
      <c r="E111" s="87">
        <v>1</v>
      </c>
      <c r="F111" s="87">
        <v>1</v>
      </c>
      <c r="G111" s="87">
        <v>1</v>
      </c>
      <c r="H111" s="87">
        <v>1</v>
      </c>
      <c r="I111" s="87">
        <v>1</v>
      </c>
      <c r="J111" s="87">
        <v>1</v>
      </c>
      <c r="K111" s="87">
        <v>1</v>
      </c>
      <c r="L111" s="87">
        <v>1</v>
      </c>
      <c r="M111" s="87">
        <v>1</v>
      </c>
      <c r="N111" s="87">
        <v>1</v>
      </c>
      <c r="O111" s="87">
        <v>1</v>
      </c>
      <c r="P111" s="38" t="s"/>
      <c r="Q111" s="38" t="s"/>
      <c r="R111" s="38" t="s"/>
      <c r="S111" s="38" t="s"/>
      <c r="T111" s="166" t="s"/>
      <c r="U111" s="52" t="s"/>
      <c r="V111" s="38" t="s"/>
      <c r="W111" s="57" t="s"/>
      <c r="X111" s="57" t="s"/>
      <c r="Y111" s="59" t="s"/>
      <c r="Z111" s="59" t="s"/>
      <c r="AA111" s="59" t="s"/>
      <c r="AB111" s="59" t="s"/>
      <c r="AC111" s="59" t="s"/>
      <c r="AD111" s="59" t="s"/>
      <c r="AE111" s="60" t="s"/>
      <c r="AF111" s="59" t="s"/>
      <c r="AG111" s="59" t="s"/>
      <c r="AH111" s="59" t="s"/>
      <c r="AI111" s="59" t="s"/>
      <c r="AJ111" s="59" t="s"/>
    </row>
    <row r="112" spans="1:36" ht="13.5" hidden="true">
      <c r="A112" s="160" t="s">
        <v>227</v>
      </c>
      <c r="B112" s="160" t="s">
        <v>78</v>
      </c>
      <c r="C112" s="169" t="s"/>
      <c r="D112" s="170">
        <v>7</v>
      </c>
      <c r="E112" s="170">
        <v>7</v>
      </c>
      <c r="F112" s="170">
        <v>7</v>
      </c>
      <c r="G112" s="170">
        <v>7</v>
      </c>
      <c r="H112" s="170">
        <v>7</v>
      </c>
      <c r="I112" s="170">
        <v>7</v>
      </c>
      <c r="J112" s="170">
        <v>7</v>
      </c>
      <c r="K112" s="170">
        <v>7</v>
      </c>
      <c r="L112" s="170">
        <v>7</v>
      </c>
      <c r="M112" s="170">
        <v>7</v>
      </c>
      <c r="N112" s="170">
        <v>7</v>
      </c>
      <c r="O112" s="170">
        <v>7</v>
      </c>
      <c r="P112" s="38" t="s"/>
      <c r="Q112" s="38" t="s"/>
      <c r="R112" s="38" t="s"/>
      <c r="S112" s="38" t="s"/>
      <c r="T112" s="166" t="s"/>
      <c r="U112" s="52" t="s"/>
      <c r="V112" s="38" t="s"/>
      <c r="W112" s="57" t="s"/>
      <c r="X112" s="57" t="s"/>
      <c r="Y112" s="59" t="s"/>
      <c r="Z112" s="59" t="s"/>
      <c r="AA112" s="59" t="s"/>
      <c r="AB112" s="59" t="s"/>
      <c r="AC112" s="59" t="s"/>
      <c r="AD112" s="59" t="s"/>
      <c r="AE112" s="60" t="s"/>
      <c r="AF112" s="59" t="s"/>
      <c r="AG112" s="59" t="s"/>
      <c r="AH112" s="59" t="s"/>
      <c r="AI112" s="59" t="s"/>
      <c r="AJ112" s="59" t="s"/>
    </row>
    <row r="113" spans="1:36" ht="13.5" hidden="true">
      <c r="A113" s="54" t="s"/>
      <c r="B113" s="54" t="s">
        <v>101</v>
      </c>
      <c r="C113" s="168" t="s"/>
      <c r="D113" s="170">
        <v>2</v>
      </c>
      <c r="E113" s="170">
        <v>2</v>
      </c>
      <c r="F113" s="170">
        <v>2</v>
      </c>
      <c r="G113" s="170">
        <v>2</v>
      </c>
      <c r="H113" s="170">
        <v>2</v>
      </c>
      <c r="I113" s="170">
        <v>2</v>
      </c>
      <c r="J113" s="170">
        <v>2</v>
      </c>
      <c r="K113" s="170">
        <v>2</v>
      </c>
      <c r="L113" s="170">
        <v>2</v>
      </c>
      <c r="M113" s="170">
        <v>2</v>
      </c>
      <c r="N113" s="170">
        <v>2</v>
      </c>
      <c r="O113" s="170">
        <v>2</v>
      </c>
      <c r="P113" s="38" t="s"/>
      <c r="Q113" s="38" t="s"/>
      <c r="R113" s="38" t="s"/>
      <c r="S113" s="38" t="s"/>
      <c r="T113" s="166" t="s"/>
      <c r="U113" s="52" t="s"/>
      <c r="V113" s="38" t="s"/>
      <c r="W113" s="57" t="s"/>
      <c r="X113" s="57" t="s"/>
      <c r="Y113" s="59" t="s"/>
      <c r="Z113" s="59" t="s"/>
      <c r="AA113" s="59" t="s"/>
      <c r="AB113" s="59" t="s"/>
      <c r="AC113" s="59" t="s"/>
      <c r="AD113" s="59" t="s"/>
      <c r="AE113" s="60" t="s"/>
      <c r="AF113" s="59" t="s"/>
      <c r="AG113" s="59" t="s"/>
      <c r="AH113" s="59" t="s"/>
      <c r="AI113" s="59" t="s"/>
      <c r="AJ113" s="59" t="s"/>
    </row>
    <row r="114" spans="1:36" hidden="true" customHeight="true">
      <c r="A114" s="54" t="s">
        <v>160</v>
      </c>
      <c r="B114" s="54" t="s">
        <v>78</v>
      </c>
      <c r="C114" s="168" t="s"/>
      <c r="D114" s="89">
        <v>4</v>
      </c>
      <c r="E114" s="89">
        <v>4</v>
      </c>
      <c r="F114" s="89">
        <v>4</v>
      </c>
      <c r="G114" s="89">
        <v>4</v>
      </c>
      <c r="H114" s="89">
        <v>4</v>
      </c>
      <c r="I114" s="89">
        <v>4</v>
      </c>
      <c r="J114" s="89">
        <v>4</v>
      </c>
      <c r="K114" s="89">
        <v>4</v>
      </c>
      <c r="L114" s="89">
        <v>4</v>
      </c>
      <c r="M114" s="89">
        <v>4</v>
      </c>
      <c r="N114" s="89">
        <v>4</v>
      </c>
      <c r="O114" s="89">
        <v>4</v>
      </c>
      <c r="P114" s="38" t="s"/>
      <c r="Q114" s="38" t="s"/>
      <c r="R114" s="38" t="s"/>
      <c r="S114" s="38" t="s"/>
      <c r="T114" s="78" t="s"/>
      <c r="U114" s="79" t="s"/>
      <c r="V114" s="38" t="s"/>
      <c r="W114" s="57" t="s"/>
      <c r="X114" s="57" t="s"/>
      <c r="Y114" s="59" t="s"/>
      <c r="Z114" s="59" t="s"/>
      <c r="AA114" s="59" t="s"/>
      <c r="AB114" s="59" t="s"/>
      <c r="AC114" s="59" t="s"/>
      <c r="AD114" s="59" t="s"/>
      <c r="AE114" s="60" t="s"/>
      <c r="AF114" s="59" t="s"/>
      <c r="AG114" s="59" t="s"/>
      <c r="AH114" s="59" t="s"/>
      <c r="AI114" s="59" t="s"/>
      <c r="AJ114" s="59" t="s"/>
    </row>
    <row r="115" spans="1:36" ht="13.5" hidden="true">
      <c r="A115" s="90" t="s">
        <v>178</v>
      </c>
      <c r="B115" s="90" t="s">
        <v>78</v>
      </c>
      <c r="C115" s="168" t="s"/>
      <c r="D115" s="89">
        <v>3</v>
      </c>
      <c r="E115" s="89">
        <v>3</v>
      </c>
      <c r="F115" s="89">
        <v>3</v>
      </c>
      <c r="G115" s="89">
        <v>3</v>
      </c>
      <c r="H115" s="89">
        <v>3</v>
      </c>
      <c r="I115" s="89">
        <v>3</v>
      </c>
      <c r="J115" s="89">
        <v>3</v>
      </c>
      <c r="K115" s="89">
        <v>3</v>
      </c>
      <c r="L115" s="89">
        <v>3</v>
      </c>
      <c r="M115" s="89">
        <v>3</v>
      </c>
      <c r="N115" s="89">
        <v>3</v>
      </c>
      <c r="O115" s="89">
        <v>3</v>
      </c>
      <c r="P115" s="38" t="s"/>
      <c r="Q115" s="38" t="s"/>
      <c r="R115" s="38" t="s"/>
      <c r="S115" s="38" t="s"/>
      <c r="T115" s="78" t="s"/>
      <c r="U115" s="79" t="s"/>
      <c r="V115" s="38" t="s"/>
      <c r="W115" s="57" t="s"/>
      <c r="X115" s="57" t="s"/>
      <c r="Y115" s="59" t="s"/>
      <c r="Z115" s="59" t="s"/>
      <c r="AA115" s="59" t="s"/>
      <c r="AB115" s="59" t="s"/>
      <c r="AC115" s="59" t="s"/>
      <c r="AD115" s="59" t="s"/>
      <c r="AE115" s="60" t="s"/>
      <c r="AF115" s="59" t="s"/>
      <c r="AG115" s="59" t="s"/>
      <c r="AH115" s="59" t="s"/>
      <c r="AI115" s="59" t="s"/>
      <c r="AJ115" s="59" t="s"/>
    </row>
    <row r="116" spans="1:36" ht="24" hidden="true">
      <c r="A116" s="90" t="s">
        <v>185</v>
      </c>
      <c r="B116" s="90" t="s">
        <v>219</v>
      </c>
      <c r="C116" s="171" t="s"/>
      <c r="D116" s="54">
        <v>2</v>
      </c>
      <c r="E116" s="54">
        <v>2</v>
      </c>
      <c r="F116" s="54">
        <v>2</v>
      </c>
      <c r="G116" s="54">
        <v>2</v>
      </c>
      <c r="H116" s="54">
        <v>2</v>
      </c>
      <c r="I116" s="54">
        <v>2</v>
      </c>
      <c r="J116" s="54">
        <v>2</v>
      </c>
      <c r="K116" s="54">
        <v>2</v>
      </c>
      <c r="L116" s="54">
        <v>2</v>
      </c>
      <c r="M116" s="54">
        <v>2</v>
      </c>
      <c r="N116" s="54">
        <v>2</v>
      </c>
      <c r="O116" s="54">
        <v>2</v>
      </c>
      <c r="P116" s="38" t="s"/>
      <c r="Q116" s="38" t="s"/>
      <c r="R116" s="38" t="s"/>
      <c r="S116" s="38" t="s"/>
      <c r="T116" s="78" t="s"/>
      <c r="U116" s="79" t="s"/>
      <c r="V116" s="38" t="s"/>
      <c r="W116" s="57" t="s"/>
      <c r="X116" s="57" t="s"/>
      <c r="Y116" s="59" t="s"/>
      <c r="Z116" s="59" t="s"/>
      <c r="AA116" s="59" t="s"/>
      <c r="AB116" s="59" t="s"/>
      <c r="AC116" s="59" t="s"/>
      <c r="AD116" s="59" t="s"/>
      <c r="AE116" s="60" t="s"/>
      <c r="AF116" s="59" t="s"/>
      <c r="AG116" s="59" t="s"/>
      <c r="AH116" s="59" t="s"/>
      <c r="AI116" s="59" t="s"/>
      <c r="AJ116" s="59" t="s"/>
    </row>
    <row r="117" spans="1:36" ht="13.5" hidden="true">
      <c r="A117" s="90" t="s">
        <v>185</v>
      </c>
      <c r="B117" s="90" t="s">
        <v>101</v>
      </c>
      <c r="C117" s="171" t="s"/>
      <c r="D117" s="54">
        <v>1</v>
      </c>
      <c r="E117" s="54">
        <v>1</v>
      </c>
      <c r="F117" s="54">
        <v>1</v>
      </c>
      <c r="G117" s="54">
        <v>1</v>
      </c>
      <c r="H117" s="54">
        <v>1</v>
      </c>
      <c r="I117" s="54">
        <v>1</v>
      </c>
      <c r="J117" s="54">
        <v>1</v>
      </c>
      <c r="K117" s="54">
        <v>1</v>
      </c>
      <c r="L117" s="54">
        <v>1</v>
      </c>
      <c r="M117" s="54">
        <v>1</v>
      </c>
      <c r="N117" s="54">
        <v>1</v>
      </c>
      <c r="O117" s="54">
        <v>1</v>
      </c>
      <c r="P117" s="38" t="s"/>
      <c r="Q117" s="38" t="s"/>
      <c r="R117" s="38" t="s"/>
      <c r="S117" s="38" t="s"/>
      <c r="T117" s="78" t="s"/>
      <c r="U117" s="79" t="s"/>
      <c r="V117" s="38" t="s"/>
      <c r="W117" s="57" t="s"/>
      <c r="X117" s="57" t="s"/>
      <c r="Y117" s="59" t="s"/>
      <c r="Z117" s="59" t="s"/>
      <c r="AA117" s="59" t="s"/>
      <c r="AB117" s="59" t="s"/>
      <c r="AC117" s="59" t="s"/>
      <c r="AD117" s="59" t="s"/>
      <c r="AE117" s="60" t="s"/>
      <c r="AF117" s="59" t="s"/>
      <c r="AG117" s="59" t="s"/>
      <c r="AH117" s="59" t="s"/>
      <c r="AI117" s="59" t="s"/>
      <c r="AJ117" s="59" t="s"/>
    </row>
    <row r="118" spans="1:36" ht="13.5" hidden="true">
      <c r="A118" s="54" t="s">
        <v>220</v>
      </c>
      <c r="B118" s="63" t="s">
        <v>78</v>
      </c>
      <c r="C118" s="76">
        <v>32</v>
      </c>
      <c r="D118" s="54">
        <f>=SUBTOTAL(9,D100,D104,D106,D110,D112,D114,D115,D116,D102,D108)</f>
        <v>32</v>
      </c>
      <c r="E118" s="54">
        <f>=SUBTOTAL(9,E100,E104,E106,E110,E112,E114,E115,E116,E102,E108)</f>
        <v>32</v>
      </c>
      <c r="F118" s="54">
        <f>=SUBTOTAL(9,F100,F104,F106,F110,F112,F114,F115,F116,F102,F108)</f>
        <v>32</v>
      </c>
      <c r="G118" s="54">
        <f>=SUBTOTAL(9,G100,G104,G106,G110,G112,G114,G115,G116,G102,G108)</f>
        <v>32</v>
      </c>
      <c r="H118" s="54">
        <f>=SUBTOTAL(9,H100,H104,H106,H110,H112,H114,H115,H116,H102,H108)</f>
        <v>32</v>
      </c>
      <c r="I118" s="54">
        <f>=SUBTOTAL(9,I100,I104,I106,I110,I112,I114,I115,I116,I102,I108)</f>
        <v>32</v>
      </c>
      <c r="J118" s="54">
        <f>=SUBTOTAL(9,J100,J104,J106,J110,J112,J114,J115,J116,J102,J108)</f>
        <v>30</v>
      </c>
      <c r="K118" s="54">
        <f>=SUBTOTAL(9,K100,K104,K106,K110,K112,K114,K115,K116,K102,K108)</f>
        <v>30</v>
      </c>
      <c r="L118" s="54">
        <f>=SUBTOTAL(9,L100,L104,L106,L110,L112,L114,L115,L116,L102,L108)</f>
        <v>32</v>
      </c>
      <c r="M118" s="54">
        <f>=SUBTOTAL(9,M100,M104,M106,M110,M112,M114,M115,M116,M102,M108)</f>
        <v>33</v>
      </c>
      <c r="N118" s="54">
        <f>=SUBTOTAL(9,N100,N104,N106,N110,N112,N114,N115,N116,N102,N108)</f>
        <v>33</v>
      </c>
      <c r="O118" s="54">
        <f>=SUBTOTAL(9,O100,O104,O106,O110,O112,O114,O115,O116,O102,O108)</f>
        <v>33</v>
      </c>
      <c r="P118" s="38" t="s"/>
      <c r="Q118" s="38" t="s"/>
      <c r="R118" s="38" t="s"/>
      <c r="S118" s="38" t="s"/>
      <c r="T118" s="78" t="s"/>
      <c r="U118" s="79" t="s"/>
      <c r="V118" s="38" t="s"/>
      <c r="W118" s="57" t="s"/>
      <c r="X118" s="57" t="s"/>
      <c r="Y118" s="59" t="s"/>
      <c r="Z118" s="59" t="s"/>
      <c r="AA118" s="59" t="s"/>
      <c r="AB118" s="59" t="s"/>
      <c r="AC118" s="59" t="s"/>
      <c r="AD118" s="59" t="s"/>
      <c r="AE118" s="60" t="s"/>
      <c r="AF118" s="59" t="s"/>
      <c r="AG118" s="59" t="s"/>
      <c r="AH118" s="59" t="s"/>
      <c r="AI118" s="59" t="s"/>
      <c r="AJ118" s="59" t="s"/>
    </row>
    <row r="119" spans="1:36" ht="13.5" hidden="true">
      <c r="A119" s="90" t="s"/>
      <c r="B119" s="90" t="s">
        <v>101</v>
      </c>
      <c r="C119" s="91">
        <v>9</v>
      </c>
      <c r="D119" s="54">
        <f>=SUBTOTAL(9,D101,D105,D107,D111,D113,D103,D117,D109)</f>
        <v>8</v>
      </c>
      <c r="E119" s="54">
        <f>=SUBTOTAL(9,E101,E105,E107,E111,E113,E103,E117,E109)</f>
        <v>8</v>
      </c>
      <c r="F119" s="54">
        <f>=SUBTOTAL(9,F101,F105,F107,F111,F113,F103,F117,F109)</f>
        <v>11</v>
      </c>
      <c r="G119" s="54">
        <f>=SUBTOTAL(9,G101,G105,G107,G111,G113,G103,G117,G109)</f>
        <v>8</v>
      </c>
      <c r="H119" s="54">
        <f>=SUBTOTAL(9,H101,H105,H107,H111,H113,H103,H117,H109)</f>
        <v>9</v>
      </c>
      <c r="I119" s="54">
        <f>=SUBTOTAL(9,I101,I105,I107,I111,I113,I103,I117,I109)</f>
        <v>10</v>
      </c>
      <c r="J119" s="54">
        <f>=SUBTOTAL(9,J101,J105,J107,J111,J113,J103,J117,J109)</f>
        <v>8</v>
      </c>
      <c r="K119" s="54">
        <f>=SUBTOTAL(9,K101,K105,K107,K111,K113,K103,K117,K109)</f>
        <v>8</v>
      </c>
      <c r="L119" s="54">
        <f>=SUBTOTAL(9,L101,L105,L107,L111,L113,L103,L117,L109)</f>
        <v>11</v>
      </c>
      <c r="M119" s="54">
        <f>=SUBTOTAL(9,M101,M105,M107,M111,M113,M103,M117,M109)</f>
        <v>8</v>
      </c>
      <c r="N119" s="54">
        <f>=SUBTOTAL(9,N101,N105,N107,N111,N113,N103,N117,N109)</f>
        <v>8</v>
      </c>
      <c r="O119" s="54">
        <f>=SUBTOTAL(9,O101,O105,O107,O111,O113,O103,O117,O109)</f>
        <v>8</v>
      </c>
      <c r="P119" s="38" t="s"/>
      <c r="Q119" s="38" t="s"/>
      <c r="R119" s="38" t="s"/>
      <c r="S119" s="38" t="s"/>
      <c r="T119" s="78" t="s"/>
      <c r="U119" s="79" t="s"/>
      <c r="V119" s="38" t="s"/>
      <c r="W119" s="57" t="s"/>
      <c r="X119" s="57" t="s"/>
      <c r="Y119" s="59" t="s"/>
      <c r="Z119" s="59" t="s"/>
      <c r="AA119" s="59" t="s"/>
      <c r="AB119" s="59" t="s"/>
      <c r="AC119" s="59" t="s"/>
      <c r="AD119" s="59" t="s"/>
      <c r="AE119" s="60" t="s"/>
      <c r="AF119" s="59" t="s"/>
      <c r="AG119" s="59" t="s"/>
      <c r="AH119" s="59" t="s"/>
      <c r="AI119" s="59" t="s"/>
      <c r="AJ119" s="59" t="s"/>
    </row>
    <row r="120" spans="1:36" ht="13.5" hidden="true">
      <c r="A120" s="172" t="s"/>
      <c r="B120" s="173" t="s">
        <v>228</v>
      </c>
      <c r="C120" s="174" t="s"/>
      <c r="D120" s="175">
        <f>=C118-D118</f>
        <v>0</v>
      </c>
      <c r="E120" s="175">
        <f>=C118-E118</f>
        <v>0</v>
      </c>
      <c r="F120" s="175">
        <f>=C118-F118</f>
        <v>0</v>
      </c>
      <c r="G120" s="175">
        <f>=C118-G118</f>
        <v>0</v>
      </c>
      <c r="H120" s="175">
        <f>=C118-H118</f>
        <v>0</v>
      </c>
      <c r="I120" s="175">
        <f>=C118-I118</f>
        <v>0</v>
      </c>
      <c r="J120" s="175">
        <f>=C118-J118</f>
        <v>2</v>
      </c>
      <c r="K120" s="175">
        <f>=C118-K118</f>
        <v>2</v>
      </c>
      <c r="L120" s="175">
        <f>=C118-L118</f>
        <v>0</v>
      </c>
      <c r="M120" s="175">
        <f>=C118-M118</f>
        <v>-1</v>
      </c>
      <c r="N120" s="175">
        <f>=C118-N118</f>
        <v>-1</v>
      </c>
      <c r="O120" s="175">
        <f>=C118-O118</f>
        <v>-1</v>
      </c>
      <c r="P120" s="38" t="s"/>
      <c r="Q120" s="38" t="s"/>
      <c r="R120" s="38" t="s"/>
      <c r="S120" s="38" t="s"/>
      <c r="T120" s="78" t="s"/>
      <c r="U120" s="79" t="s"/>
      <c r="V120" s="38" t="s"/>
      <c r="W120" s="57" t="s"/>
      <c r="X120" s="57" t="s"/>
      <c r="Y120" s="59" t="s"/>
      <c r="Z120" s="59" t="s"/>
      <c r="AA120" s="59" t="s"/>
      <c r="AB120" s="59" t="s"/>
      <c r="AC120" s="59" t="s"/>
      <c r="AD120" s="59" t="s"/>
      <c r="AE120" s="60" t="s"/>
      <c r="AF120" s="59" t="s"/>
      <c r="AG120" s="59" t="s"/>
      <c r="AH120" s="59" t="s"/>
      <c r="AI120" s="59" t="s"/>
      <c r="AJ120" s="59" t="s"/>
    </row>
    <row r="121" spans="1:36" ht="13.5" hidden="true">
      <c r="A121" s="172" t="s"/>
      <c r="B121" s="176" t="s">
        <v>229</v>
      </c>
      <c r="C121" s="174" t="s"/>
      <c r="D121" s="175">
        <f>=C119-D119</f>
        <v>1</v>
      </c>
      <c r="E121" s="175">
        <f>=C119-D119</f>
        <v>1</v>
      </c>
      <c r="F121" s="175">
        <f>=C119-F119</f>
        <v>-2</v>
      </c>
      <c r="G121" s="175">
        <f>=C119-G119</f>
        <v>1</v>
      </c>
      <c r="H121" s="175">
        <f>=C119-H119</f>
        <v>0</v>
      </c>
      <c r="I121" s="175">
        <f>=C119-I119</f>
        <v>-1</v>
      </c>
      <c r="J121" s="175">
        <f>=C119-J119</f>
        <v>1</v>
      </c>
      <c r="K121" s="175">
        <f>=C119-K119</f>
        <v>1</v>
      </c>
      <c r="L121" s="175">
        <f>=C119-L119</f>
        <v>-2</v>
      </c>
      <c r="M121" s="175">
        <f>=C119-M119</f>
        <v>1</v>
      </c>
      <c r="N121" s="175">
        <f>=C119-N119</f>
        <v>1</v>
      </c>
      <c r="O121" s="175">
        <f>=C119-O119</f>
        <v>1</v>
      </c>
      <c r="P121" s="38" t="s"/>
      <c r="Q121" s="38" t="s"/>
      <c r="R121" s="38" t="s"/>
      <c r="S121" s="38" t="s"/>
      <c r="T121" s="78" t="s"/>
      <c r="U121" s="79" t="s"/>
      <c r="V121" s="38" t="s"/>
      <c r="W121" s="57" t="s"/>
      <c r="X121" s="57" t="s"/>
      <c r="Y121" s="59" t="s"/>
      <c r="Z121" s="59" t="s"/>
      <c r="AA121" s="59" t="s"/>
      <c r="AB121" s="59" t="s"/>
      <c r="AC121" s="59" t="s"/>
      <c r="AD121" s="59" t="s"/>
      <c r="AE121" s="60" t="s"/>
      <c r="AF121" s="59" t="s"/>
      <c r="AG121" s="59" t="s"/>
      <c r="AH121" s="59" t="s"/>
      <c r="AI121" s="59" t="s"/>
      <c r="AJ121" s="59" t="s"/>
    </row>
    <row r="122" spans="1:36" ht="13.5">
      <c r="A122" s="57" t="s"/>
      <c r="B122" s="57" t="s"/>
      <c r="C122" s="57" t="s"/>
      <c r="D122" s="38" t="s"/>
      <c r="E122" s="57" t="s"/>
      <c r="F122" s="57" t="s"/>
      <c r="G122" s="57" t="s"/>
      <c r="H122" s="57" t="s"/>
      <c r="I122" s="57" t="s"/>
      <c r="J122" s="57" t="s"/>
      <c r="K122" s="57" t="s"/>
      <c r="L122" s="57" t="s"/>
      <c r="M122" s="57" t="s"/>
      <c r="N122" s="57" t="s"/>
      <c r="O122" s="57" t="s"/>
      <c r="P122" s="38" t="s"/>
      <c r="Q122" s="38" t="s"/>
      <c r="R122" s="38" t="s"/>
      <c r="S122" s="38" t="s"/>
      <c r="T122" s="78" t="s"/>
      <c r="U122" s="79" t="s"/>
      <c r="V122" s="38" t="s"/>
      <c r="W122" s="57" t="s"/>
      <c r="X122" s="57" t="s"/>
      <c r="Y122" s="59" t="s"/>
      <c r="Z122" s="59" t="s"/>
      <c r="AA122" s="59" t="s"/>
      <c r="AB122" s="59" t="s"/>
      <c r="AC122" s="59" t="s"/>
      <c r="AD122" s="59" t="s"/>
      <c r="AE122" s="60" t="s"/>
      <c r="AF122" s="59" t="s"/>
      <c r="AG122" s="59" t="s"/>
      <c r="AH122" s="59" t="s"/>
      <c r="AI122" s="59" t="s"/>
      <c r="AJ122" s="59" t="s"/>
    </row>
    <row r="123" spans="1:36" ht="13.5">
      <c r="A123" s="57" t="s"/>
      <c r="B123" s="57" t="s"/>
      <c r="C123" s="57" t="s"/>
      <c r="D123" s="38" t="s"/>
      <c r="E123" s="57" t="s"/>
      <c r="F123" s="57" t="s"/>
      <c r="G123" s="57" t="s"/>
      <c r="H123" s="57" t="s"/>
      <c r="I123" s="57" t="s"/>
      <c r="J123" s="57" t="s"/>
      <c r="K123" s="57" t="s"/>
      <c r="L123" s="57" t="s"/>
      <c r="M123" s="57" t="s"/>
      <c r="N123" s="57" t="s"/>
      <c r="O123" s="57" t="s"/>
      <c r="P123" s="38" t="s"/>
      <c r="Q123" s="38" t="s"/>
      <c r="R123" s="38" t="s"/>
      <c r="S123" s="38" t="s"/>
      <c r="T123" s="78" t="s"/>
      <c r="U123" s="79" t="s"/>
      <c r="V123" s="38" t="s"/>
      <c r="W123" s="57" t="s"/>
      <c r="X123" s="57" t="s"/>
      <c r="Y123" s="59" t="s"/>
      <c r="Z123" s="59" t="s"/>
      <c r="AA123" s="59" t="s"/>
      <c r="AB123" s="59" t="s"/>
      <c r="AC123" s="59" t="s"/>
      <c r="AD123" s="59" t="s"/>
      <c r="AE123" s="60" t="s"/>
      <c r="AF123" s="59" t="s"/>
      <c r="AG123" s="59" t="s"/>
      <c r="AH123" s="59" t="s"/>
      <c r="AI123" s="59" t="s"/>
      <c r="AJ123" s="59" t="s"/>
    </row>
    <row r="124" spans="1:36" ht="13.5">
      <c r="A124" s="57" t="s"/>
      <c r="B124" s="57" t="s"/>
      <c r="C124" s="57" t="s"/>
      <c r="D124" s="38" t="s"/>
      <c r="E124" s="57" t="s"/>
      <c r="F124" s="57" t="s"/>
      <c r="G124" s="57" t="s"/>
      <c r="H124" s="57" t="s"/>
      <c r="I124" s="57" t="s"/>
      <c r="J124" s="57" t="s"/>
      <c r="K124" s="57" t="s"/>
      <c r="L124" s="57" t="s"/>
      <c r="M124" s="57" t="s"/>
      <c r="N124" s="57" t="s"/>
      <c r="O124" s="57" t="s"/>
      <c r="P124" s="38" t="s"/>
      <c r="Q124" s="38" t="s"/>
      <c r="R124" s="38" t="s"/>
      <c r="S124" s="38" t="s"/>
      <c r="T124" s="78" t="s"/>
      <c r="U124" s="79" t="s"/>
      <c r="V124" s="38" t="s"/>
      <c r="W124" s="57" t="s"/>
      <c r="X124" s="57" t="s"/>
      <c r="Y124" s="59" t="s"/>
      <c r="Z124" s="59" t="s"/>
      <c r="AA124" s="59" t="s"/>
      <c r="AB124" s="59" t="s"/>
      <c r="AC124" s="59" t="s"/>
      <c r="AD124" s="59" t="s"/>
      <c r="AE124" s="60" t="s"/>
      <c r="AF124" s="59" t="s"/>
      <c r="AG124" s="59" t="s"/>
      <c r="AH124" s="59" t="s"/>
      <c r="AI124" s="59" t="s"/>
      <c r="AJ124" s="59" t="s"/>
    </row>
    <row r="125" spans="1:36" ht="13.5">
      <c r="A125" s="57" t="s"/>
      <c r="B125" s="57" t="s"/>
      <c r="C125" s="57" t="s"/>
      <c r="D125" s="38" t="s"/>
      <c r="E125" s="57" t="s"/>
      <c r="F125" s="57" t="s"/>
      <c r="G125" s="57" t="s"/>
      <c r="H125" s="57" t="s"/>
      <c r="I125" s="57" t="s"/>
      <c r="J125" s="57" t="s"/>
      <c r="K125" s="57" t="s"/>
      <c r="L125" s="57" t="s"/>
      <c r="M125" s="57" t="s"/>
      <c r="N125" s="57" t="s"/>
      <c r="O125" s="57" t="s"/>
      <c r="P125" s="38" t="s"/>
      <c r="Q125" s="38" t="s"/>
      <c r="R125" s="38" t="s"/>
      <c r="S125" s="38" t="s"/>
      <c r="T125" s="78" t="s"/>
      <c r="U125" s="79" t="s"/>
      <c r="V125" s="38" t="s"/>
      <c r="W125" s="57" t="s"/>
      <c r="X125" s="57" t="s"/>
      <c r="Y125" s="59" t="s"/>
      <c r="Z125" s="59" t="s"/>
      <c r="AA125" s="59" t="s"/>
      <c r="AB125" s="59" t="s"/>
      <c r="AC125" s="59" t="s"/>
      <c r="AD125" s="59" t="s"/>
      <c r="AE125" s="60" t="s"/>
      <c r="AF125" s="59" t="s"/>
      <c r="AG125" s="59" t="s"/>
      <c r="AH125" s="59" t="s"/>
      <c r="AI125" s="59" t="s"/>
      <c r="AJ125" s="59" t="s"/>
    </row>
    <row r="126" spans="1:36" ht="13.5">
      <c r="A126" s="57" t="s"/>
      <c r="B126" s="57" t="s"/>
      <c r="C126" s="57" t="s"/>
      <c r="D126" s="38" t="s"/>
      <c r="E126" s="57" t="s"/>
      <c r="F126" s="57" t="s"/>
      <c r="G126" s="57" t="s"/>
      <c r="H126" s="57" t="s"/>
      <c r="I126" s="57" t="s"/>
      <c r="J126" s="57" t="s"/>
      <c r="K126" s="57" t="s"/>
      <c r="L126" s="57" t="s"/>
      <c r="M126" s="57" t="s"/>
      <c r="N126" s="57" t="s"/>
      <c r="O126" s="57" t="s"/>
      <c r="P126" s="38" t="s"/>
      <c r="Q126" s="38" t="s"/>
      <c r="R126" s="38" t="s"/>
      <c r="S126" s="38" t="s"/>
      <c r="T126" s="78" t="s"/>
      <c r="U126" s="79" t="s"/>
      <c r="V126" s="38" t="s"/>
      <c r="W126" s="57" t="s"/>
      <c r="X126" s="57" t="s"/>
      <c r="Y126" s="59" t="s"/>
      <c r="Z126" s="59" t="s"/>
      <c r="AA126" s="59" t="s"/>
      <c r="AB126" s="59" t="s"/>
      <c r="AC126" s="59" t="s"/>
      <c r="AD126" s="59" t="s"/>
      <c r="AE126" s="60" t="s"/>
      <c r="AF126" s="59" t="s"/>
      <c r="AG126" s="59" t="s"/>
      <c r="AH126" s="59" t="s"/>
      <c r="AI126" s="59" t="s"/>
      <c r="AJ126" s="59" t="s"/>
    </row>
    <row r="127" spans="1:36" ht="13.5">
      <c r="A127" s="57" t="s"/>
      <c r="B127" s="57" t="s"/>
      <c r="C127" s="57" t="s"/>
      <c r="D127" s="38" t="s"/>
      <c r="E127" s="57" t="s"/>
      <c r="F127" s="57" t="s"/>
      <c r="G127" s="57" t="s"/>
      <c r="H127" s="57" t="s"/>
      <c r="I127" s="57" t="s"/>
      <c r="J127" s="57" t="s"/>
      <c r="K127" s="57" t="s"/>
      <c r="L127" s="57" t="s"/>
      <c r="M127" s="57" t="s"/>
      <c r="N127" s="57" t="s"/>
      <c r="O127" s="57" t="s"/>
      <c r="P127" s="38" t="s"/>
      <c r="Q127" s="38" t="s"/>
      <c r="R127" s="38" t="s"/>
      <c r="S127" s="38" t="s"/>
      <c r="T127" s="78" t="s"/>
      <c r="U127" s="79" t="s"/>
      <c r="V127" s="38" t="s"/>
      <c r="W127" s="57" t="s"/>
      <c r="X127" s="57" t="s"/>
      <c r="Y127" s="59" t="s"/>
      <c r="Z127" s="59" t="s"/>
      <c r="AA127" s="59" t="s"/>
      <c r="AB127" s="59" t="s"/>
      <c r="AC127" s="59" t="s"/>
      <c r="AD127" s="59" t="s"/>
      <c r="AE127" s="60" t="s"/>
      <c r="AF127" s="59" t="s"/>
      <c r="AG127" s="59" t="s"/>
      <c r="AH127" s="59" t="s"/>
      <c r="AI127" s="59" t="s"/>
      <c r="AJ127" s="59" t="s"/>
    </row>
    <row r="128" spans="1:36" ht="13.5">
      <c r="A128" s="57" t="s"/>
      <c r="B128" s="57" t="s"/>
      <c r="C128" s="57" t="s"/>
      <c r="D128" s="38" t="s"/>
      <c r="E128" s="57" t="s"/>
      <c r="F128" s="57" t="s"/>
      <c r="G128" s="57" t="s"/>
      <c r="H128" s="57" t="s"/>
      <c r="I128" s="57" t="s"/>
      <c r="J128" s="57" t="s"/>
      <c r="K128" s="57" t="s"/>
      <c r="L128" s="57" t="s"/>
      <c r="M128" s="57" t="s"/>
      <c r="N128" s="57" t="s"/>
      <c r="O128" s="57" t="s"/>
      <c r="P128" s="38" t="s"/>
      <c r="Q128" s="38" t="s"/>
      <c r="R128" s="38" t="s"/>
      <c r="S128" s="38" t="s"/>
      <c r="T128" s="78" t="s"/>
      <c r="U128" s="79" t="s"/>
      <c r="V128" s="38" t="s"/>
      <c r="W128" s="57" t="s"/>
      <c r="X128" s="57" t="s"/>
      <c r="Y128" s="59" t="s"/>
      <c r="Z128" s="59" t="s"/>
      <c r="AA128" s="59" t="s"/>
      <c r="AB128" s="59" t="s"/>
      <c r="AC128" s="59" t="s"/>
      <c r="AD128" s="59" t="s"/>
      <c r="AE128" s="60" t="s"/>
      <c r="AF128" s="59" t="s"/>
      <c r="AG128" s="59" t="s"/>
      <c r="AH128" s="59" t="s"/>
      <c r="AI128" s="59" t="s"/>
      <c r="AJ128" s="59" t="s"/>
    </row>
    <row r="129" spans="1:36" ht="13.5">
      <c r="A129" s="57" t="s"/>
      <c r="B129" s="57" t="s"/>
      <c r="C129" s="57" t="s"/>
      <c r="D129" s="38" t="s"/>
      <c r="E129" s="57" t="s"/>
      <c r="F129" s="57" t="s"/>
      <c r="G129" s="57" t="s"/>
      <c r="H129" s="57" t="s"/>
      <c r="I129" s="57" t="s"/>
      <c r="J129" s="57" t="s"/>
      <c r="K129" s="57" t="s"/>
      <c r="L129" s="57" t="s"/>
      <c r="M129" s="57" t="s"/>
      <c r="N129" s="57" t="s"/>
      <c r="O129" s="57" t="s"/>
      <c r="P129" s="38" t="s"/>
      <c r="Q129" s="38" t="s"/>
      <c r="R129" s="38" t="s"/>
      <c r="S129" s="38" t="s"/>
      <c r="T129" s="78" t="s"/>
      <c r="U129" s="79" t="s"/>
      <c r="V129" s="38" t="s"/>
      <c r="W129" s="57" t="s"/>
      <c r="X129" s="57" t="s"/>
      <c r="Y129" s="59" t="s"/>
      <c r="Z129" s="59" t="s"/>
      <c r="AA129" s="59" t="s"/>
      <c r="AB129" s="59" t="s"/>
      <c r="AC129" s="59" t="s"/>
      <c r="AD129" s="59" t="s"/>
      <c r="AE129" s="60" t="s"/>
      <c r="AF129" s="59" t="s"/>
      <c r="AG129" s="59" t="s"/>
      <c r="AH129" s="59" t="s"/>
      <c r="AI129" s="59" t="s"/>
      <c r="AJ129" s="59" t="s"/>
    </row>
    <row r="130" spans="1:36" ht="13.5">
      <c r="A130" s="57" t="s"/>
      <c r="B130" s="57" t="s"/>
      <c r="C130" s="57" t="s"/>
      <c r="D130" s="38" t="s"/>
      <c r="E130" s="57" t="s"/>
      <c r="F130" s="57" t="s"/>
      <c r="G130" s="57" t="s"/>
      <c r="H130" s="57" t="s"/>
      <c r="I130" s="57" t="s"/>
      <c r="J130" s="57" t="s"/>
      <c r="K130" s="57" t="s"/>
      <c r="L130" s="57" t="s"/>
      <c r="M130" s="57" t="s"/>
      <c r="N130" s="57" t="s"/>
      <c r="O130" s="57" t="s"/>
      <c r="P130" s="38" t="s"/>
      <c r="Q130" s="38" t="s"/>
      <c r="R130" s="38" t="s"/>
      <c r="S130" s="38" t="s"/>
      <c r="T130" s="78" t="s"/>
      <c r="U130" s="79" t="s"/>
      <c r="V130" s="38" t="s"/>
      <c r="W130" s="57" t="s"/>
      <c r="X130" s="57" t="s"/>
      <c r="Y130" s="59" t="s"/>
      <c r="Z130" s="59" t="s"/>
      <c r="AA130" s="59" t="s"/>
      <c r="AB130" s="59" t="s"/>
      <c r="AC130" s="59" t="s"/>
      <c r="AD130" s="59" t="s"/>
      <c r="AE130" s="60" t="s"/>
      <c r="AF130" s="59" t="s"/>
      <c r="AG130" s="59" t="s"/>
      <c r="AH130" s="59" t="s"/>
      <c r="AI130" s="59" t="s"/>
      <c r="AJ130" s="59" t="s"/>
    </row>
    <row r="131" spans="1:36" ht="13.5">
      <c r="A131" s="57" t="s"/>
      <c r="B131" s="57" t="s"/>
      <c r="C131" s="57" t="s"/>
      <c r="D131" s="38" t="s"/>
      <c r="E131" s="57" t="s"/>
      <c r="F131" s="57" t="s"/>
      <c r="G131" s="57" t="s"/>
      <c r="H131" s="57" t="s"/>
      <c r="I131" s="57" t="s"/>
      <c r="J131" s="57" t="s"/>
      <c r="K131" s="57" t="s"/>
      <c r="L131" s="57" t="s"/>
      <c r="M131" s="57" t="s"/>
      <c r="N131" s="57" t="s"/>
      <c r="O131" s="57" t="s"/>
      <c r="P131" s="38" t="s"/>
      <c r="Q131" s="38" t="s"/>
      <c r="R131" s="38" t="s"/>
      <c r="S131" s="38" t="s"/>
      <c r="T131" s="78" t="s"/>
      <c r="U131" s="79" t="s"/>
      <c r="V131" s="38" t="s"/>
      <c r="W131" s="57" t="s"/>
      <c r="X131" s="57" t="s"/>
      <c r="Y131" s="59" t="s"/>
      <c r="Z131" s="59" t="s"/>
      <c r="AA131" s="59" t="s"/>
      <c r="AB131" s="59" t="s"/>
      <c r="AC131" s="59" t="s"/>
      <c r="AD131" s="59" t="s"/>
      <c r="AE131" s="60" t="s"/>
      <c r="AF131" s="59" t="s"/>
      <c r="AG131" s="59" t="s"/>
      <c r="AH131" s="59" t="s"/>
      <c r="AI131" s="59" t="s"/>
      <c r="AJ131" s="59" t="s"/>
    </row>
    <row r="132" spans="1:36" ht="13.5">
      <c r="A132" s="57" t="s"/>
      <c r="B132" s="57" t="s"/>
      <c r="C132" s="57" t="s"/>
      <c r="D132" s="38" t="s"/>
      <c r="E132" s="57" t="s"/>
      <c r="F132" s="57" t="s"/>
      <c r="G132" s="57" t="s"/>
      <c r="H132" s="57" t="s"/>
      <c r="I132" s="57" t="s"/>
      <c r="J132" s="57" t="s"/>
      <c r="K132" s="57" t="s"/>
      <c r="L132" s="57" t="s"/>
      <c r="M132" s="57" t="s"/>
      <c r="N132" s="57" t="s"/>
      <c r="O132" s="57" t="s"/>
      <c r="P132" s="38" t="s"/>
      <c r="Q132" s="38" t="s"/>
      <c r="R132" s="38" t="s"/>
      <c r="S132" s="38" t="s"/>
      <c r="T132" s="78" t="s"/>
      <c r="U132" s="79" t="s"/>
      <c r="V132" s="38" t="s"/>
      <c r="W132" s="57" t="s"/>
      <c r="X132" s="57" t="s"/>
      <c r="Y132" s="59" t="s"/>
      <c r="Z132" s="59" t="s"/>
      <c r="AA132" s="59" t="s"/>
      <c r="AB132" s="59" t="s"/>
      <c r="AC132" s="59" t="s"/>
      <c r="AD132" s="59" t="s"/>
      <c r="AE132" s="60" t="s"/>
      <c r="AF132" s="59" t="s"/>
      <c r="AG132" s="59" t="s"/>
      <c r="AH132" s="59" t="s"/>
      <c r="AI132" s="59" t="s"/>
      <c r="AJ132" s="59" t="s"/>
    </row>
    <row r="133" spans="1:36" ht="13.5">
      <c r="A133" s="57" t="s"/>
      <c r="B133" s="57" t="s"/>
      <c r="C133" s="57" t="s"/>
      <c r="D133" s="38" t="s"/>
      <c r="E133" s="57" t="s"/>
      <c r="F133" s="57" t="s"/>
      <c r="G133" s="57" t="s"/>
      <c r="H133" s="57" t="s"/>
      <c r="I133" s="57" t="s"/>
      <c r="J133" s="57" t="s"/>
      <c r="K133" s="57" t="s"/>
      <c r="L133" s="57" t="s"/>
      <c r="M133" s="57" t="s"/>
      <c r="N133" s="57" t="s"/>
      <c r="O133" s="57" t="s"/>
      <c r="P133" s="38" t="s"/>
      <c r="Q133" s="38" t="s"/>
      <c r="R133" s="38" t="s"/>
      <c r="S133" s="38" t="s"/>
      <c r="T133" s="78" t="s"/>
      <c r="U133" s="79" t="s"/>
      <c r="V133" s="38" t="s"/>
      <c r="W133" s="57" t="s"/>
      <c r="X133" s="57" t="s"/>
      <c r="Y133" s="59" t="s"/>
      <c r="Z133" s="59" t="s"/>
      <c r="AA133" s="59" t="s"/>
      <c r="AB133" s="59" t="s"/>
      <c r="AC133" s="59" t="s"/>
      <c r="AD133" s="59" t="s"/>
      <c r="AE133" s="60" t="s"/>
      <c r="AF133" s="59" t="s"/>
      <c r="AG133" s="59" t="s"/>
      <c r="AH133" s="59" t="s"/>
      <c r="AI133" s="59" t="s"/>
      <c r="AJ133" s="59" t="s"/>
    </row>
    <row r="134" spans="1:36" ht="13.5">
      <c r="A134" s="57" t="s"/>
      <c r="B134" s="57" t="s"/>
      <c r="C134" s="57" t="s"/>
      <c r="D134" s="38" t="s"/>
      <c r="E134" s="57" t="s"/>
      <c r="F134" s="57" t="s"/>
      <c r="G134" s="57" t="s"/>
      <c r="H134" s="57" t="s"/>
      <c r="I134" s="57" t="s"/>
      <c r="J134" s="57" t="s"/>
      <c r="K134" s="57" t="s"/>
      <c r="L134" s="57" t="s"/>
      <c r="M134" s="57" t="s"/>
      <c r="N134" s="57" t="s"/>
      <c r="O134" s="57" t="s"/>
      <c r="P134" s="38" t="s"/>
      <c r="Q134" s="38" t="s"/>
      <c r="R134" s="38" t="s"/>
      <c r="S134" s="38" t="s"/>
      <c r="T134" s="78" t="s"/>
      <c r="U134" s="79" t="s"/>
      <c r="V134" s="38" t="s"/>
      <c r="W134" s="57" t="s"/>
      <c r="X134" s="57" t="s"/>
      <c r="Y134" s="59" t="s"/>
      <c r="Z134" s="59" t="s"/>
      <c r="AA134" s="59" t="s"/>
      <c r="AB134" s="59" t="s"/>
      <c r="AC134" s="59" t="s"/>
      <c r="AD134" s="59" t="s"/>
      <c r="AE134" s="60" t="s"/>
      <c r="AF134" s="59" t="s"/>
      <c r="AG134" s="59" t="s"/>
      <c r="AH134" s="59" t="s"/>
      <c r="AI134" s="59" t="s"/>
      <c r="AJ134" s="59" t="s"/>
    </row>
    <row r="135" spans="1:36" ht="13.5">
      <c r="A135" s="57" t="s"/>
      <c r="B135" s="57" t="s"/>
      <c r="C135" s="57" t="s"/>
      <c r="D135" s="38" t="s"/>
      <c r="E135" s="57" t="s"/>
      <c r="F135" s="57" t="s"/>
      <c r="G135" s="57" t="s"/>
      <c r="H135" s="57" t="s"/>
      <c r="I135" s="57" t="s"/>
      <c r="J135" s="57" t="s"/>
      <c r="K135" s="57" t="s"/>
      <c r="L135" s="57" t="s"/>
      <c r="M135" s="57" t="s"/>
      <c r="N135" s="57" t="s"/>
      <c r="O135" s="57" t="s"/>
      <c r="P135" s="38" t="s"/>
      <c r="Q135" s="38" t="s"/>
      <c r="R135" s="38" t="s"/>
      <c r="S135" s="38" t="s"/>
      <c r="T135" s="78" t="s"/>
      <c r="U135" s="79" t="s"/>
      <c r="V135" s="38" t="s"/>
      <c r="W135" s="57" t="s"/>
      <c r="X135" s="57" t="s"/>
      <c r="Y135" s="59" t="s"/>
      <c r="Z135" s="59" t="s"/>
      <c r="AA135" s="59" t="s"/>
      <c r="AB135" s="59" t="s"/>
      <c r="AC135" s="59" t="s"/>
      <c r="AD135" s="59" t="s"/>
      <c r="AE135" s="60" t="s"/>
      <c r="AF135" s="59" t="s"/>
      <c r="AG135" s="59" t="s"/>
      <c r="AH135" s="59" t="s"/>
      <c r="AI135" s="59" t="s"/>
      <c r="AJ135" s="59" t="s"/>
    </row>
    <row r="136" spans="1:36" ht="13.5">
      <c r="A136" s="57" t="s"/>
      <c r="B136" s="57" t="s"/>
      <c r="C136" s="57" t="s"/>
      <c r="D136" s="38" t="s"/>
      <c r="E136" s="57" t="s"/>
      <c r="F136" s="57" t="s"/>
      <c r="G136" s="57" t="s"/>
      <c r="H136" s="57" t="s"/>
      <c r="I136" s="57" t="s"/>
      <c r="J136" s="57" t="s"/>
      <c r="K136" s="57" t="s"/>
      <c r="L136" s="57" t="s"/>
      <c r="M136" s="57" t="s"/>
      <c r="N136" s="57" t="s"/>
      <c r="O136" s="57" t="s"/>
      <c r="P136" s="38" t="s"/>
      <c r="Q136" s="38" t="s"/>
      <c r="R136" s="38" t="s"/>
      <c r="S136" s="38" t="s"/>
      <c r="T136" s="78" t="s"/>
      <c r="U136" s="79" t="s"/>
      <c r="V136" s="38" t="s"/>
      <c r="W136" s="57" t="s"/>
      <c r="X136" s="57" t="s"/>
      <c r="Y136" s="59" t="s"/>
      <c r="Z136" s="59" t="s"/>
      <c r="AA136" s="59" t="s"/>
      <c r="AB136" s="59" t="s"/>
      <c r="AC136" s="59" t="s"/>
      <c r="AD136" s="59" t="s"/>
      <c r="AE136" s="60" t="s"/>
      <c r="AF136" s="59" t="s"/>
      <c r="AG136" s="59" t="s"/>
      <c r="AH136" s="59" t="s"/>
      <c r="AI136" s="59" t="s"/>
      <c r="AJ136" s="59" t="s"/>
    </row>
    <row r="137" spans="1:36" ht="13.5">
      <c r="A137" s="57" t="s"/>
      <c r="B137" s="57" t="s"/>
      <c r="C137" s="57" t="s"/>
      <c r="D137" s="38" t="s"/>
      <c r="E137" s="57" t="s"/>
      <c r="F137" s="57" t="s"/>
      <c r="G137" s="57" t="s"/>
      <c r="H137" s="57" t="s"/>
      <c r="I137" s="57" t="s"/>
      <c r="J137" s="57" t="s"/>
      <c r="K137" s="57" t="s"/>
      <c r="L137" s="57" t="s"/>
      <c r="M137" s="57" t="s"/>
      <c r="N137" s="57" t="s"/>
      <c r="O137" s="57" t="s"/>
      <c r="P137" s="38" t="s"/>
      <c r="Q137" s="38" t="s"/>
      <c r="R137" s="38" t="s"/>
      <c r="S137" s="38" t="s"/>
      <c r="T137" s="78" t="s"/>
      <c r="U137" s="79" t="s"/>
      <c r="V137" s="38" t="s"/>
      <c r="W137" s="57" t="s"/>
      <c r="X137" s="57" t="s"/>
      <c r="Y137" s="59" t="s"/>
      <c r="Z137" s="59" t="s"/>
      <c r="AA137" s="59" t="s"/>
      <c r="AB137" s="59" t="s"/>
      <c r="AC137" s="59" t="s"/>
      <c r="AD137" s="59" t="s"/>
      <c r="AE137" s="60" t="s"/>
      <c r="AF137" s="59" t="s"/>
      <c r="AG137" s="59" t="s"/>
      <c r="AH137" s="59" t="s"/>
      <c r="AI137" s="59" t="s"/>
      <c r="AJ137" s="59" t="s"/>
    </row>
    <row r="138" spans="1:36" ht="13.5">
      <c r="A138" s="57" t="s"/>
      <c r="B138" s="57" t="s"/>
      <c r="C138" s="57" t="s"/>
      <c r="D138" s="38" t="s"/>
      <c r="E138" s="57" t="s"/>
      <c r="F138" s="57" t="s"/>
      <c r="G138" s="57" t="s"/>
      <c r="H138" s="57" t="s"/>
      <c r="I138" s="57" t="s"/>
      <c r="J138" s="57" t="s"/>
      <c r="K138" s="57" t="s"/>
      <c r="L138" s="57" t="s"/>
      <c r="M138" s="57" t="s"/>
      <c r="N138" s="57" t="s"/>
      <c r="O138" s="57" t="s"/>
      <c r="P138" s="38" t="s"/>
      <c r="Q138" s="38" t="s"/>
      <c r="R138" s="38" t="s"/>
      <c r="S138" s="38" t="s"/>
      <c r="T138" s="78" t="s"/>
      <c r="U138" s="79" t="s"/>
      <c r="V138" s="38" t="s"/>
      <c r="W138" s="57" t="s"/>
      <c r="X138" s="57" t="s"/>
      <c r="Y138" s="59" t="s"/>
      <c r="Z138" s="59" t="s"/>
      <c r="AA138" s="59" t="s"/>
      <c r="AB138" s="59" t="s"/>
      <c r="AC138" s="59" t="s"/>
      <c r="AD138" s="59" t="s"/>
      <c r="AE138" s="60" t="s"/>
      <c r="AF138" s="59" t="s"/>
      <c r="AG138" s="59" t="s"/>
      <c r="AH138" s="59" t="s"/>
      <c r="AI138" s="59" t="s"/>
      <c r="AJ138" s="59" t="s"/>
    </row>
    <row r="139" spans="1:36" ht="13.5">
      <c r="A139" s="57" t="s"/>
      <c r="B139" s="57" t="s"/>
      <c r="C139" s="57" t="s"/>
      <c r="D139" s="38" t="s"/>
      <c r="E139" s="57" t="s"/>
      <c r="F139" s="57" t="s"/>
      <c r="G139" s="57" t="s"/>
      <c r="H139" s="57" t="s"/>
      <c r="I139" s="57" t="s"/>
      <c r="J139" s="57" t="s"/>
      <c r="K139" s="57" t="s"/>
      <c r="L139" s="57" t="s"/>
      <c r="M139" s="57" t="s"/>
      <c r="N139" s="57" t="s"/>
      <c r="O139" s="57" t="s"/>
      <c r="P139" s="38" t="s"/>
      <c r="Q139" s="38" t="s"/>
      <c r="R139" s="38" t="s"/>
      <c r="S139" s="38" t="s"/>
      <c r="T139" s="78" t="s"/>
      <c r="U139" s="79" t="s"/>
      <c r="V139" s="38" t="s"/>
      <c r="W139" s="57" t="s"/>
      <c r="X139" s="57" t="s"/>
      <c r="Y139" s="59" t="s"/>
      <c r="Z139" s="59" t="s"/>
      <c r="AA139" s="59" t="s"/>
      <c r="AB139" s="59" t="s"/>
      <c r="AC139" s="59" t="s"/>
      <c r="AD139" s="59" t="s"/>
      <c r="AE139" s="60" t="s"/>
      <c r="AF139" s="59" t="s"/>
      <c r="AG139" s="59" t="s"/>
      <c r="AH139" s="59" t="s"/>
      <c r="AI139" s="59" t="s"/>
      <c r="AJ139" s="59" t="s"/>
    </row>
    <row r="140" spans="1:36" ht="13.5">
      <c r="A140" s="57" t="s"/>
      <c r="B140" s="57" t="s"/>
      <c r="C140" s="57" t="s"/>
      <c r="D140" s="38" t="s"/>
      <c r="E140" s="57" t="s"/>
      <c r="F140" s="57" t="s"/>
      <c r="G140" s="57" t="s"/>
      <c r="H140" s="57" t="s"/>
      <c r="I140" s="57" t="s"/>
      <c r="J140" s="57" t="s"/>
      <c r="K140" s="57" t="s"/>
      <c r="L140" s="57" t="s"/>
      <c r="M140" s="57" t="s"/>
      <c r="N140" s="57" t="s"/>
      <c r="O140" s="57" t="s"/>
      <c r="P140" s="38" t="s"/>
      <c r="Q140" s="38" t="s"/>
      <c r="R140" s="38" t="s"/>
      <c r="S140" s="38" t="s"/>
      <c r="T140" s="78" t="s"/>
      <c r="U140" s="79" t="s"/>
      <c r="V140" s="38" t="s"/>
      <c r="W140" s="57" t="s"/>
      <c r="X140" s="57" t="s"/>
      <c r="Y140" s="59" t="s"/>
      <c r="Z140" s="59" t="s"/>
      <c r="AA140" s="59" t="s"/>
      <c r="AB140" s="59" t="s"/>
      <c r="AC140" s="59" t="s"/>
      <c r="AD140" s="59" t="s"/>
      <c r="AE140" s="60" t="s"/>
      <c r="AF140" s="59" t="s"/>
      <c r="AG140" s="59" t="s"/>
      <c r="AH140" s="59" t="s"/>
      <c r="AI140" s="59" t="s"/>
      <c r="AJ140" s="59" t="s"/>
    </row>
    <row r="141" spans="1:36" ht="13.5">
      <c r="A141" s="57" t="s"/>
      <c r="B141" s="57" t="s"/>
      <c r="C141" s="57" t="s"/>
      <c r="D141" s="38" t="s"/>
      <c r="E141" s="57" t="s"/>
      <c r="F141" s="57" t="s"/>
      <c r="G141" s="57" t="s"/>
      <c r="H141" s="57" t="s"/>
      <c r="I141" s="57" t="s"/>
      <c r="J141" s="57" t="s"/>
      <c r="K141" s="57" t="s"/>
      <c r="L141" s="57" t="s"/>
      <c r="M141" s="57" t="s"/>
      <c r="N141" s="57" t="s"/>
      <c r="O141" s="57" t="s"/>
      <c r="P141" s="38" t="s"/>
      <c r="Q141" s="38" t="s"/>
      <c r="R141" s="38" t="s"/>
      <c r="S141" s="38" t="s"/>
      <c r="T141" s="78" t="s"/>
      <c r="U141" s="79" t="s"/>
      <c r="V141" s="38" t="s"/>
      <c r="W141" s="57" t="s"/>
      <c r="X141" s="57" t="s"/>
      <c r="Y141" s="59" t="s"/>
      <c r="Z141" s="59" t="s"/>
      <c r="AA141" s="59" t="s"/>
      <c r="AB141" s="59" t="s"/>
      <c r="AC141" s="59" t="s"/>
      <c r="AD141" s="59" t="s"/>
      <c r="AE141" s="60" t="s"/>
      <c r="AF141" s="59" t="s"/>
      <c r="AG141" s="59" t="s"/>
      <c r="AH141" s="59" t="s"/>
      <c r="AI141" s="59" t="s"/>
      <c r="AJ141" s="59" t="s"/>
    </row>
    <row r="142" spans="1:36" ht="13.5">
      <c r="A142" s="57" t="s"/>
      <c r="B142" s="57" t="s"/>
      <c r="C142" s="57" t="s"/>
      <c r="D142" s="38" t="s"/>
      <c r="E142" s="57" t="s"/>
      <c r="F142" s="57" t="s"/>
      <c r="G142" s="57" t="s"/>
      <c r="H142" s="57" t="s"/>
      <c r="I142" s="57" t="s"/>
      <c r="J142" s="57" t="s"/>
      <c r="K142" s="57" t="s"/>
      <c r="L142" s="57" t="s"/>
      <c r="M142" s="57" t="s"/>
      <c r="N142" s="57" t="s"/>
      <c r="O142" s="57" t="s"/>
      <c r="P142" s="38" t="s"/>
      <c r="Q142" s="38" t="s"/>
      <c r="R142" s="38" t="s"/>
      <c r="S142" s="38" t="s"/>
      <c r="T142" s="78" t="s"/>
      <c r="U142" s="79" t="s"/>
      <c r="V142" s="38" t="s"/>
      <c r="W142" s="57" t="s"/>
      <c r="X142" s="57" t="s"/>
      <c r="Y142" s="59" t="s"/>
      <c r="Z142" s="59" t="s"/>
      <c r="AA142" s="59" t="s"/>
      <c r="AB142" s="59" t="s"/>
      <c r="AC142" s="59" t="s"/>
      <c r="AD142" s="59" t="s"/>
      <c r="AE142" s="60" t="s"/>
      <c r="AF142" s="59" t="s"/>
      <c r="AG142" s="59" t="s"/>
      <c r="AH142" s="59" t="s"/>
      <c r="AI142" s="59" t="s"/>
      <c r="AJ142" s="59" t="s"/>
    </row>
    <row r="143" spans="1:36" ht="13.5">
      <c r="A143" s="57" t="s"/>
      <c r="B143" s="57" t="s"/>
      <c r="C143" s="57" t="s"/>
      <c r="D143" s="38" t="s"/>
      <c r="E143" s="57" t="s"/>
      <c r="F143" s="57" t="s"/>
      <c r="G143" s="57" t="s"/>
      <c r="H143" s="57" t="s"/>
      <c r="I143" s="57" t="s"/>
      <c r="J143" s="57" t="s"/>
      <c r="K143" s="57" t="s"/>
      <c r="L143" s="57" t="s"/>
      <c r="M143" s="57" t="s"/>
      <c r="N143" s="57" t="s"/>
      <c r="O143" s="57" t="s"/>
      <c r="P143" s="38" t="s"/>
      <c r="Q143" s="38" t="s"/>
      <c r="R143" s="38" t="s"/>
      <c r="S143" s="38" t="s"/>
      <c r="T143" s="78" t="s"/>
      <c r="U143" s="79" t="s"/>
      <c r="V143" s="38" t="s"/>
      <c r="W143" s="57" t="s"/>
      <c r="X143" s="57" t="s"/>
      <c r="Y143" s="59" t="s"/>
      <c r="Z143" s="59" t="s"/>
      <c r="AA143" s="59" t="s"/>
      <c r="AB143" s="59" t="s"/>
      <c r="AC143" s="59" t="s"/>
      <c r="AD143" s="59" t="s"/>
      <c r="AE143" s="60" t="s"/>
      <c r="AF143" s="59" t="s"/>
      <c r="AG143" s="59" t="s"/>
      <c r="AH143" s="59" t="s"/>
      <c r="AI143" s="59" t="s"/>
      <c r="AJ143" s="59" t="s"/>
    </row>
    <row r="144" spans="1:36" ht="13.5">
      <c r="A144" s="57" t="s"/>
      <c r="B144" s="57" t="s"/>
      <c r="C144" s="57" t="s"/>
      <c r="D144" s="38" t="s"/>
      <c r="E144" s="57" t="s"/>
      <c r="F144" s="57" t="s"/>
      <c r="G144" s="57" t="s"/>
      <c r="H144" s="57" t="s"/>
      <c r="I144" s="57" t="s"/>
      <c r="J144" s="57" t="s"/>
      <c r="K144" s="57" t="s"/>
      <c r="L144" s="57" t="s"/>
      <c r="M144" s="57" t="s"/>
      <c r="N144" s="57" t="s"/>
      <c r="O144" s="57" t="s"/>
      <c r="P144" s="38" t="s"/>
      <c r="Q144" s="38" t="s"/>
      <c r="R144" s="38" t="s"/>
      <c r="S144" s="38" t="s"/>
      <c r="T144" s="78" t="s"/>
      <c r="U144" s="79" t="s"/>
      <c r="V144" s="38" t="s"/>
      <c r="W144" s="57" t="s"/>
      <c r="X144" s="57" t="s"/>
      <c r="Y144" s="59" t="s"/>
      <c r="Z144" s="59" t="s"/>
      <c r="AA144" s="59" t="s"/>
      <c r="AB144" s="59" t="s"/>
      <c r="AC144" s="59" t="s"/>
      <c r="AD144" s="59" t="s"/>
      <c r="AE144" s="60" t="s"/>
      <c r="AF144" s="59" t="s"/>
      <c r="AG144" s="59" t="s"/>
      <c r="AH144" s="59" t="s"/>
      <c r="AI144" s="59" t="s"/>
      <c r="AJ144" s="59" t="s"/>
    </row>
    <row r="145" spans="1:36" ht="13.5">
      <c r="A145" s="57" t="s"/>
      <c r="B145" s="57" t="s"/>
      <c r="C145" s="57" t="s"/>
      <c r="D145" s="38" t="s"/>
      <c r="E145" s="57" t="s"/>
      <c r="F145" s="57" t="s"/>
      <c r="G145" s="57" t="s"/>
      <c r="H145" s="57" t="s"/>
      <c r="I145" s="57" t="s"/>
      <c r="J145" s="57" t="s"/>
      <c r="K145" s="57" t="s"/>
      <c r="L145" s="57" t="s"/>
      <c r="M145" s="57" t="s"/>
      <c r="N145" s="57" t="s"/>
      <c r="O145" s="57" t="s"/>
      <c r="P145" s="38" t="s"/>
      <c r="Q145" s="38" t="s"/>
      <c r="R145" s="38" t="s"/>
      <c r="S145" s="38" t="s"/>
      <c r="T145" s="78" t="s"/>
      <c r="U145" s="79" t="s"/>
      <c r="V145" s="38" t="s"/>
      <c r="W145" s="57" t="s"/>
      <c r="X145" s="57" t="s"/>
      <c r="Y145" s="59" t="s"/>
      <c r="Z145" s="59" t="s"/>
      <c r="AA145" s="59" t="s"/>
      <c r="AB145" s="59" t="s"/>
      <c r="AC145" s="59" t="s"/>
      <c r="AD145" s="59" t="s"/>
      <c r="AE145" s="60" t="s"/>
      <c r="AF145" s="59" t="s"/>
      <c r="AG145" s="59" t="s"/>
      <c r="AH145" s="59" t="s"/>
      <c r="AI145" s="59" t="s"/>
      <c r="AJ145" s="59" t="s"/>
    </row>
    <row r="146" spans="1:36" ht="13.5">
      <c r="A146" s="57" t="s"/>
      <c r="B146" s="57" t="s"/>
      <c r="C146" s="57" t="s"/>
      <c r="D146" s="38" t="s"/>
      <c r="E146" s="57" t="s"/>
      <c r="F146" s="57" t="s"/>
      <c r="G146" s="57" t="s"/>
      <c r="H146" s="57" t="s"/>
      <c r="I146" s="57" t="s"/>
      <c r="J146" s="57" t="s"/>
      <c r="K146" s="57" t="s"/>
      <c r="L146" s="57" t="s"/>
      <c r="M146" s="57" t="s"/>
      <c r="N146" s="57" t="s"/>
      <c r="O146" s="57" t="s"/>
      <c r="P146" s="38" t="s"/>
      <c r="Q146" s="38" t="s"/>
      <c r="R146" s="38" t="s"/>
      <c r="S146" s="38" t="s"/>
      <c r="T146" s="78" t="s"/>
      <c r="U146" s="79" t="s"/>
      <c r="V146" s="38" t="s"/>
      <c r="W146" s="57" t="s"/>
      <c r="X146" s="57" t="s"/>
      <c r="Y146" s="59" t="s"/>
      <c r="Z146" s="59" t="s"/>
      <c r="AA146" s="59" t="s"/>
      <c r="AB146" s="59" t="s"/>
      <c r="AC146" s="59" t="s"/>
      <c r="AD146" s="59" t="s"/>
      <c r="AE146" s="60" t="s"/>
      <c r="AF146" s="59" t="s"/>
      <c r="AG146" s="59" t="s"/>
      <c r="AH146" s="59" t="s"/>
      <c r="AI146" s="59" t="s"/>
      <c r="AJ146" s="59" t="s"/>
    </row>
    <row r="147" spans="1:36" ht="13.5">
      <c r="A147" s="57" t="s"/>
      <c r="B147" s="57" t="s"/>
      <c r="C147" s="57" t="s"/>
      <c r="D147" s="38" t="s"/>
      <c r="E147" s="57" t="s"/>
      <c r="F147" s="57" t="s"/>
      <c r="G147" s="57" t="s"/>
      <c r="H147" s="57" t="s"/>
      <c r="I147" s="57" t="s"/>
      <c r="J147" s="57" t="s"/>
      <c r="K147" s="57" t="s"/>
      <c r="L147" s="57" t="s"/>
      <c r="M147" s="57" t="s"/>
      <c r="N147" s="57" t="s"/>
      <c r="O147" s="57" t="s"/>
      <c r="P147" s="38" t="s"/>
      <c r="Q147" s="38" t="s"/>
      <c r="R147" s="38" t="s"/>
      <c r="S147" s="38" t="s"/>
      <c r="T147" s="78" t="s"/>
      <c r="U147" s="79" t="s"/>
      <c r="V147" s="38" t="s"/>
      <c r="W147" s="57" t="s"/>
      <c r="X147" s="57" t="s"/>
      <c r="Y147" s="59" t="s"/>
      <c r="Z147" s="59" t="s"/>
      <c r="AA147" s="59" t="s"/>
      <c r="AB147" s="59" t="s"/>
      <c r="AC147" s="59" t="s"/>
      <c r="AD147" s="59" t="s"/>
      <c r="AE147" s="60" t="s"/>
      <c r="AF147" s="59" t="s"/>
      <c r="AG147" s="59" t="s"/>
      <c r="AH147" s="59" t="s"/>
      <c r="AI147" s="59" t="s"/>
      <c r="AJ147" s="59" t="s"/>
    </row>
    <row r="148" spans="1:36" ht="13.5">
      <c r="A148" s="57" t="s"/>
      <c r="B148" s="57" t="s"/>
      <c r="C148" s="57" t="s"/>
      <c r="D148" s="38" t="s"/>
      <c r="E148" s="57" t="s"/>
      <c r="F148" s="57" t="s"/>
      <c r="G148" s="57" t="s"/>
      <c r="H148" s="57" t="s"/>
      <c r="I148" s="57" t="s"/>
      <c r="J148" s="57" t="s"/>
      <c r="K148" s="57" t="s"/>
      <c r="L148" s="57" t="s"/>
      <c r="M148" s="57" t="s"/>
      <c r="N148" s="57" t="s"/>
      <c r="O148" s="57" t="s"/>
      <c r="P148" s="38" t="s"/>
      <c r="Q148" s="38" t="s"/>
      <c r="R148" s="38" t="s"/>
      <c r="S148" s="38" t="s"/>
      <c r="T148" s="78" t="s"/>
      <c r="U148" s="79" t="s"/>
      <c r="V148" s="38" t="s"/>
      <c r="W148" s="57" t="s"/>
      <c r="X148" s="57" t="s"/>
      <c r="Y148" s="59" t="s"/>
      <c r="Z148" s="59" t="s"/>
      <c r="AA148" s="59" t="s"/>
      <c r="AB148" s="59" t="s"/>
      <c r="AC148" s="59" t="s"/>
      <c r="AD148" s="59" t="s"/>
      <c r="AE148" s="60" t="s"/>
      <c r="AF148" s="59" t="s"/>
      <c r="AG148" s="59" t="s"/>
      <c r="AH148" s="59" t="s"/>
      <c r="AI148" s="59" t="s"/>
      <c r="AJ148" s="59" t="s"/>
    </row>
    <row r="149" spans="1:36" ht="13.5">
      <c r="A149" s="57" t="s"/>
      <c r="B149" s="57" t="s"/>
      <c r="C149" s="57" t="s"/>
      <c r="D149" s="38" t="s"/>
      <c r="E149" s="57" t="s"/>
      <c r="F149" s="57" t="s"/>
      <c r="G149" s="57" t="s"/>
      <c r="H149" s="57" t="s"/>
      <c r="I149" s="57" t="s"/>
      <c r="J149" s="57" t="s"/>
      <c r="K149" s="57" t="s"/>
      <c r="L149" s="57" t="s"/>
      <c r="M149" s="57" t="s"/>
      <c r="N149" s="57" t="s"/>
      <c r="O149" s="57" t="s"/>
      <c r="P149" s="38" t="s"/>
      <c r="Q149" s="38" t="s"/>
      <c r="R149" s="38" t="s"/>
      <c r="S149" s="38" t="s"/>
      <c r="T149" s="78" t="s"/>
      <c r="U149" s="79" t="s"/>
      <c r="V149" s="38" t="s"/>
      <c r="W149" s="57" t="s"/>
      <c r="X149" s="57" t="s"/>
      <c r="Y149" s="59" t="s"/>
      <c r="Z149" s="59" t="s"/>
      <c r="AA149" s="59" t="s"/>
      <c r="AB149" s="59" t="s"/>
      <c r="AC149" s="59" t="s"/>
      <c r="AD149" s="59" t="s"/>
      <c r="AE149" s="60" t="s"/>
      <c r="AF149" s="59" t="s"/>
      <c r="AG149" s="59" t="s"/>
      <c r="AH149" s="59" t="s"/>
      <c r="AI149" s="59" t="s"/>
      <c r="AJ149" s="59" t="s"/>
    </row>
    <row r="150" spans="1:36" ht="13.5">
      <c r="A150" s="57" t="s"/>
      <c r="B150" s="57" t="s"/>
      <c r="C150" s="57" t="s"/>
      <c r="D150" s="38" t="s"/>
      <c r="E150" s="57" t="s"/>
      <c r="F150" s="57" t="s"/>
      <c r="G150" s="57" t="s"/>
      <c r="H150" s="57" t="s"/>
      <c r="I150" s="57" t="s"/>
      <c r="J150" s="57" t="s"/>
      <c r="K150" s="57" t="s"/>
      <c r="L150" s="57" t="s"/>
      <c r="M150" s="57" t="s"/>
      <c r="N150" s="57" t="s"/>
      <c r="O150" s="57" t="s"/>
      <c r="P150" s="38" t="s"/>
      <c r="Q150" s="38" t="s"/>
      <c r="R150" s="38" t="s"/>
      <c r="S150" s="38" t="s"/>
      <c r="T150" s="78" t="s"/>
      <c r="U150" s="79" t="s"/>
      <c r="V150" s="38" t="s"/>
      <c r="W150" s="57" t="s"/>
      <c r="X150" s="57" t="s"/>
      <c r="Y150" s="59" t="s"/>
      <c r="Z150" s="59" t="s"/>
      <c r="AA150" s="59" t="s"/>
      <c r="AB150" s="59" t="s"/>
      <c r="AC150" s="59" t="s"/>
      <c r="AD150" s="59" t="s"/>
      <c r="AE150" s="60" t="s"/>
      <c r="AF150" s="59" t="s"/>
      <c r="AG150" s="59" t="s"/>
      <c r="AH150" s="59" t="s"/>
      <c r="AI150" s="59" t="s"/>
      <c r="AJ150" s="59" t="s"/>
    </row>
    <row r="151" spans="1:36" ht="13.5">
      <c r="A151" s="57" t="s"/>
      <c r="B151" s="57" t="s"/>
      <c r="C151" s="57" t="s"/>
      <c r="D151" s="38" t="s"/>
      <c r="E151" s="57" t="s"/>
      <c r="F151" s="57" t="s"/>
      <c r="G151" s="57" t="s"/>
      <c r="H151" s="57" t="s"/>
      <c r="I151" s="57" t="s"/>
      <c r="J151" s="57" t="s"/>
      <c r="K151" s="57" t="s"/>
      <c r="L151" s="57" t="s"/>
      <c r="M151" s="57" t="s"/>
      <c r="N151" s="57" t="s"/>
      <c r="O151" s="57" t="s"/>
      <c r="P151" s="38" t="s"/>
      <c r="Q151" s="38" t="s"/>
      <c r="R151" s="38" t="s"/>
      <c r="S151" s="38" t="s"/>
      <c r="T151" s="78" t="s"/>
      <c r="U151" s="79" t="s"/>
      <c r="V151" s="38" t="s"/>
      <c r="W151" s="57" t="s"/>
      <c r="X151" s="57" t="s"/>
      <c r="Y151" s="59" t="s"/>
      <c r="Z151" s="59" t="s"/>
      <c r="AA151" s="59" t="s"/>
      <c r="AB151" s="59" t="s"/>
      <c r="AC151" s="59" t="s"/>
      <c r="AD151" s="59" t="s"/>
      <c r="AE151" s="60" t="s"/>
      <c r="AF151" s="59" t="s"/>
      <c r="AG151" s="59" t="s"/>
      <c r="AH151" s="59" t="s"/>
      <c r="AI151" s="59" t="s"/>
      <c r="AJ151" s="59" t="s"/>
    </row>
    <row r="152" spans="1:36" ht="13.5">
      <c r="A152" s="57" t="s"/>
      <c r="B152" s="57" t="s"/>
      <c r="C152" s="57" t="s"/>
      <c r="D152" s="38" t="s"/>
      <c r="E152" s="57" t="s"/>
      <c r="F152" s="57" t="s"/>
      <c r="G152" s="57" t="s"/>
      <c r="H152" s="57" t="s"/>
      <c r="I152" s="57" t="s"/>
      <c r="J152" s="57" t="s"/>
      <c r="K152" s="57" t="s"/>
      <c r="L152" s="57" t="s"/>
      <c r="M152" s="57" t="s"/>
      <c r="N152" s="57" t="s"/>
      <c r="O152" s="57" t="s"/>
      <c r="P152" s="38" t="s"/>
      <c r="Q152" s="38" t="s"/>
      <c r="R152" s="38" t="s"/>
      <c r="S152" s="38" t="s"/>
      <c r="T152" s="78" t="s"/>
      <c r="U152" s="79" t="s"/>
      <c r="V152" s="38" t="s"/>
      <c r="W152" s="57" t="s"/>
      <c r="X152" s="57" t="s"/>
      <c r="Y152" s="59" t="s"/>
      <c r="Z152" s="59" t="s"/>
      <c r="AA152" s="59" t="s"/>
      <c r="AB152" s="59" t="s"/>
      <c r="AC152" s="59" t="s"/>
      <c r="AD152" s="59" t="s"/>
      <c r="AE152" s="60" t="s"/>
      <c r="AF152" s="59" t="s"/>
      <c r="AG152" s="59" t="s"/>
      <c r="AH152" s="59" t="s"/>
      <c r="AI152" s="59" t="s"/>
      <c r="AJ152" s="59" t="s"/>
    </row>
    <row r="153" spans="1:36" ht="13.5">
      <c r="A153" s="57" t="s"/>
      <c r="B153" s="57" t="s"/>
      <c r="C153" s="57" t="s"/>
      <c r="D153" s="38" t="s"/>
      <c r="E153" s="57" t="s"/>
      <c r="F153" s="57" t="s"/>
      <c r="G153" s="57" t="s"/>
      <c r="H153" s="57" t="s"/>
      <c r="I153" s="57" t="s"/>
      <c r="J153" s="57" t="s"/>
      <c r="K153" s="57" t="s"/>
      <c r="L153" s="57" t="s"/>
      <c r="M153" s="57" t="s"/>
      <c r="N153" s="57" t="s"/>
      <c r="O153" s="57" t="s"/>
      <c r="P153" s="38" t="s"/>
      <c r="Q153" s="38" t="s"/>
      <c r="R153" s="38" t="s"/>
      <c r="S153" s="38" t="s"/>
      <c r="T153" s="78" t="s"/>
      <c r="U153" s="79" t="s"/>
      <c r="V153" s="38" t="s"/>
      <c r="W153" s="57" t="s"/>
      <c r="X153" s="57" t="s"/>
      <c r="Y153" s="59" t="s"/>
      <c r="Z153" s="59" t="s"/>
      <c r="AA153" s="59" t="s"/>
      <c r="AB153" s="59" t="s"/>
      <c r="AC153" s="59" t="s"/>
      <c r="AD153" s="59" t="s"/>
      <c r="AE153" s="60" t="s"/>
      <c r="AF153" s="59" t="s"/>
      <c r="AG153" s="59" t="s"/>
      <c r="AH153" s="59" t="s"/>
      <c r="AI153" s="59" t="s"/>
      <c r="AJ153" s="59" t="s"/>
    </row>
    <row r="154" spans="1:36" ht="13.5">
      <c r="A154" s="57" t="s"/>
      <c r="B154" s="57" t="s"/>
      <c r="C154" s="57" t="s"/>
      <c r="D154" s="38" t="s"/>
      <c r="E154" s="57" t="s"/>
      <c r="F154" s="57" t="s"/>
      <c r="G154" s="57" t="s"/>
      <c r="H154" s="57" t="s"/>
      <c r="I154" s="57" t="s"/>
      <c r="J154" s="57" t="s"/>
      <c r="K154" s="57" t="s"/>
      <c r="L154" s="57" t="s"/>
      <c r="M154" s="57" t="s"/>
      <c r="N154" s="57" t="s"/>
      <c r="O154" s="57" t="s"/>
      <c r="P154" s="38" t="s"/>
      <c r="Q154" s="38" t="s"/>
      <c r="R154" s="38" t="s"/>
      <c r="S154" s="38" t="s"/>
      <c r="T154" s="78" t="s"/>
      <c r="U154" s="79" t="s"/>
      <c r="V154" s="38" t="s"/>
      <c r="W154" s="57" t="s"/>
      <c r="X154" s="57" t="s"/>
      <c r="Y154" s="59" t="s"/>
      <c r="Z154" s="59" t="s"/>
      <c r="AA154" s="59" t="s"/>
      <c r="AB154" s="59" t="s"/>
      <c r="AC154" s="59" t="s"/>
      <c r="AD154" s="59" t="s"/>
      <c r="AE154" s="60" t="s"/>
      <c r="AF154" s="59" t="s"/>
      <c r="AG154" s="59" t="s"/>
      <c r="AH154" s="59" t="s"/>
      <c r="AI154" s="59" t="s"/>
      <c r="AJ154" s="59" t="s"/>
    </row>
    <row r="155" spans="1:36" ht="13.5">
      <c r="A155" s="57" t="s"/>
      <c r="B155" s="57" t="s"/>
      <c r="C155" s="57" t="s"/>
      <c r="D155" s="38" t="s"/>
      <c r="E155" s="57" t="s"/>
      <c r="F155" s="57" t="s"/>
      <c r="G155" s="57" t="s"/>
      <c r="H155" s="57" t="s"/>
      <c r="I155" s="57" t="s"/>
      <c r="J155" s="57" t="s"/>
      <c r="K155" s="57" t="s"/>
      <c r="L155" s="57" t="s"/>
      <c r="M155" s="57" t="s"/>
      <c r="N155" s="57" t="s"/>
      <c r="O155" s="57" t="s"/>
      <c r="P155" s="38" t="s"/>
      <c r="Q155" s="38" t="s"/>
      <c r="R155" s="38" t="s"/>
      <c r="S155" s="38" t="s"/>
      <c r="T155" s="78" t="s"/>
      <c r="U155" s="79" t="s"/>
      <c r="V155" s="38" t="s"/>
      <c r="W155" s="57" t="s"/>
      <c r="X155" s="57" t="s"/>
      <c r="Y155" s="59" t="s"/>
      <c r="Z155" s="59" t="s"/>
      <c r="AA155" s="59" t="s"/>
      <c r="AB155" s="59" t="s"/>
      <c r="AC155" s="59" t="s"/>
      <c r="AD155" s="59" t="s"/>
      <c r="AE155" s="60" t="s"/>
      <c r="AF155" s="59" t="s"/>
      <c r="AG155" s="59" t="s"/>
      <c r="AH155" s="59" t="s"/>
      <c r="AI155" s="59" t="s"/>
      <c r="AJ155" s="59" t="s"/>
    </row>
    <row r="156" spans="1:36" ht="13.5">
      <c r="A156" s="57" t="s"/>
      <c r="B156" s="57" t="s"/>
      <c r="C156" s="57" t="s"/>
      <c r="D156" s="38" t="s"/>
      <c r="E156" s="57" t="s"/>
      <c r="F156" s="57" t="s"/>
      <c r="G156" s="57" t="s"/>
      <c r="H156" s="57" t="s"/>
      <c r="I156" s="57" t="s"/>
      <c r="J156" s="57" t="s"/>
      <c r="K156" s="57" t="s"/>
      <c r="L156" s="57" t="s"/>
      <c r="M156" s="57" t="s"/>
      <c r="N156" s="57" t="s"/>
      <c r="O156" s="57" t="s"/>
      <c r="P156" s="38" t="s"/>
      <c r="Q156" s="38" t="s"/>
      <c r="R156" s="38" t="s"/>
      <c r="S156" s="38" t="s"/>
      <c r="T156" s="78" t="s"/>
      <c r="U156" s="79" t="s"/>
      <c r="V156" s="38" t="s"/>
      <c r="W156" s="57" t="s"/>
      <c r="X156" s="57" t="s"/>
      <c r="Y156" s="59" t="s"/>
      <c r="Z156" s="59" t="s"/>
      <c r="AA156" s="59" t="s"/>
      <c r="AB156" s="59" t="s"/>
      <c r="AC156" s="59" t="s"/>
      <c r="AD156" s="59" t="s"/>
      <c r="AE156" s="60" t="s"/>
      <c r="AF156" s="59" t="s"/>
      <c r="AG156" s="59" t="s"/>
      <c r="AH156" s="59" t="s"/>
      <c r="AI156" s="59" t="s"/>
      <c r="AJ156" s="59" t="s"/>
    </row>
    <row r="157" spans="1:36" ht="13.5">
      <c r="A157" s="57" t="s"/>
      <c r="B157" s="57" t="s"/>
      <c r="C157" s="57" t="s"/>
      <c r="D157" s="38" t="s"/>
      <c r="E157" s="57" t="s"/>
      <c r="F157" s="57" t="s"/>
      <c r="G157" s="57" t="s"/>
      <c r="H157" s="57" t="s"/>
      <c r="I157" s="57" t="s"/>
      <c r="J157" s="57" t="s"/>
      <c r="K157" s="57" t="s"/>
      <c r="L157" s="57" t="s"/>
      <c r="M157" s="57" t="s"/>
      <c r="N157" s="57" t="s"/>
      <c r="O157" s="57" t="s"/>
      <c r="P157" s="38" t="s"/>
      <c r="Q157" s="38" t="s"/>
      <c r="R157" s="38" t="s"/>
      <c r="S157" s="38" t="s"/>
      <c r="T157" s="78" t="s"/>
      <c r="U157" s="79" t="s"/>
      <c r="V157" s="38" t="s"/>
      <c r="W157" s="57" t="s"/>
      <c r="X157" s="57" t="s"/>
      <c r="Y157" s="59" t="s"/>
      <c r="Z157" s="59" t="s"/>
      <c r="AA157" s="59" t="s"/>
      <c r="AB157" s="59" t="s"/>
      <c r="AC157" s="59" t="s"/>
      <c r="AD157" s="59" t="s"/>
      <c r="AE157" s="60" t="s"/>
      <c r="AF157" s="59" t="s"/>
      <c r="AG157" s="59" t="s"/>
      <c r="AH157" s="59" t="s"/>
      <c r="AI157" s="59" t="s"/>
      <c r="AJ157" s="59" t="s"/>
    </row>
    <row r="158" spans="1:36" ht="13.5">
      <c r="A158" s="57" t="s"/>
      <c r="B158" s="57" t="s"/>
      <c r="C158" s="57" t="s"/>
      <c r="D158" s="38" t="s"/>
      <c r="E158" s="57" t="s"/>
      <c r="F158" s="57" t="s"/>
      <c r="G158" s="57" t="s"/>
      <c r="H158" s="57" t="s"/>
      <c r="I158" s="57" t="s"/>
      <c r="J158" s="57" t="s"/>
      <c r="K158" s="57" t="s"/>
      <c r="L158" s="57" t="s"/>
      <c r="M158" s="57" t="s"/>
      <c r="N158" s="57" t="s"/>
      <c r="O158" s="57" t="s"/>
      <c r="P158" s="38" t="s"/>
      <c r="Q158" s="38" t="s"/>
      <c r="R158" s="38" t="s"/>
      <c r="S158" s="38" t="s"/>
      <c r="T158" s="78" t="s"/>
      <c r="U158" s="79" t="s"/>
      <c r="V158" s="38" t="s"/>
      <c r="W158" s="57" t="s"/>
      <c r="X158" s="57" t="s"/>
      <c r="Y158" s="59" t="s"/>
      <c r="Z158" s="59" t="s"/>
      <c r="AA158" s="59" t="s"/>
      <c r="AB158" s="59" t="s"/>
      <c r="AC158" s="59" t="s"/>
      <c r="AD158" s="59" t="s"/>
      <c r="AE158" s="60" t="s"/>
      <c r="AF158" s="59" t="s"/>
      <c r="AG158" s="59" t="s"/>
      <c r="AH158" s="59" t="s"/>
      <c r="AI158" s="59" t="s"/>
      <c r="AJ158" s="59" t="s"/>
    </row>
    <row r="159" spans="1:36" ht="13.5">
      <c r="A159" s="57" t="s"/>
      <c r="B159" s="57" t="s"/>
      <c r="C159" s="57" t="s"/>
      <c r="D159" s="38" t="s"/>
      <c r="E159" s="57" t="s"/>
      <c r="F159" s="57" t="s"/>
      <c r="G159" s="57" t="s"/>
      <c r="H159" s="57" t="s"/>
      <c r="I159" s="57" t="s"/>
      <c r="J159" s="57" t="s"/>
      <c r="K159" s="57" t="s"/>
      <c r="L159" s="57" t="s"/>
      <c r="M159" s="57" t="s"/>
      <c r="N159" s="57" t="s"/>
      <c r="O159" s="57" t="s"/>
      <c r="P159" s="38" t="s"/>
      <c r="Q159" s="38" t="s"/>
      <c r="R159" s="38" t="s"/>
      <c r="S159" s="38" t="s"/>
      <c r="T159" s="78" t="s"/>
      <c r="U159" s="79" t="s"/>
      <c r="V159" s="38" t="s"/>
      <c r="W159" s="57" t="s"/>
      <c r="X159" s="57" t="s"/>
      <c r="Y159" s="59" t="s"/>
      <c r="Z159" s="59" t="s"/>
      <c r="AA159" s="59" t="s"/>
      <c r="AB159" s="59" t="s"/>
      <c r="AC159" s="59" t="s"/>
      <c r="AD159" s="59" t="s"/>
      <c r="AE159" s="60" t="s"/>
      <c r="AF159" s="59" t="s"/>
      <c r="AG159" s="59" t="s"/>
      <c r="AH159" s="59" t="s"/>
      <c r="AI159" s="59" t="s"/>
      <c r="AJ159" s="59" t="s"/>
    </row>
    <row r="160" spans="1:36" ht="13.5">
      <c r="A160" s="57" t="s"/>
      <c r="B160" s="57" t="s"/>
      <c r="C160" s="57" t="s"/>
      <c r="D160" s="38" t="s"/>
      <c r="E160" s="57" t="s"/>
      <c r="F160" s="57" t="s"/>
      <c r="G160" s="57" t="s"/>
      <c r="H160" s="57" t="s"/>
      <c r="I160" s="57" t="s"/>
      <c r="J160" s="57" t="s"/>
      <c r="K160" s="57" t="s"/>
      <c r="L160" s="57" t="s"/>
      <c r="M160" s="57" t="s"/>
      <c r="N160" s="57" t="s"/>
      <c r="O160" s="57" t="s"/>
      <c r="P160" s="38" t="s"/>
      <c r="Q160" s="38" t="s"/>
      <c r="R160" s="38" t="s"/>
      <c r="S160" s="38" t="s"/>
      <c r="T160" s="78" t="s"/>
      <c r="U160" s="79" t="s"/>
      <c r="V160" s="38" t="s"/>
      <c r="W160" s="57" t="s"/>
      <c r="X160" s="57" t="s"/>
      <c r="Y160" s="59" t="s"/>
      <c r="Z160" s="59" t="s"/>
      <c r="AA160" s="59" t="s"/>
      <c r="AB160" s="59" t="s"/>
      <c r="AC160" s="59" t="s"/>
      <c r="AD160" s="59" t="s"/>
      <c r="AE160" s="60" t="s"/>
      <c r="AF160" s="59" t="s"/>
      <c r="AG160" s="59" t="s"/>
      <c r="AH160" s="59" t="s"/>
      <c r="AI160" s="59" t="s"/>
      <c r="AJ160" s="59" t="s"/>
    </row>
    <row r="161" spans="1:36" ht="13.5">
      <c r="A161" s="57" t="s"/>
      <c r="B161" s="57" t="s"/>
      <c r="C161" s="57" t="s"/>
      <c r="D161" s="38" t="s"/>
      <c r="E161" s="57" t="s"/>
      <c r="F161" s="57" t="s"/>
      <c r="G161" s="57" t="s"/>
      <c r="H161" s="57" t="s"/>
      <c r="I161" s="57" t="s"/>
      <c r="J161" s="57" t="s"/>
      <c r="K161" s="57" t="s"/>
      <c r="L161" s="57" t="s"/>
      <c r="M161" s="57" t="s"/>
      <c r="N161" s="57" t="s"/>
      <c r="O161" s="57" t="s"/>
      <c r="P161" s="38" t="s"/>
      <c r="Q161" s="38" t="s"/>
      <c r="R161" s="38" t="s"/>
      <c r="S161" s="38" t="s"/>
      <c r="T161" s="78" t="s"/>
      <c r="U161" s="79" t="s"/>
      <c r="V161" s="38" t="s"/>
      <c r="W161" s="57" t="s"/>
      <c r="X161" s="57" t="s"/>
      <c r="Y161" s="59" t="s"/>
      <c r="Z161" s="59" t="s"/>
      <c r="AA161" s="59" t="s"/>
      <c r="AB161" s="59" t="s"/>
      <c r="AC161" s="59" t="s"/>
      <c r="AD161" s="59" t="s"/>
      <c r="AE161" s="60" t="s"/>
      <c r="AF161" s="59" t="s"/>
      <c r="AG161" s="59" t="s"/>
      <c r="AH161" s="59" t="s"/>
      <c r="AI161" s="59" t="s"/>
      <c r="AJ161" s="59" t="s"/>
    </row>
    <row r="162" spans="1:36" ht="13.5">
      <c r="A162" s="57" t="s"/>
      <c r="B162" s="57" t="s"/>
      <c r="C162" s="57" t="s"/>
      <c r="D162" s="38" t="s"/>
      <c r="E162" s="57" t="s"/>
      <c r="F162" s="57" t="s"/>
      <c r="G162" s="57" t="s"/>
      <c r="H162" s="57" t="s"/>
      <c r="I162" s="57" t="s"/>
      <c r="J162" s="57" t="s"/>
      <c r="K162" s="57" t="s"/>
      <c r="L162" s="57" t="s"/>
      <c r="M162" s="57" t="s"/>
      <c r="N162" s="57" t="s"/>
      <c r="O162" s="57" t="s"/>
      <c r="P162" s="38" t="s"/>
      <c r="Q162" s="38" t="s"/>
      <c r="R162" s="38" t="s"/>
      <c r="S162" s="38" t="s"/>
      <c r="T162" s="78" t="s"/>
      <c r="U162" s="79" t="s"/>
      <c r="V162" s="38" t="s"/>
      <c r="W162" s="57" t="s"/>
      <c r="X162" s="57" t="s"/>
      <c r="Y162" s="59" t="s"/>
      <c r="Z162" s="59" t="s"/>
      <c r="AA162" s="59" t="s"/>
      <c r="AB162" s="59" t="s"/>
      <c r="AC162" s="59" t="s"/>
      <c r="AD162" s="59" t="s"/>
      <c r="AE162" s="60" t="s"/>
      <c r="AF162" s="59" t="s"/>
      <c r="AG162" s="59" t="s"/>
      <c r="AH162" s="59" t="s"/>
      <c r="AI162" s="59" t="s"/>
      <c r="AJ162" s="59" t="s"/>
    </row>
    <row r="163" spans="1:36" ht="13.5">
      <c r="A163" s="57" t="s"/>
      <c r="B163" s="57" t="s"/>
      <c r="C163" s="57" t="s"/>
      <c r="D163" s="38" t="s"/>
      <c r="E163" s="57" t="s"/>
      <c r="F163" s="57" t="s"/>
      <c r="G163" s="57" t="s"/>
      <c r="H163" s="57" t="s"/>
      <c r="I163" s="57" t="s"/>
      <c r="J163" s="57" t="s"/>
      <c r="K163" s="57" t="s"/>
      <c r="L163" s="57" t="s"/>
      <c r="M163" s="57" t="s"/>
      <c r="N163" s="57" t="s"/>
      <c r="O163" s="57" t="s"/>
      <c r="P163" s="38" t="s"/>
      <c r="Q163" s="38" t="s"/>
      <c r="R163" s="38" t="s"/>
      <c r="S163" s="38" t="s"/>
      <c r="T163" s="78" t="s"/>
      <c r="U163" s="79" t="s"/>
      <c r="V163" s="38" t="s"/>
      <c r="W163" s="57" t="s"/>
      <c r="X163" s="57" t="s"/>
      <c r="Y163" s="59" t="s"/>
      <c r="Z163" s="59" t="s"/>
      <c r="AA163" s="59" t="s"/>
      <c r="AB163" s="59" t="s"/>
      <c r="AC163" s="59" t="s"/>
      <c r="AD163" s="59" t="s"/>
      <c r="AE163" s="60" t="s"/>
      <c r="AF163" s="59" t="s"/>
      <c r="AG163" s="59" t="s"/>
      <c r="AH163" s="59" t="s"/>
      <c r="AI163" s="59" t="s"/>
      <c r="AJ163" s="59" t="s"/>
    </row>
    <row r="164" spans="1:36" ht="13.5">
      <c r="A164" s="57" t="s"/>
      <c r="B164" s="57" t="s"/>
      <c r="C164" s="57" t="s"/>
      <c r="D164" s="38" t="s"/>
      <c r="E164" s="57" t="s"/>
      <c r="F164" s="57" t="s"/>
      <c r="G164" s="57" t="s"/>
      <c r="H164" s="57" t="s"/>
      <c r="I164" s="57" t="s"/>
      <c r="J164" s="57" t="s"/>
      <c r="K164" s="57" t="s"/>
      <c r="L164" s="57" t="s"/>
      <c r="M164" s="57" t="s"/>
      <c r="N164" s="57" t="s"/>
      <c r="O164" s="57" t="s"/>
      <c r="P164" s="38" t="s"/>
      <c r="Q164" s="38" t="s"/>
      <c r="R164" s="38" t="s"/>
      <c r="S164" s="38" t="s"/>
      <c r="T164" s="78" t="s"/>
      <c r="U164" s="79" t="s"/>
      <c r="V164" s="38" t="s"/>
      <c r="W164" s="57" t="s"/>
      <c r="X164" s="57" t="s"/>
      <c r="Y164" s="59" t="s"/>
      <c r="Z164" s="59" t="s"/>
      <c r="AA164" s="59" t="s"/>
      <c r="AB164" s="59" t="s"/>
      <c r="AC164" s="59" t="s"/>
      <c r="AD164" s="59" t="s"/>
      <c r="AE164" s="60" t="s"/>
      <c r="AF164" s="59" t="s"/>
      <c r="AG164" s="59" t="s"/>
      <c r="AH164" s="59" t="s"/>
      <c r="AI164" s="59" t="s"/>
      <c r="AJ164" s="59" t="s"/>
    </row>
    <row r="165" spans="1:36" ht="13.5">
      <c r="A165" s="57" t="s"/>
      <c r="B165" s="57" t="s"/>
      <c r="C165" s="57" t="s"/>
      <c r="D165" s="38" t="s"/>
      <c r="E165" s="57" t="s"/>
      <c r="F165" s="57" t="s"/>
      <c r="G165" s="57" t="s"/>
      <c r="H165" s="57" t="s"/>
      <c r="I165" s="57" t="s"/>
      <c r="J165" s="57" t="s"/>
      <c r="K165" s="57" t="s"/>
      <c r="L165" s="57" t="s"/>
      <c r="M165" s="57" t="s"/>
      <c r="N165" s="57" t="s"/>
      <c r="O165" s="57" t="s"/>
      <c r="P165" s="38" t="s"/>
      <c r="Q165" s="38" t="s"/>
      <c r="R165" s="38" t="s"/>
      <c r="S165" s="38" t="s"/>
      <c r="T165" s="78" t="s"/>
      <c r="U165" s="79" t="s"/>
      <c r="V165" s="38" t="s"/>
      <c r="W165" s="57" t="s"/>
      <c r="X165" s="57" t="s"/>
      <c r="Y165" s="59" t="s"/>
      <c r="Z165" s="59" t="s"/>
      <c r="AA165" s="59" t="s"/>
      <c r="AB165" s="59" t="s"/>
      <c r="AC165" s="59" t="s"/>
      <c r="AD165" s="59" t="s"/>
      <c r="AE165" s="60" t="s"/>
      <c r="AF165" s="59" t="s"/>
      <c r="AG165" s="59" t="s"/>
      <c r="AH165" s="59" t="s"/>
      <c r="AI165" s="59" t="s"/>
      <c r="AJ165" s="59" t="s"/>
    </row>
    <row r="166" spans="1:36" ht="13.5">
      <c r="A166" s="57" t="s"/>
      <c r="B166" s="57" t="s"/>
      <c r="C166" s="57" t="s"/>
      <c r="D166" s="38" t="s"/>
      <c r="E166" s="57" t="s"/>
      <c r="F166" s="57" t="s"/>
      <c r="G166" s="57" t="s"/>
      <c r="H166" s="57" t="s"/>
      <c r="I166" s="57" t="s"/>
      <c r="J166" s="57" t="s"/>
      <c r="K166" s="57" t="s"/>
      <c r="L166" s="57" t="s"/>
      <c r="M166" s="57" t="s"/>
      <c r="N166" s="57" t="s"/>
      <c r="O166" s="57" t="s"/>
      <c r="P166" s="38" t="s"/>
      <c r="Q166" s="38" t="s"/>
      <c r="R166" s="38" t="s"/>
      <c r="S166" s="38" t="s"/>
      <c r="T166" s="78" t="s"/>
      <c r="U166" s="79" t="s"/>
      <c r="V166" s="38" t="s"/>
      <c r="W166" s="57" t="s"/>
      <c r="X166" s="57" t="s"/>
      <c r="Y166" s="59" t="s"/>
      <c r="Z166" s="59" t="s"/>
      <c r="AA166" s="59" t="s"/>
      <c r="AB166" s="59" t="s"/>
      <c r="AC166" s="59" t="s"/>
      <c r="AD166" s="59" t="s"/>
      <c r="AE166" s="60" t="s"/>
      <c r="AF166" s="59" t="s"/>
      <c r="AG166" s="59" t="s"/>
      <c r="AH166" s="59" t="s"/>
      <c r="AI166" s="59" t="s"/>
      <c r="AJ166" s="59" t="s"/>
    </row>
    <row r="167" spans="1:36" ht="13.5">
      <c r="A167" s="57" t="s"/>
      <c r="B167" s="57" t="s"/>
      <c r="C167" s="57" t="s"/>
      <c r="D167" s="38" t="s"/>
      <c r="E167" s="57" t="s"/>
      <c r="F167" s="57" t="s"/>
      <c r="G167" s="57" t="s"/>
      <c r="H167" s="57" t="s"/>
      <c r="I167" s="57" t="s"/>
      <c r="J167" s="57" t="s"/>
      <c r="K167" s="57" t="s"/>
      <c r="L167" s="57" t="s"/>
      <c r="M167" s="57" t="s"/>
      <c r="N167" s="57" t="s"/>
      <c r="O167" s="57" t="s"/>
      <c r="P167" s="38" t="s"/>
      <c r="Q167" s="38" t="s"/>
      <c r="R167" s="38" t="s"/>
      <c r="S167" s="38" t="s"/>
      <c r="T167" s="78" t="s"/>
      <c r="U167" s="79" t="s"/>
      <c r="V167" s="38" t="s"/>
      <c r="W167" s="57" t="s"/>
      <c r="X167" s="57" t="s"/>
      <c r="Y167" s="59" t="s"/>
      <c r="Z167" s="59" t="s"/>
      <c r="AA167" s="59" t="s"/>
      <c r="AB167" s="59" t="s"/>
      <c r="AC167" s="59" t="s"/>
      <c r="AD167" s="59" t="s"/>
      <c r="AE167" s="60" t="s"/>
      <c r="AF167" s="59" t="s"/>
      <c r="AG167" s="59" t="s"/>
      <c r="AH167" s="59" t="s"/>
      <c r="AI167" s="59" t="s"/>
      <c r="AJ167" s="59" t="s"/>
    </row>
    <row r="168" spans="1:36" ht="13.5">
      <c r="A168" s="57" t="s"/>
      <c r="B168" s="57" t="s"/>
      <c r="C168" s="57" t="s"/>
      <c r="D168" s="38" t="s"/>
      <c r="E168" s="57" t="s"/>
      <c r="F168" s="57" t="s"/>
      <c r="G168" s="57" t="s"/>
      <c r="H168" s="57" t="s"/>
      <c r="I168" s="57" t="s"/>
      <c r="J168" s="57" t="s"/>
      <c r="K168" s="57" t="s"/>
      <c r="L168" s="57" t="s"/>
      <c r="M168" s="57" t="s"/>
      <c r="N168" s="57" t="s"/>
      <c r="O168" s="57" t="s"/>
      <c r="P168" s="38" t="s"/>
      <c r="Q168" s="38" t="s"/>
      <c r="R168" s="38" t="s"/>
      <c r="S168" s="38" t="s"/>
      <c r="T168" s="78" t="s"/>
      <c r="U168" s="79" t="s"/>
      <c r="V168" s="38" t="s"/>
      <c r="W168" s="57" t="s"/>
      <c r="X168" s="57" t="s"/>
      <c r="Y168" s="59" t="s"/>
      <c r="Z168" s="59" t="s"/>
      <c r="AA168" s="59" t="s"/>
      <c r="AB168" s="59" t="s"/>
      <c r="AC168" s="59" t="s"/>
      <c r="AD168" s="59" t="s"/>
      <c r="AE168" s="60" t="s"/>
      <c r="AF168" s="59" t="s"/>
      <c r="AG168" s="59" t="s"/>
      <c r="AH168" s="59" t="s"/>
      <c r="AI168" s="59" t="s"/>
      <c r="AJ168" s="59" t="s"/>
    </row>
    <row r="169" spans="1:36" ht="13.5">
      <c r="A169" s="57" t="s"/>
      <c r="B169" s="57" t="s"/>
      <c r="C169" s="57" t="s"/>
      <c r="D169" s="38" t="s"/>
      <c r="E169" s="57" t="s"/>
      <c r="F169" s="57" t="s"/>
      <c r="G169" s="57" t="s"/>
      <c r="H169" s="57" t="s"/>
      <c r="I169" s="57" t="s"/>
      <c r="J169" s="57" t="s"/>
      <c r="K169" s="57" t="s"/>
      <c r="L169" s="57" t="s"/>
      <c r="M169" s="57" t="s"/>
      <c r="N169" s="57" t="s"/>
      <c r="O169" s="57" t="s"/>
      <c r="P169" s="38" t="s"/>
      <c r="Q169" s="38" t="s"/>
      <c r="R169" s="38" t="s"/>
      <c r="S169" s="38" t="s"/>
      <c r="T169" s="78" t="s"/>
      <c r="U169" s="79" t="s"/>
      <c r="V169" s="38" t="s"/>
      <c r="W169" s="57" t="s"/>
      <c r="X169" s="57" t="s"/>
      <c r="Y169" s="59" t="s"/>
      <c r="Z169" s="59" t="s"/>
      <c r="AA169" s="59" t="s"/>
      <c r="AB169" s="59" t="s"/>
      <c r="AC169" s="59" t="s"/>
      <c r="AD169" s="59" t="s"/>
      <c r="AE169" s="60" t="s"/>
      <c r="AF169" s="59" t="s"/>
      <c r="AG169" s="59" t="s"/>
      <c r="AH169" s="59" t="s"/>
      <c r="AI169" s="59" t="s"/>
      <c r="AJ169" s="59" t="s"/>
    </row>
    <row r="170" spans="1:36" ht="13.5">
      <c r="A170" s="57" t="s"/>
      <c r="B170" s="57" t="s"/>
      <c r="C170" s="57" t="s"/>
      <c r="D170" s="38" t="s"/>
      <c r="E170" s="57" t="s"/>
      <c r="F170" s="57" t="s"/>
      <c r="G170" s="57" t="s"/>
      <c r="H170" s="57" t="s"/>
      <c r="I170" s="57" t="s"/>
      <c r="J170" s="57" t="s"/>
      <c r="K170" s="57" t="s"/>
      <c r="L170" s="57" t="s"/>
      <c r="M170" s="57" t="s"/>
      <c r="N170" s="57" t="s"/>
      <c r="O170" s="57" t="s"/>
      <c r="P170" s="38" t="s"/>
      <c r="Q170" s="38" t="s"/>
      <c r="R170" s="38" t="s"/>
      <c r="S170" s="38" t="s"/>
      <c r="T170" s="78" t="s"/>
      <c r="U170" s="79" t="s"/>
      <c r="V170" s="38" t="s"/>
      <c r="W170" s="57" t="s"/>
      <c r="X170" s="57" t="s"/>
      <c r="Y170" s="59" t="s"/>
      <c r="Z170" s="59" t="s"/>
      <c r="AA170" s="59" t="s"/>
      <c r="AB170" s="59" t="s"/>
      <c r="AC170" s="59" t="s"/>
      <c r="AD170" s="59" t="s"/>
      <c r="AE170" s="60" t="s"/>
      <c r="AF170" s="59" t="s"/>
      <c r="AG170" s="59" t="s"/>
      <c r="AH170" s="59" t="s"/>
      <c r="AI170" s="59" t="s"/>
      <c r="AJ170" s="59" t="s"/>
    </row>
    <row r="171" spans="1:36" ht="13.5">
      <c r="A171" s="57" t="s"/>
      <c r="B171" s="57" t="s"/>
      <c r="C171" s="57" t="s"/>
      <c r="D171" s="38" t="s"/>
      <c r="E171" s="57" t="s"/>
      <c r="F171" s="57" t="s"/>
      <c r="G171" s="57" t="s"/>
      <c r="H171" s="57" t="s"/>
      <c r="I171" s="57" t="s"/>
      <c r="J171" s="57" t="s"/>
      <c r="K171" s="57" t="s"/>
      <c r="L171" s="57" t="s"/>
      <c r="M171" s="57" t="s"/>
      <c r="N171" s="57" t="s"/>
      <c r="O171" s="57" t="s"/>
      <c r="P171" s="38" t="s"/>
      <c r="Q171" s="38" t="s"/>
      <c r="R171" s="38" t="s"/>
      <c r="S171" s="38" t="s"/>
      <c r="T171" s="78" t="s"/>
      <c r="U171" s="79" t="s"/>
      <c r="V171" s="38" t="s"/>
      <c r="W171" s="57" t="s"/>
      <c r="X171" s="57" t="s"/>
      <c r="Y171" s="59" t="s"/>
      <c r="Z171" s="59" t="s"/>
      <c r="AA171" s="59" t="s"/>
      <c r="AB171" s="59" t="s"/>
      <c r="AC171" s="59" t="s"/>
      <c r="AD171" s="59" t="s"/>
      <c r="AE171" s="60" t="s"/>
      <c r="AF171" s="59" t="s"/>
      <c r="AG171" s="59" t="s"/>
      <c r="AH171" s="59" t="s"/>
      <c r="AI171" s="59" t="s"/>
      <c r="AJ171" s="59" t="s"/>
    </row>
    <row r="172" spans="1:36" ht="13.5">
      <c r="A172" s="57" t="s"/>
      <c r="B172" s="57" t="s"/>
      <c r="C172" s="57" t="s"/>
      <c r="D172" s="38" t="s"/>
      <c r="E172" s="57" t="s"/>
      <c r="F172" s="57" t="s"/>
      <c r="G172" s="57" t="s"/>
      <c r="H172" s="57" t="s"/>
      <c r="I172" s="57" t="s"/>
      <c r="J172" s="57" t="s"/>
      <c r="K172" s="57" t="s"/>
      <c r="L172" s="57" t="s"/>
      <c r="M172" s="57" t="s"/>
      <c r="N172" s="57" t="s"/>
      <c r="O172" s="57" t="s"/>
      <c r="P172" s="38" t="s"/>
      <c r="Q172" s="38" t="s"/>
      <c r="R172" s="38" t="s"/>
      <c r="S172" s="38" t="s"/>
      <c r="T172" s="78" t="s"/>
      <c r="U172" s="79" t="s"/>
      <c r="V172" s="38" t="s"/>
      <c r="W172" s="57" t="s"/>
      <c r="X172" s="57" t="s"/>
      <c r="Y172" s="59" t="s"/>
      <c r="Z172" s="59" t="s"/>
      <c r="AA172" s="59" t="s"/>
      <c r="AB172" s="59" t="s"/>
      <c r="AC172" s="59" t="s"/>
      <c r="AD172" s="59" t="s"/>
      <c r="AE172" s="60" t="s"/>
      <c r="AF172" s="59" t="s"/>
      <c r="AG172" s="59" t="s"/>
      <c r="AH172" s="59" t="s"/>
      <c r="AI172" s="59" t="s"/>
      <c r="AJ172" s="59" t="s"/>
    </row>
    <row r="173" spans="1:36" ht="13.5">
      <c r="A173" s="57" t="s"/>
      <c r="B173" s="57" t="s"/>
      <c r="C173" s="57" t="s"/>
      <c r="D173" s="38" t="s"/>
      <c r="E173" s="57" t="s"/>
      <c r="F173" s="57" t="s"/>
      <c r="G173" s="57" t="s"/>
      <c r="H173" s="57" t="s"/>
      <c r="I173" s="57" t="s"/>
      <c r="J173" s="57" t="s"/>
      <c r="K173" s="57" t="s"/>
      <c r="L173" s="57" t="s"/>
      <c r="M173" s="57" t="s"/>
      <c r="N173" s="57" t="s"/>
      <c r="O173" s="57" t="s"/>
      <c r="P173" s="38" t="s"/>
      <c r="Q173" s="38" t="s"/>
      <c r="R173" s="38" t="s"/>
      <c r="S173" s="38" t="s"/>
      <c r="T173" s="78" t="s"/>
      <c r="U173" s="79" t="s"/>
      <c r="V173" s="38" t="s"/>
      <c r="W173" s="57" t="s"/>
      <c r="X173" s="57" t="s"/>
      <c r="Y173" s="59" t="s"/>
      <c r="Z173" s="59" t="s"/>
      <c r="AA173" s="59" t="s"/>
      <c r="AB173" s="59" t="s"/>
      <c r="AC173" s="59" t="s"/>
      <c r="AD173" s="59" t="s"/>
      <c r="AE173" s="60" t="s"/>
      <c r="AF173" s="59" t="s"/>
      <c r="AG173" s="59" t="s"/>
      <c r="AH173" s="59" t="s"/>
      <c r="AI173" s="59" t="s"/>
      <c r="AJ173" s="59" t="s"/>
    </row>
    <row r="174" spans="1:36" ht="13.5">
      <c r="A174" s="57" t="s"/>
      <c r="B174" s="57" t="s"/>
      <c r="C174" s="57" t="s"/>
      <c r="D174" s="38" t="s"/>
      <c r="E174" s="57" t="s"/>
      <c r="F174" s="57" t="s"/>
      <c r="G174" s="57" t="s"/>
      <c r="H174" s="57" t="s"/>
      <c r="I174" s="57" t="s"/>
      <c r="J174" s="57" t="s"/>
      <c r="K174" s="57" t="s"/>
      <c r="L174" s="57" t="s"/>
      <c r="M174" s="57" t="s"/>
      <c r="N174" s="57" t="s"/>
      <c r="O174" s="57" t="s"/>
      <c r="P174" s="38" t="s"/>
      <c r="Q174" s="38" t="s"/>
      <c r="R174" s="38" t="s"/>
      <c r="S174" s="38" t="s"/>
      <c r="T174" s="78" t="s"/>
      <c r="U174" s="79" t="s"/>
      <c r="V174" s="38" t="s"/>
      <c r="W174" s="57" t="s"/>
      <c r="X174" s="57" t="s"/>
      <c r="Y174" s="59" t="s"/>
      <c r="Z174" s="59" t="s"/>
      <c r="AA174" s="59" t="s"/>
      <c r="AB174" s="59" t="s"/>
      <c r="AC174" s="59" t="s"/>
      <c r="AD174" s="59" t="s"/>
      <c r="AE174" s="60" t="s"/>
      <c r="AF174" s="59" t="s"/>
      <c r="AG174" s="59" t="s"/>
      <c r="AH174" s="59" t="s"/>
      <c r="AI174" s="59" t="s"/>
      <c r="AJ174" s="59" t="s"/>
    </row>
    <row r="175" spans="1:36" ht="13.5">
      <c r="A175" s="57" t="s"/>
      <c r="B175" s="57" t="s"/>
      <c r="C175" s="57" t="s"/>
      <c r="D175" s="38" t="s"/>
      <c r="E175" s="57" t="s"/>
      <c r="F175" s="57" t="s"/>
      <c r="G175" s="57" t="s"/>
      <c r="H175" s="57" t="s"/>
      <c r="I175" s="57" t="s"/>
      <c r="J175" s="57" t="s"/>
      <c r="K175" s="57" t="s"/>
      <c r="L175" s="57" t="s"/>
      <c r="M175" s="57" t="s"/>
      <c r="N175" s="57" t="s"/>
      <c r="O175" s="57" t="s"/>
      <c r="P175" s="38" t="s"/>
      <c r="Q175" s="38" t="s"/>
      <c r="R175" s="38" t="s"/>
      <c r="S175" s="38" t="s"/>
      <c r="T175" s="78" t="s"/>
      <c r="U175" s="79" t="s"/>
      <c r="V175" s="38" t="s"/>
      <c r="W175" s="57" t="s"/>
      <c r="X175" s="57" t="s"/>
      <c r="Y175" s="59" t="s"/>
      <c r="Z175" s="59" t="s"/>
      <c r="AA175" s="59" t="s"/>
      <c r="AB175" s="59" t="s"/>
      <c r="AC175" s="59" t="s"/>
      <c r="AD175" s="59" t="s"/>
      <c r="AE175" s="60" t="s"/>
      <c r="AF175" s="59" t="s"/>
      <c r="AG175" s="59" t="s"/>
      <c r="AH175" s="59" t="s"/>
      <c r="AI175" s="59" t="s"/>
      <c r="AJ175" s="59" t="s"/>
    </row>
    <row r="176" spans="1:36" ht="13.5">
      <c r="A176" s="57" t="s"/>
      <c r="B176" s="57" t="s"/>
      <c r="C176" s="57" t="s"/>
      <c r="D176" s="38" t="s"/>
      <c r="E176" s="57" t="s"/>
      <c r="F176" s="57" t="s"/>
      <c r="G176" s="57" t="s"/>
      <c r="H176" s="57" t="s"/>
      <c r="I176" s="57" t="s"/>
      <c r="J176" s="57" t="s"/>
      <c r="K176" s="57" t="s"/>
      <c r="L176" s="57" t="s"/>
      <c r="M176" s="57" t="s"/>
      <c r="N176" s="57" t="s"/>
      <c r="O176" s="57" t="s"/>
      <c r="P176" s="38" t="s"/>
      <c r="Q176" s="38" t="s"/>
      <c r="R176" s="38" t="s"/>
      <c r="S176" s="38" t="s"/>
      <c r="T176" s="78" t="s"/>
      <c r="U176" s="79" t="s"/>
      <c r="V176" s="38" t="s"/>
      <c r="W176" s="57" t="s"/>
      <c r="X176" s="57" t="s"/>
      <c r="Y176" s="59" t="s"/>
      <c r="Z176" s="59" t="s"/>
      <c r="AA176" s="59" t="s"/>
      <c r="AB176" s="59" t="s"/>
      <c r="AC176" s="59" t="s"/>
      <c r="AD176" s="59" t="s"/>
      <c r="AE176" s="60" t="s"/>
      <c r="AF176" s="59" t="s"/>
      <c r="AG176" s="59" t="s"/>
      <c r="AH176" s="59" t="s"/>
      <c r="AI176" s="59" t="s"/>
      <c r="AJ176" s="59" t="s"/>
    </row>
    <row r="177" spans="1:36" ht="13.5">
      <c r="A177" s="57" t="s"/>
      <c r="B177" s="57" t="s"/>
      <c r="C177" s="57" t="s"/>
      <c r="D177" s="38" t="s"/>
      <c r="E177" s="57" t="s"/>
      <c r="F177" s="57" t="s"/>
      <c r="G177" s="57" t="s"/>
      <c r="H177" s="57" t="s"/>
      <c r="I177" s="57" t="s"/>
      <c r="J177" s="57" t="s"/>
      <c r="K177" s="57" t="s"/>
      <c r="L177" s="57" t="s"/>
      <c r="M177" s="57" t="s"/>
      <c r="N177" s="57" t="s"/>
      <c r="O177" s="57" t="s"/>
      <c r="P177" s="38" t="s"/>
      <c r="Q177" s="38" t="s"/>
      <c r="R177" s="38" t="s"/>
      <c r="S177" s="38" t="s"/>
      <c r="T177" s="78" t="s"/>
      <c r="U177" s="79" t="s"/>
      <c r="V177" s="38" t="s"/>
      <c r="W177" s="57" t="s"/>
      <c r="X177" s="57" t="s"/>
      <c r="Y177" s="59" t="s"/>
      <c r="Z177" s="59" t="s"/>
      <c r="AA177" s="59" t="s"/>
      <c r="AB177" s="59" t="s"/>
      <c r="AC177" s="59" t="s"/>
      <c r="AD177" s="59" t="s"/>
      <c r="AE177" s="60" t="s"/>
      <c r="AF177" s="59" t="s"/>
      <c r="AG177" s="59" t="s"/>
      <c r="AH177" s="59" t="s"/>
      <c r="AI177" s="59" t="s"/>
      <c r="AJ177" s="59" t="s"/>
    </row>
    <row r="178" spans="1:36" ht="13.5">
      <c r="A178" s="57" t="s"/>
      <c r="B178" s="57" t="s"/>
      <c r="C178" s="57" t="s"/>
      <c r="D178" s="38" t="s"/>
      <c r="E178" s="57" t="s"/>
      <c r="F178" s="57" t="s"/>
      <c r="G178" s="57" t="s"/>
      <c r="H178" s="57" t="s"/>
      <c r="I178" s="57" t="s"/>
      <c r="J178" s="57" t="s"/>
      <c r="K178" s="57" t="s"/>
      <c r="L178" s="57" t="s"/>
      <c r="M178" s="57" t="s"/>
      <c r="N178" s="57" t="s"/>
      <c r="O178" s="57" t="s"/>
      <c r="P178" s="38" t="s"/>
      <c r="Q178" s="38" t="s"/>
      <c r="R178" s="38" t="s"/>
      <c r="S178" s="38" t="s"/>
      <c r="T178" s="78" t="s"/>
      <c r="U178" s="79" t="s"/>
      <c r="V178" s="38" t="s"/>
      <c r="W178" s="57" t="s"/>
      <c r="X178" s="57" t="s"/>
      <c r="Y178" s="59" t="s"/>
      <c r="Z178" s="59" t="s"/>
      <c r="AA178" s="59" t="s"/>
      <c r="AB178" s="59" t="s"/>
      <c r="AC178" s="59" t="s"/>
      <c r="AD178" s="59" t="s"/>
      <c r="AE178" s="60" t="s"/>
      <c r="AF178" s="59" t="s"/>
      <c r="AG178" s="59" t="s"/>
      <c r="AH178" s="59" t="s"/>
      <c r="AI178" s="59" t="s"/>
      <c r="AJ178" s="59" t="s"/>
    </row>
    <row r="179" spans="1:36" ht="13.5">
      <c r="A179" s="57" t="s"/>
      <c r="B179" s="57" t="s"/>
      <c r="C179" s="57" t="s"/>
      <c r="D179" s="38" t="s"/>
      <c r="E179" s="57" t="s"/>
      <c r="F179" s="57" t="s"/>
      <c r="G179" s="57" t="s"/>
      <c r="H179" s="57" t="s"/>
      <c r="I179" s="57" t="s"/>
      <c r="J179" s="57" t="s"/>
      <c r="K179" s="57" t="s"/>
      <c r="L179" s="57" t="s"/>
      <c r="M179" s="57" t="s"/>
      <c r="N179" s="57" t="s"/>
      <c r="O179" s="57" t="s"/>
      <c r="P179" s="38" t="s"/>
      <c r="Q179" s="38" t="s"/>
      <c r="R179" s="38" t="s"/>
      <c r="S179" s="38" t="s"/>
      <c r="T179" s="78" t="s"/>
      <c r="U179" s="79" t="s"/>
      <c r="V179" s="38" t="s"/>
      <c r="W179" s="57" t="s"/>
      <c r="X179" s="57" t="s"/>
      <c r="Y179" s="59" t="s"/>
      <c r="Z179" s="59" t="s"/>
      <c r="AA179" s="59" t="s"/>
      <c r="AB179" s="59" t="s"/>
      <c r="AC179" s="59" t="s"/>
      <c r="AD179" s="59" t="s"/>
      <c r="AE179" s="60" t="s"/>
      <c r="AF179" s="59" t="s"/>
      <c r="AG179" s="59" t="s"/>
      <c r="AH179" s="59" t="s"/>
      <c r="AI179" s="59" t="s"/>
      <c r="AJ179" s="59" t="s"/>
    </row>
    <row r="180" spans="1:36" ht="13.5">
      <c r="A180" s="57" t="s"/>
      <c r="B180" s="57" t="s"/>
      <c r="C180" s="57" t="s"/>
      <c r="D180" s="38" t="s"/>
      <c r="E180" s="57" t="s"/>
      <c r="F180" s="57" t="s"/>
      <c r="G180" s="57" t="s"/>
      <c r="H180" s="57" t="s"/>
      <c r="I180" s="57" t="s"/>
      <c r="J180" s="57" t="s"/>
      <c r="K180" s="57" t="s"/>
      <c r="L180" s="57" t="s"/>
      <c r="M180" s="57" t="s"/>
      <c r="N180" s="57" t="s"/>
      <c r="O180" s="57" t="s"/>
      <c r="P180" s="38" t="s"/>
      <c r="Q180" s="38" t="s"/>
      <c r="R180" s="38" t="s"/>
      <c r="S180" s="38" t="s"/>
      <c r="T180" s="78" t="s"/>
      <c r="U180" s="79" t="s"/>
      <c r="V180" s="38" t="s"/>
      <c r="W180" s="57" t="s"/>
      <c r="X180" s="57" t="s"/>
      <c r="Y180" s="59" t="s"/>
      <c r="Z180" s="59" t="s"/>
      <c r="AA180" s="59" t="s"/>
      <c r="AB180" s="59" t="s"/>
      <c r="AC180" s="59" t="s"/>
      <c r="AD180" s="59" t="s"/>
      <c r="AE180" s="60" t="s"/>
      <c r="AF180" s="59" t="s"/>
      <c r="AG180" s="59" t="s"/>
      <c r="AH180" s="59" t="s"/>
      <c r="AI180" s="59" t="s"/>
      <c r="AJ180" s="59" t="s"/>
    </row>
    <row r="181" spans="1:36" ht="13.5">
      <c r="A181" s="57" t="s"/>
      <c r="B181" s="57" t="s"/>
      <c r="C181" s="57" t="s"/>
      <c r="D181" s="38" t="s"/>
      <c r="E181" s="57" t="s"/>
      <c r="F181" s="57" t="s"/>
      <c r="G181" s="57" t="s"/>
      <c r="H181" s="57" t="s"/>
      <c r="I181" s="57" t="s"/>
      <c r="J181" s="57" t="s"/>
      <c r="K181" s="57" t="s"/>
      <c r="L181" s="57" t="s"/>
      <c r="M181" s="57" t="s"/>
      <c r="N181" s="57" t="s"/>
      <c r="O181" s="57" t="s"/>
      <c r="P181" s="38" t="s"/>
      <c r="Q181" s="38" t="s"/>
      <c r="R181" s="38" t="s"/>
      <c r="S181" s="38" t="s"/>
      <c r="T181" s="78" t="s"/>
      <c r="U181" s="79" t="s"/>
      <c r="V181" s="38" t="s"/>
      <c r="W181" s="57" t="s"/>
      <c r="X181" s="57" t="s"/>
      <c r="Y181" s="59" t="s"/>
      <c r="Z181" s="59" t="s"/>
      <c r="AA181" s="59" t="s"/>
      <c r="AB181" s="59" t="s"/>
      <c r="AC181" s="59" t="s"/>
      <c r="AD181" s="59" t="s"/>
      <c r="AE181" s="60" t="s"/>
      <c r="AF181" s="59" t="s"/>
      <c r="AG181" s="59" t="s"/>
      <c r="AH181" s="59" t="s"/>
      <c r="AI181" s="59" t="s"/>
      <c r="AJ181" s="59" t="s"/>
    </row>
    <row r="182" spans="1:36" ht="13.5">
      <c r="A182" s="57" t="s"/>
      <c r="B182" s="57" t="s"/>
      <c r="C182" s="57" t="s"/>
      <c r="D182" s="38" t="s"/>
      <c r="E182" s="57" t="s"/>
      <c r="F182" s="57" t="s"/>
      <c r="G182" s="57" t="s"/>
      <c r="H182" s="57" t="s"/>
      <c r="I182" s="57" t="s"/>
      <c r="J182" s="57" t="s"/>
      <c r="K182" s="57" t="s"/>
      <c r="L182" s="57" t="s"/>
      <c r="M182" s="57" t="s"/>
      <c r="N182" s="57" t="s"/>
      <c r="O182" s="57" t="s"/>
      <c r="P182" s="38" t="s"/>
      <c r="Q182" s="38" t="s"/>
      <c r="R182" s="38" t="s"/>
      <c r="S182" s="38" t="s"/>
      <c r="T182" s="78" t="s"/>
      <c r="U182" s="79" t="s"/>
      <c r="V182" s="38" t="s"/>
      <c r="W182" s="57" t="s"/>
      <c r="X182" s="57" t="s"/>
      <c r="Y182" s="59" t="s"/>
      <c r="Z182" s="59" t="s"/>
      <c r="AA182" s="59" t="s"/>
      <c r="AB182" s="59" t="s"/>
      <c r="AC182" s="59" t="s"/>
      <c r="AD182" s="59" t="s"/>
      <c r="AE182" s="60" t="s"/>
      <c r="AF182" s="59" t="s"/>
      <c r="AG182" s="59" t="s"/>
      <c r="AH182" s="59" t="s"/>
      <c r="AI182" s="59" t="s"/>
      <c r="AJ182" s="59" t="s"/>
    </row>
    <row r="183" spans="1:36" ht="13.5">
      <c r="A183" s="57" t="s"/>
      <c r="B183" s="57" t="s"/>
      <c r="C183" s="57" t="s"/>
      <c r="D183" s="38" t="s"/>
      <c r="E183" s="57" t="s"/>
      <c r="F183" s="57" t="s"/>
      <c r="G183" s="57" t="s"/>
      <c r="H183" s="57" t="s"/>
      <c r="I183" s="57" t="s"/>
      <c r="J183" s="57" t="s"/>
      <c r="K183" s="57" t="s"/>
      <c r="L183" s="57" t="s"/>
      <c r="M183" s="57" t="s"/>
      <c r="N183" s="57" t="s"/>
      <c r="O183" s="57" t="s"/>
      <c r="P183" s="38" t="s"/>
      <c r="Q183" s="38" t="s"/>
      <c r="R183" s="38" t="s"/>
      <c r="S183" s="38" t="s"/>
      <c r="T183" s="78" t="s"/>
      <c r="U183" s="79" t="s"/>
      <c r="V183" s="38" t="s"/>
      <c r="W183" s="57" t="s"/>
      <c r="X183" s="57" t="s"/>
      <c r="Y183" s="59" t="s"/>
      <c r="Z183" s="59" t="s"/>
      <c r="AA183" s="59" t="s"/>
      <c r="AB183" s="59" t="s"/>
      <c r="AC183" s="59" t="s"/>
      <c r="AD183" s="59" t="s"/>
      <c r="AE183" s="60" t="s"/>
      <c r="AF183" s="59" t="s"/>
      <c r="AG183" s="59" t="s"/>
      <c r="AH183" s="59" t="s"/>
      <c r="AI183" s="59" t="s"/>
      <c r="AJ183" s="59" t="s"/>
    </row>
    <row r="184" spans="1:36" ht="13.5">
      <c r="A184" s="57" t="s"/>
      <c r="B184" s="57" t="s"/>
      <c r="C184" s="57" t="s"/>
      <c r="D184" s="38" t="s"/>
      <c r="E184" s="57" t="s"/>
      <c r="F184" s="57" t="s"/>
      <c r="G184" s="57" t="s"/>
      <c r="H184" s="57" t="s"/>
      <c r="I184" s="57" t="s"/>
      <c r="J184" s="57" t="s"/>
      <c r="K184" s="57" t="s"/>
      <c r="L184" s="57" t="s"/>
      <c r="M184" s="57" t="s"/>
      <c r="N184" s="57" t="s"/>
      <c r="O184" s="57" t="s"/>
      <c r="P184" s="38" t="s"/>
      <c r="Q184" s="38" t="s"/>
      <c r="R184" s="38" t="s"/>
      <c r="S184" s="38" t="s"/>
      <c r="T184" s="78" t="s"/>
      <c r="U184" s="79" t="s"/>
      <c r="V184" s="38" t="s"/>
      <c r="W184" s="57" t="s"/>
      <c r="X184" s="57" t="s"/>
      <c r="Y184" s="59" t="s"/>
      <c r="Z184" s="59" t="s"/>
      <c r="AA184" s="59" t="s"/>
      <c r="AB184" s="59" t="s"/>
      <c r="AC184" s="59" t="s"/>
      <c r="AD184" s="59" t="s"/>
      <c r="AE184" s="60" t="s"/>
      <c r="AF184" s="59" t="s"/>
      <c r="AG184" s="59" t="s"/>
      <c r="AH184" s="59" t="s"/>
      <c r="AI184" s="59" t="s"/>
      <c r="AJ184" s="59" t="s"/>
    </row>
    <row r="185" spans="1:36" ht="13.5">
      <c r="A185" s="57" t="s"/>
      <c r="B185" s="57" t="s"/>
      <c r="C185" s="57" t="s"/>
      <c r="D185" s="38" t="s"/>
      <c r="E185" s="57" t="s"/>
      <c r="F185" s="57" t="s"/>
      <c r="G185" s="57" t="s"/>
      <c r="H185" s="57" t="s"/>
      <c r="I185" s="57" t="s"/>
      <c r="J185" s="57" t="s"/>
      <c r="K185" s="57" t="s"/>
      <c r="L185" s="57" t="s"/>
      <c r="M185" s="57" t="s"/>
      <c r="N185" s="57" t="s"/>
      <c r="O185" s="57" t="s"/>
      <c r="P185" s="38" t="s"/>
      <c r="Q185" s="38" t="s"/>
      <c r="R185" s="38" t="s"/>
      <c r="S185" s="38" t="s"/>
      <c r="T185" s="78" t="s"/>
      <c r="U185" s="79" t="s"/>
      <c r="V185" s="38" t="s"/>
      <c r="W185" s="57" t="s"/>
      <c r="X185" s="57" t="s"/>
      <c r="Y185" s="59" t="s"/>
      <c r="Z185" s="59" t="s"/>
      <c r="AA185" s="59" t="s"/>
      <c r="AB185" s="59" t="s"/>
      <c r="AC185" s="59" t="s"/>
      <c r="AD185" s="59" t="s"/>
      <c r="AE185" s="60" t="s"/>
      <c r="AF185" s="59" t="s"/>
      <c r="AG185" s="59" t="s"/>
      <c r="AH185" s="59" t="s"/>
      <c r="AI185" s="59" t="s"/>
      <c r="AJ185" s="59" t="s"/>
    </row>
    <row r="186" spans="1:36" ht="13.5">
      <c r="A186" s="57" t="s"/>
      <c r="B186" s="57" t="s"/>
      <c r="C186" s="57" t="s"/>
      <c r="D186" s="38" t="s"/>
      <c r="E186" s="57" t="s"/>
      <c r="F186" s="57" t="s"/>
      <c r="G186" s="57" t="s"/>
      <c r="H186" s="57" t="s"/>
      <c r="I186" s="57" t="s"/>
      <c r="J186" s="57" t="s"/>
      <c r="K186" s="57" t="s"/>
      <c r="L186" s="57" t="s"/>
      <c r="M186" s="57" t="s"/>
      <c r="N186" s="57" t="s"/>
      <c r="O186" s="57" t="s"/>
      <c r="P186" s="38" t="s"/>
      <c r="Q186" s="38" t="s"/>
      <c r="R186" s="38" t="s"/>
      <c r="S186" s="38" t="s"/>
      <c r="T186" s="78" t="s"/>
      <c r="U186" s="79" t="s"/>
      <c r="V186" s="38" t="s"/>
      <c r="W186" s="57" t="s"/>
      <c r="X186" s="57" t="s"/>
      <c r="Y186" s="59" t="s"/>
      <c r="Z186" s="59" t="s"/>
      <c r="AA186" s="59" t="s"/>
      <c r="AB186" s="59" t="s"/>
      <c r="AC186" s="59" t="s"/>
      <c r="AD186" s="59" t="s"/>
      <c r="AE186" s="60" t="s"/>
      <c r="AF186" s="59" t="s"/>
      <c r="AG186" s="59" t="s"/>
      <c r="AH186" s="59" t="s"/>
      <c r="AI186" s="59" t="s"/>
      <c r="AJ186" s="59" t="s"/>
    </row>
    <row r="187" spans="1:36" ht="13.5">
      <c r="A187" s="57" t="s"/>
      <c r="B187" s="57" t="s"/>
      <c r="C187" s="57" t="s"/>
      <c r="D187" s="38" t="s"/>
      <c r="E187" s="57" t="s"/>
      <c r="F187" s="57" t="s"/>
      <c r="G187" s="57" t="s"/>
      <c r="H187" s="57" t="s"/>
      <c r="I187" s="57" t="s"/>
      <c r="J187" s="57" t="s"/>
      <c r="K187" s="57" t="s"/>
      <c r="L187" s="57" t="s"/>
      <c r="M187" s="57" t="s"/>
      <c r="N187" s="57" t="s"/>
      <c r="O187" s="57" t="s"/>
      <c r="P187" s="38" t="s"/>
      <c r="Q187" s="38" t="s"/>
      <c r="R187" s="38" t="s"/>
      <c r="S187" s="38" t="s"/>
      <c r="T187" s="78" t="s"/>
      <c r="U187" s="79" t="s"/>
      <c r="V187" s="38" t="s"/>
      <c r="W187" s="57" t="s"/>
      <c r="X187" s="57" t="s"/>
      <c r="Y187" s="59" t="s"/>
      <c r="Z187" s="59" t="s"/>
      <c r="AA187" s="59" t="s"/>
      <c r="AB187" s="59" t="s"/>
      <c r="AC187" s="59" t="s"/>
      <c r="AD187" s="59" t="s"/>
      <c r="AE187" s="60" t="s"/>
      <c r="AF187" s="59" t="s"/>
      <c r="AG187" s="59" t="s"/>
      <c r="AH187" s="59" t="s"/>
      <c r="AI187" s="59" t="s"/>
      <c r="AJ187" s="59" t="s"/>
    </row>
    <row r="188" spans="1:36" ht="13.5">
      <c r="A188" s="57" t="s"/>
      <c r="B188" s="57" t="s"/>
      <c r="C188" s="57" t="s"/>
      <c r="D188" s="38" t="s"/>
      <c r="E188" s="57" t="s"/>
      <c r="F188" s="57" t="s"/>
      <c r="G188" s="57" t="s"/>
      <c r="H188" s="57" t="s"/>
      <c r="I188" s="57" t="s"/>
      <c r="J188" s="57" t="s"/>
      <c r="K188" s="57" t="s"/>
      <c r="L188" s="57" t="s"/>
      <c r="M188" s="57" t="s"/>
      <c r="N188" s="57" t="s"/>
      <c r="O188" s="57" t="s"/>
      <c r="P188" s="38" t="s"/>
      <c r="Q188" s="38" t="s"/>
      <c r="R188" s="38" t="s"/>
      <c r="S188" s="38" t="s"/>
      <c r="T188" s="78" t="s"/>
      <c r="U188" s="79" t="s"/>
      <c r="V188" s="38" t="s"/>
      <c r="W188" s="57" t="s"/>
      <c r="X188" s="57" t="s"/>
      <c r="Y188" s="59" t="s"/>
      <c r="Z188" s="59" t="s"/>
      <c r="AA188" s="59" t="s"/>
      <c r="AB188" s="59" t="s"/>
      <c r="AC188" s="59" t="s"/>
      <c r="AD188" s="59" t="s"/>
      <c r="AE188" s="60" t="s"/>
      <c r="AF188" s="59" t="s"/>
      <c r="AG188" s="59" t="s"/>
      <c r="AH188" s="59" t="s"/>
      <c r="AI188" s="59" t="s"/>
      <c r="AJ188" s="59" t="s"/>
    </row>
    <row r="189" spans="1:36" ht="13.5">
      <c r="A189" s="57" t="s"/>
      <c r="B189" s="57" t="s"/>
      <c r="C189" s="57" t="s"/>
      <c r="D189" s="38" t="s"/>
      <c r="E189" s="57" t="s"/>
      <c r="F189" s="57" t="s"/>
      <c r="G189" s="57" t="s"/>
      <c r="H189" s="57" t="s"/>
      <c r="I189" s="57" t="s"/>
      <c r="J189" s="57" t="s"/>
      <c r="K189" s="57" t="s"/>
      <c r="L189" s="57" t="s"/>
      <c r="M189" s="57" t="s"/>
      <c r="N189" s="57" t="s"/>
      <c r="O189" s="57" t="s"/>
      <c r="P189" s="38" t="s"/>
      <c r="Q189" s="38" t="s"/>
      <c r="R189" s="38" t="s"/>
      <c r="S189" s="38" t="s"/>
      <c r="T189" s="78" t="s"/>
      <c r="U189" s="79" t="s"/>
      <c r="V189" s="38" t="s"/>
      <c r="W189" s="57" t="s"/>
      <c r="X189" s="57" t="s"/>
      <c r="Y189" s="59" t="s"/>
      <c r="Z189" s="59" t="s"/>
      <c r="AA189" s="59" t="s"/>
      <c r="AB189" s="59" t="s"/>
      <c r="AC189" s="59" t="s"/>
      <c r="AD189" s="59" t="s"/>
      <c r="AE189" s="60" t="s"/>
      <c r="AF189" s="59" t="s"/>
      <c r="AG189" s="59" t="s"/>
      <c r="AH189" s="59" t="s"/>
      <c r="AI189" s="59" t="s"/>
      <c r="AJ189" s="59" t="s"/>
    </row>
    <row r="190" spans="1:36" ht="13.5">
      <c r="A190" s="57" t="s"/>
      <c r="B190" s="57" t="s"/>
      <c r="C190" s="57" t="s"/>
      <c r="D190" s="38" t="s"/>
      <c r="E190" s="57" t="s"/>
      <c r="F190" s="57" t="s"/>
      <c r="G190" s="57" t="s"/>
      <c r="H190" s="57" t="s"/>
      <c r="I190" s="57" t="s"/>
      <c r="J190" s="57" t="s"/>
      <c r="K190" s="57" t="s"/>
      <c r="L190" s="57" t="s"/>
      <c r="M190" s="57" t="s"/>
      <c r="N190" s="57" t="s"/>
      <c r="O190" s="57" t="s"/>
      <c r="P190" s="38" t="s"/>
      <c r="Q190" s="38" t="s"/>
      <c r="R190" s="38" t="s"/>
      <c r="S190" s="38" t="s"/>
      <c r="T190" s="78" t="s"/>
      <c r="U190" s="79" t="s"/>
      <c r="V190" s="38" t="s"/>
      <c r="W190" s="57" t="s"/>
      <c r="X190" s="57" t="s"/>
      <c r="Y190" s="59" t="s"/>
      <c r="Z190" s="59" t="s"/>
      <c r="AA190" s="59" t="s"/>
      <c r="AB190" s="59" t="s"/>
      <c r="AC190" s="59" t="s"/>
      <c r="AD190" s="59" t="s"/>
      <c r="AE190" s="60" t="s"/>
      <c r="AF190" s="59" t="s"/>
      <c r="AG190" s="59" t="s"/>
      <c r="AH190" s="59" t="s"/>
      <c r="AI190" s="59" t="s"/>
      <c r="AJ190" s="59" t="s"/>
    </row>
    <row r="191" spans="1:36" ht="13.5">
      <c r="A191" s="57" t="s"/>
      <c r="B191" s="57" t="s"/>
      <c r="C191" s="57" t="s"/>
      <c r="D191" s="38" t="s"/>
      <c r="E191" s="57" t="s"/>
      <c r="F191" s="57" t="s"/>
      <c r="G191" s="57" t="s"/>
      <c r="H191" s="57" t="s"/>
      <c r="I191" s="57" t="s"/>
      <c r="J191" s="57" t="s"/>
      <c r="K191" s="57" t="s"/>
      <c r="L191" s="57" t="s"/>
      <c r="M191" s="57" t="s"/>
      <c r="N191" s="57" t="s"/>
      <c r="O191" s="57" t="s"/>
      <c r="P191" s="38" t="s"/>
      <c r="Q191" s="38" t="s"/>
      <c r="R191" s="38" t="s"/>
      <c r="S191" s="38" t="s"/>
      <c r="T191" s="78" t="s"/>
      <c r="U191" s="79" t="s"/>
      <c r="V191" s="38" t="s"/>
      <c r="W191" s="57" t="s"/>
      <c r="X191" s="57" t="s"/>
      <c r="Y191" s="59" t="s"/>
      <c r="Z191" s="59" t="s"/>
      <c r="AA191" s="59" t="s"/>
      <c r="AB191" s="59" t="s"/>
      <c r="AC191" s="59" t="s"/>
      <c r="AD191" s="59" t="s"/>
      <c r="AE191" s="60" t="s"/>
      <c r="AF191" s="59" t="s"/>
      <c r="AG191" s="59" t="s"/>
      <c r="AH191" s="59" t="s"/>
      <c r="AI191" s="59" t="s"/>
      <c r="AJ191" s="59" t="s"/>
    </row>
    <row r="192" spans="1:36" ht="13.5">
      <c r="A192" s="57" t="s"/>
      <c r="B192" s="57" t="s"/>
      <c r="C192" s="57" t="s"/>
      <c r="D192" s="38" t="s"/>
      <c r="E192" s="57" t="s"/>
      <c r="F192" s="57" t="s"/>
      <c r="G192" s="57" t="s"/>
      <c r="H192" s="57" t="s"/>
      <c r="I192" s="57" t="s"/>
      <c r="J192" s="57" t="s"/>
      <c r="K192" s="57" t="s"/>
      <c r="L192" s="57" t="s"/>
      <c r="M192" s="57" t="s"/>
      <c r="N192" s="57" t="s"/>
      <c r="O192" s="57" t="s"/>
      <c r="P192" s="38" t="s"/>
      <c r="Q192" s="38" t="s"/>
      <c r="R192" s="38" t="s"/>
      <c r="S192" s="38" t="s"/>
      <c r="T192" s="78" t="s"/>
      <c r="U192" s="79" t="s"/>
      <c r="V192" s="38" t="s"/>
      <c r="W192" s="57" t="s"/>
      <c r="X192" s="57" t="s"/>
      <c r="Y192" s="59" t="s"/>
      <c r="Z192" s="59" t="s"/>
      <c r="AA192" s="59" t="s"/>
      <c r="AB192" s="59" t="s"/>
      <c r="AC192" s="59" t="s"/>
      <c r="AD192" s="59" t="s"/>
      <c r="AE192" s="60" t="s"/>
      <c r="AF192" s="59" t="s"/>
      <c r="AG192" s="59" t="s"/>
      <c r="AH192" s="59" t="s"/>
      <c r="AI192" s="59" t="s"/>
      <c r="AJ192" s="59" t="s"/>
    </row>
    <row r="193" spans="1:36" ht="13.5">
      <c r="A193" s="57" t="s"/>
      <c r="B193" s="57" t="s"/>
      <c r="C193" s="57" t="s"/>
      <c r="D193" s="38" t="s"/>
      <c r="E193" s="57" t="s"/>
      <c r="F193" s="57" t="s"/>
      <c r="G193" s="57" t="s"/>
      <c r="H193" s="57" t="s"/>
      <c r="I193" s="57" t="s"/>
      <c r="J193" s="57" t="s"/>
      <c r="K193" s="57" t="s"/>
      <c r="L193" s="57" t="s"/>
      <c r="M193" s="57" t="s"/>
      <c r="N193" s="57" t="s"/>
      <c r="O193" s="57" t="s"/>
      <c r="P193" s="38" t="s"/>
      <c r="Q193" s="38" t="s"/>
      <c r="R193" s="38" t="s"/>
      <c r="S193" s="38" t="s"/>
      <c r="T193" s="78" t="s"/>
      <c r="U193" s="79" t="s"/>
      <c r="V193" s="38" t="s"/>
      <c r="W193" s="57" t="s"/>
      <c r="X193" s="57" t="s"/>
      <c r="Y193" s="59" t="s"/>
      <c r="Z193" s="59" t="s"/>
      <c r="AA193" s="59" t="s"/>
      <c r="AB193" s="59" t="s"/>
      <c r="AC193" s="59" t="s"/>
      <c r="AD193" s="59" t="s"/>
      <c r="AE193" s="60" t="s"/>
      <c r="AF193" s="59" t="s"/>
      <c r="AG193" s="59" t="s"/>
      <c r="AH193" s="59" t="s"/>
      <c r="AI193" s="59" t="s"/>
      <c r="AJ193" s="59" t="s"/>
    </row>
    <row r="194" spans="1:36" ht="13.5">
      <c r="A194" s="57" t="s"/>
      <c r="B194" s="57" t="s"/>
      <c r="C194" s="57" t="s"/>
      <c r="D194" s="38" t="s"/>
      <c r="E194" s="57" t="s"/>
      <c r="F194" s="57" t="s"/>
      <c r="G194" s="57" t="s"/>
      <c r="H194" s="57" t="s"/>
      <c r="I194" s="57" t="s"/>
      <c r="J194" s="57" t="s"/>
      <c r="K194" s="57" t="s"/>
      <c r="L194" s="57" t="s"/>
      <c r="M194" s="57" t="s"/>
      <c r="N194" s="57" t="s"/>
      <c r="O194" s="57" t="s"/>
      <c r="P194" s="38" t="s"/>
      <c r="Q194" s="38" t="s"/>
      <c r="R194" s="38" t="s"/>
      <c r="S194" s="38" t="s"/>
      <c r="T194" s="78" t="s"/>
      <c r="U194" s="79" t="s"/>
      <c r="V194" s="38" t="s"/>
      <c r="W194" s="57" t="s"/>
      <c r="X194" s="57" t="s"/>
      <c r="Y194" s="59" t="s"/>
      <c r="Z194" s="59" t="s"/>
      <c r="AA194" s="59" t="s"/>
      <c r="AB194" s="59" t="s"/>
      <c r="AC194" s="59" t="s"/>
      <c r="AD194" s="59" t="s"/>
      <c r="AE194" s="60" t="s"/>
      <c r="AF194" s="59" t="s"/>
      <c r="AG194" s="59" t="s"/>
      <c r="AH194" s="59" t="s"/>
      <c r="AI194" s="59" t="s"/>
      <c r="AJ194" s="59" t="s"/>
    </row>
    <row r="195" spans="1:36" ht="13.5">
      <c r="A195" s="57" t="s"/>
      <c r="B195" s="57" t="s"/>
      <c r="C195" s="57" t="s"/>
      <c r="D195" s="38" t="s"/>
      <c r="E195" s="57" t="s"/>
      <c r="F195" s="57" t="s"/>
      <c r="G195" s="57" t="s"/>
      <c r="H195" s="57" t="s"/>
      <c r="I195" s="57" t="s"/>
      <c r="J195" s="57" t="s"/>
      <c r="K195" s="57" t="s"/>
      <c r="L195" s="57" t="s"/>
      <c r="M195" s="57" t="s"/>
      <c r="N195" s="57" t="s"/>
      <c r="O195" s="57" t="s"/>
      <c r="P195" s="38" t="s"/>
      <c r="Q195" s="38" t="s"/>
      <c r="R195" s="38" t="s"/>
      <c r="S195" s="38" t="s"/>
      <c r="T195" s="78" t="s"/>
      <c r="U195" s="79" t="s"/>
      <c r="V195" s="38" t="s"/>
      <c r="W195" s="57" t="s"/>
      <c r="X195" s="57" t="s"/>
      <c r="Y195" s="59" t="s"/>
      <c r="Z195" s="59" t="s"/>
      <c r="AA195" s="59" t="s"/>
      <c r="AB195" s="59" t="s"/>
      <c r="AC195" s="59" t="s"/>
      <c r="AD195" s="59" t="s"/>
      <c r="AE195" s="60" t="s"/>
      <c r="AF195" s="59" t="s"/>
      <c r="AG195" s="59" t="s"/>
      <c r="AH195" s="59" t="s"/>
      <c r="AI195" s="59" t="s"/>
      <c r="AJ195" s="59" t="s"/>
    </row>
    <row r="196" spans="1:36" ht="13.5">
      <c r="A196" s="57" t="s"/>
      <c r="B196" s="57" t="s"/>
      <c r="C196" s="57" t="s"/>
      <c r="D196" s="38" t="s"/>
      <c r="E196" s="57" t="s"/>
      <c r="F196" s="57" t="s"/>
      <c r="G196" s="57" t="s"/>
      <c r="H196" s="57" t="s"/>
      <c r="I196" s="57" t="s"/>
      <c r="J196" s="57" t="s"/>
      <c r="K196" s="57" t="s"/>
      <c r="L196" s="57" t="s"/>
      <c r="M196" s="57" t="s"/>
      <c r="N196" s="57" t="s"/>
      <c r="O196" s="57" t="s"/>
      <c r="P196" s="38" t="s"/>
      <c r="Q196" s="38" t="s"/>
      <c r="R196" s="38" t="s"/>
      <c r="S196" s="38" t="s"/>
      <c r="T196" s="78" t="s"/>
      <c r="U196" s="79" t="s"/>
      <c r="V196" s="38" t="s"/>
      <c r="W196" s="57" t="s"/>
      <c r="X196" s="57" t="s"/>
      <c r="Y196" s="59" t="s"/>
      <c r="Z196" s="59" t="s"/>
      <c r="AA196" s="59" t="s"/>
      <c r="AB196" s="59" t="s"/>
      <c r="AC196" s="59" t="s"/>
      <c r="AD196" s="59" t="s"/>
      <c r="AE196" s="60" t="s"/>
      <c r="AF196" s="59" t="s"/>
      <c r="AG196" s="59" t="s"/>
      <c r="AH196" s="59" t="s"/>
      <c r="AI196" s="59" t="s"/>
      <c r="AJ196" s="59" t="s"/>
    </row>
    <row r="197" spans="1:36" ht="13.5">
      <c r="A197" s="57" t="s"/>
      <c r="B197" s="57" t="s"/>
      <c r="C197" s="57" t="s"/>
      <c r="D197" s="38" t="s"/>
      <c r="E197" s="57" t="s"/>
      <c r="F197" s="57" t="s"/>
      <c r="G197" s="57" t="s"/>
      <c r="H197" s="57" t="s"/>
      <c r="I197" s="57" t="s"/>
      <c r="J197" s="57" t="s"/>
      <c r="K197" s="57" t="s"/>
      <c r="L197" s="57" t="s"/>
      <c r="M197" s="57" t="s"/>
      <c r="N197" s="57" t="s"/>
      <c r="O197" s="57" t="s"/>
      <c r="P197" s="38" t="s"/>
      <c r="Q197" s="38" t="s"/>
      <c r="R197" s="38" t="s"/>
      <c r="S197" s="38" t="s"/>
      <c r="T197" s="78" t="s"/>
      <c r="U197" s="79" t="s"/>
      <c r="V197" s="38" t="s"/>
      <c r="W197" s="57" t="s"/>
      <c r="X197" s="57" t="s"/>
      <c r="Y197" s="59" t="s"/>
      <c r="Z197" s="59" t="s"/>
      <c r="AA197" s="59" t="s"/>
      <c r="AB197" s="59" t="s"/>
      <c r="AC197" s="59" t="s"/>
      <c r="AD197" s="59" t="s"/>
      <c r="AE197" s="60" t="s"/>
      <c r="AF197" s="59" t="s"/>
      <c r="AG197" s="59" t="s"/>
      <c r="AH197" s="59" t="s"/>
      <c r="AI197" s="59" t="s"/>
      <c r="AJ197" s="59" t="s"/>
    </row>
    <row r="198" spans="1:36" ht="13.5">
      <c r="A198" s="57" t="s"/>
      <c r="B198" s="57" t="s"/>
      <c r="C198" s="57" t="s"/>
      <c r="D198" s="38" t="s"/>
      <c r="E198" s="57" t="s"/>
      <c r="F198" s="57" t="s"/>
      <c r="G198" s="57" t="s"/>
      <c r="H198" s="57" t="s"/>
      <c r="I198" s="57" t="s"/>
      <c r="J198" s="57" t="s"/>
      <c r="K198" s="57" t="s"/>
      <c r="L198" s="57" t="s"/>
      <c r="M198" s="57" t="s"/>
      <c r="N198" s="57" t="s"/>
      <c r="O198" s="57" t="s"/>
      <c r="P198" s="38" t="s"/>
      <c r="Q198" s="38" t="s"/>
      <c r="R198" s="38" t="s"/>
      <c r="S198" s="38" t="s"/>
      <c r="T198" s="78" t="s"/>
      <c r="U198" s="79" t="s"/>
      <c r="V198" s="38" t="s"/>
      <c r="W198" s="57" t="s"/>
      <c r="X198" s="57" t="s"/>
      <c r="Y198" s="59" t="s"/>
      <c r="Z198" s="59" t="s"/>
      <c r="AA198" s="59" t="s"/>
      <c r="AB198" s="59" t="s"/>
      <c r="AC198" s="59" t="s"/>
      <c r="AD198" s="59" t="s"/>
      <c r="AE198" s="60" t="s"/>
      <c r="AF198" s="59" t="s"/>
      <c r="AG198" s="59" t="s"/>
      <c r="AH198" s="59" t="s"/>
      <c r="AI198" s="59" t="s"/>
      <c r="AJ198" s="59" t="s"/>
    </row>
    <row r="199" spans="1:36" ht="13.5">
      <c r="A199" s="57" t="s"/>
      <c r="B199" s="57" t="s"/>
      <c r="C199" s="57" t="s"/>
      <c r="D199" s="38" t="s"/>
      <c r="E199" s="57" t="s"/>
      <c r="F199" s="57" t="s"/>
      <c r="G199" s="57" t="s"/>
      <c r="H199" s="57" t="s"/>
      <c r="I199" s="57" t="s"/>
      <c r="J199" s="57" t="s"/>
      <c r="K199" s="57" t="s"/>
      <c r="L199" s="57" t="s"/>
      <c r="M199" s="57" t="s"/>
      <c r="N199" s="57" t="s"/>
      <c r="O199" s="57" t="s"/>
      <c r="P199" s="38" t="s"/>
      <c r="Q199" s="38" t="s"/>
      <c r="R199" s="38" t="s"/>
      <c r="S199" s="38" t="s"/>
      <c r="T199" s="78" t="s"/>
      <c r="U199" s="79" t="s"/>
      <c r="V199" s="38" t="s"/>
      <c r="W199" s="57" t="s"/>
      <c r="X199" s="57" t="s"/>
      <c r="Y199" s="59" t="s"/>
      <c r="Z199" s="59" t="s"/>
      <c r="AA199" s="59" t="s"/>
      <c r="AB199" s="59" t="s"/>
      <c r="AC199" s="59" t="s"/>
      <c r="AD199" s="59" t="s"/>
      <c r="AE199" s="60" t="s"/>
      <c r="AF199" s="59" t="s"/>
      <c r="AG199" s="59" t="s"/>
      <c r="AH199" s="59" t="s"/>
      <c r="AI199" s="59" t="s"/>
      <c r="AJ199" s="59" t="s"/>
    </row>
    <row r="200" spans="1:36" ht="13.5">
      <c r="A200" s="57" t="s"/>
      <c r="B200" s="57" t="s"/>
      <c r="C200" s="57" t="s"/>
      <c r="D200" s="38" t="s"/>
      <c r="E200" s="57" t="s"/>
      <c r="F200" s="57" t="s"/>
      <c r="G200" s="57" t="s"/>
      <c r="H200" s="57" t="s"/>
      <c r="I200" s="57" t="s"/>
      <c r="J200" s="57" t="s"/>
      <c r="K200" s="57" t="s"/>
      <c r="L200" s="57" t="s"/>
      <c r="M200" s="57" t="s"/>
      <c r="N200" s="57" t="s"/>
      <c r="O200" s="57" t="s"/>
      <c r="P200" s="38" t="s"/>
      <c r="Q200" s="38" t="s"/>
      <c r="R200" s="38" t="s"/>
      <c r="S200" s="38" t="s"/>
      <c r="T200" s="78" t="s"/>
      <c r="U200" s="79" t="s"/>
      <c r="V200" s="38" t="s"/>
      <c r="W200" s="57" t="s"/>
      <c r="X200" s="57" t="s"/>
      <c r="Y200" s="59" t="s"/>
      <c r="Z200" s="59" t="s"/>
      <c r="AA200" s="59" t="s"/>
      <c r="AB200" s="59" t="s"/>
      <c r="AC200" s="59" t="s"/>
      <c r="AD200" s="59" t="s"/>
      <c r="AE200" s="60" t="s"/>
      <c r="AF200" s="59" t="s"/>
      <c r="AG200" s="59" t="s"/>
      <c r="AH200" s="59" t="s"/>
      <c r="AI200" s="59" t="s"/>
      <c r="AJ200" s="59" t="s"/>
    </row>
  </sheetData>
  <autoFilter ref="A58:Q88">
    <extLst/>
  </autoFilter>
  <mergeCells count="31">
    <mergeCell ref="A3:C3"/>
    <mergeCell ref="D3:O3"/>
    <mergeCell ref="S57:X57"/>
    <mergeCell ref="A59:C59"/>
    <mergeCell ref="D59:O59"/>
    <mergeCell ref="A98:C98"/>
    <mergeCell ref="D98:O98"/>
    <mergeCell ref="A61:A62"/>
    <mergeCell ref="A63:A64"/>
    <mergeCell ref="A65:A66"/>
    <mergeCell ref="A67:A68"/>
    <mergeCell ref="A69:A70"/>
    <mergeCell ref="A71:A72"/>
    <mergeCell ref="A73:A74"/>
    <mergeCell ref="A75:A76"/>
    <mergeCell ref="A77:A78"/>
    <mergeCell ref="A79:A80"/>
    <mergeCell ref="A83:A84"/>
    <mergeCell ref="A87:A88"/>
    <mergeCell ref="A100:A101"/>
    <mergeCell ref="A102:A103"/>
    <mergeCell ref="A104:A105"/>
    <mergeCell ref="A106:A107"/>
    <mergeCell ref="A108:A109"/>
    <mergeCell ref="A110:A111"/>
    <mergeCell ref="A112:A113"/>
    <mergeCell ref="A118:A119"/>
    <mergeCell ref="Y63:Y66"/>
    <mergeCell ref="A57:O58"/>
    <mergeCell ref="A96:O97"/>
    <mergeCell ref="A1:P2"/>
  </mergeCells>
  <dataValidations>
    <dataValidation type="list" operator="between" allowBlank="true" showInputMessage="true" showErrorMessage="true" sqref="D5:D36">
      <formula1>"业务/协议,芯片/sdk,无损网络,架构平台,系统架构,技术支持,管理组,bsp"</formula1>
    </dataValidation>
    <dataValidation type="list" operator="between" allowBlank="true" showInputMessage="true" showErrorMessage="true" sqref="D42:D43">
      <formula1>"业务/协议,芯片/sdk,无损网络,架构平台,系统架构,技术支持,管理组,bsp"</formula1>
    </dataValidation>
  </dataValidations>
  <pageMargins left="0.75" right="0.75" top="1" bottom="1" header="0.5" footer="0.5"/>
  <headerFooter/>
</worksheet>
</file>

<file path=xl/worksheets/sheet12.xml><?xml version="1.0" encoding="utf-8"?>
<worksheet xmlns="http://schemas.openxmlformats.org/spreadsheetml/2006/main">
  <sheetPr/>
  <dimension ref="AC64"/>
  <sheetViews>
    <sheetView showGridLines="true" workbookViewId="0">
      <pane ySplit="1" topLeftCell="A2" activePane="bottomLeft" state="frozen"/>
    </sheetView>
  </sheetViews>
  <sheetFormatPr defaultColWidth="14" defaultRowHeight="18" customHeight="true"/>
  <cols>
    <col min="1" max="1" width="14.5905" style="683" hidden="true" customWidth="true"/>
    <col min="2" max="2" width="38.2667" style="683" customWidth="true"/>
    <col min="3" max="3" width="7.72381" style="685" customWidth="true"/>
    <col min="4" max="4" width="17.2762" style="686" customWidth="true"/>
    <col min="5" max="5" width="10.6" style="683" customWidth="true"/>
    <col min="6" max="6" width="10.9524" style="683" customWidth="true"/>
    <col min="7" max="7" width="10.4667" style="683" customWidth="true"/>
    <col min="8" max="21" width="8.6" style="683" customWidth="true"/>
    <col min="22" max="23" width="8.6" style="685" customWidth="true"/>
    <col min="24" max="29" width="8.6" style="687" customWidth="true"/>
  </cols>
  <sheetData>
    <row r="1" spans="1:29" ht="33" customHeight="true">
      <c r="A1" s="177" t="s">
        <v>9</v>
      </c>
      <c r="B1" s="178" t="s">
        <v>230</v>
      </c>
      <c r="C1" s="177" t="s">
        <v>231</v>
      </c>
      <c r="D1" s="179" t="s">
        <v>232</v>
      </c>
      <c r="E1" s="180" t="s">
        <v>233</v>
      </c>
      <c r="F1" s="180" t="s">
        <v>234</v>
      </c>
      <c r="G1" s="180" t="s">
        <v>235</v>
      </c>
      <c r="H1" s="181" t="s">
        <v>236</v>
      </c>
      <c r="I1" s="181" t="s">
        <v>56</v>
      </c>
      <c r="J1" s="181" t="s">
        <v>57</v>
      </c>
      <c r="K1" s="181" t="s">
        <v>58</v>
      </c>
      <c r="L1" s="181" t="s">
        <v>59</v>
      </c>
      <c r="M1" s="181" t="s">
        <v>60</v>
      </c>
      <c r="N1" s="181" t="s">
        <v>61</v>
      </c>
      <c r="O1" s="181" t="s">
        <v>62</v>
      </c>
      <c r="P1" s="181" t="s">
        <v>63</v>
      </c>
      <c r="Q1" s="181" t="s">
        <v>64</v>
      </c>
      <c r="R1" s="181" t="s">
        <v>65</v>
      </c>
      <c r="S1" s="181" t="s">
        <v>66</v>
      </c>
      <c r="T1" s="181" t="s">
        <v>237</v>
      </c>
      <c r="U1" s="181" t="s">
        <v>56</v>
      </c>
      <c r="V1" s="181" t="s">
        <v>57</v>
      </c>
      <c r="W1" s="181" t="s">
        <v>58</v>
      </c>
      <c r="X1" s="181" t="s">
        <v>59</v>
      </c>
      <c r="Y1" s="181" t="s">
        <v>60</v>
      </c>
      <c r="Z1" s="181" t="s">
        <v>61</v>
      </c>
      <c r="AA1" s="181" t="s">
        <v>62</v>
      </c>
      <c r="AB1" s="181" t="s">
        <v>63</v>
      </c>
      <c r="AC1" s="181" t="s">
        <v>64</v>
      </c>
    </row>
    <row r="2" spans="1:21" ht="35.25" customHeight="true">
      <c r="A2" s="182" t="s"/>
      <c r="B2" s="183" t="s">
        <v>890</v>
      </c>
      <c r="C2" s="184">
        <v>1</v>
      </c>
      <c r="D2" s="185" t="s">
        <v>238</v>
      </c>
      <c r="E2" s="186">
        <v>45992</v>
      </c>
      <c r="F2" s="186" t="s">
        <v>239</v>
      </c>
      <c r="G2" s="187" t="s">
        <v>240</v>
      </c>
      <c r="H2" s="188">
        <v>5</v>
      </c>
      <c r="I2" s="188">
        <v>5</v>
      </c>
      <c r="J2" s="188">
        <v>12</v>
      </c>
      <c r="K2" s="188">
        <v>12</v>
      </c>
      <c r="L2" s="188">
        <v>12</v>
      </c>
      <c r="M2" s="188">
        <v>12</v>
      </c>
      <c r="N2" s="188">
        <v>12</v>
      </c>
      <c r="O2" s="188" t="s"/>
      <c r="P2" s="188" t="s"/>
      <c r="Q2" s="189" t="s"/>
      <c r="R2" s="189" t="s"/>
      <c r="S2" s="189" t="s"/>
      <c r="T2" s="189" t="s"/>
      <c r="U2" s="189" t="s"/>
    </row>
    <row r="3" spans="1:21" ht="66" customHeight="true">
      <c r="A3" s="190" t="s"/>
      <c r="B3" s="191" t="s"/>
      <c r="C3" s="184" t="s"/>
      <c r="D3" s="192" t="s"/>
      <c r="E3" s="190" t="s"/>
      <c r="F3" s="189" t="s"/>
      <c r="G3" s="187" t="s">
        <v>241</v>
      </c>
      <c r="H3" s="188">
        <v>0</v>
      </c>
      <c r="I3" s="188">
        <v>0</v>
      </c>
      <c r="J3" s="188">
        <v>1</v>
      </c>
      <c r="K3" s="182">
        <v>6</v>
      </c>
      <c r="L3" s="182">
        <v>11</v>
      </c>
      <c r="M3" s="182">
        <v>11</v>
      </c>
      <c r="N3" s="182">
        <v>6</v>
      </c>
      <c r="O3" s="182" t="s"/>
      <c r="P3" s="182" t="s"/>
      <c r="Q3" s="189" t="s"/>
      <c r="R3" s="189" t="s"/>
      <c r="S3" s="189" t="s"/>
      <c r="T3" s="189" t="s"/>
      <c r="U3" s="193" t="s"/>
    </row>
    <row r="4" spans="1:29" s="682" customFormat="true" ht="24.75" customHeight="true">
      <c r="A4" s="194" t="s"/>
      <c r="B4" s="195" t="s">
        <v>203</v>
      </c>
      <c r="C4" s="196">
        <v>1</v>
      </c>
      <c r="D4" s="197" t="s">
        <v>242</v>
      </c>
      <c r="E4" s="198">
        <v>2026.1</v>
      </c>
      <c r="F4" s="198">
        <v>2026.4</v>
      </c>
      <c r="G4" s="199" t="s">
        <v>240</v>
      </c>
      <c r="H4" s="119">
        <v>5</v>
      </c>
      <c r="I4" s="119">
        <v>5</v>
      </c>
      <c r="J4" s="119">
        <v>5</v>
      </c>
      <c r="K4" s="119">
        <v>5</v>
      </c>
      <c r="L4" s="119" t="s"/>
      <c r="M4" s="119" t="s"/>
      <c r="N4" s="119" t="s"/>
      <c r="O4" s="119" t="s"/>
      <c r="P4" s="119" t="s"/>
      <c r="Q4" s="119" t="s"/>
      <c r="R4" s="120" t="s"/>
      <c r="S4" s="120" t="s"/>
      <c r="T4" s="200" t="s"/>
      <c r="U4" s="200" t="s"/>
      <c r="V4" s="201" t="s"/>
      <c r="W4" s="201" t="s"/>
      <c r="X4" s="202" t="s"/>
      <c r="Y4" s="202" t="s"/>
      <c r="Z4" s="202" t="s"/>
      <c r="AA4" s="202" t="s"/>
      <c r="AB4" s="202" t="s"/>
      <c r="AC4" s="202" t="s"/>
    </row>
    <row r="5" spans="1:29" s="682" customFormat="true" ht="24.75" customHeight="true">
      <c r="A5" s="194" t="s"/>
      <c r="B5" s="203" t="s"/>
      <c r="C5" s="204" t="s"/>
      <c r="D5" s="205" t="s"/>
      <c r="E5" s="206" t="s"/>
      <c r="F5" s="206" t="s"/>
      <c r="G5" s="199" t="s">
        <v>241</v>
      </c>
      <c r="H5" s="119">
        <v>0</v>
      </c>
      <c r="I5" s="119">
        <v>5</v>
      </c>
      <c r="J5" s="119">
        <v>10</v>
      </c>
      <c r="K5" s="119">
        <v>5</v>
      </c>
      <c r="L5" s="119" t="s"/>
      <c r="M5" s="119" t="s"/>
      <c r="N5" s="119" t="s"/>
      <c r="O5" s="119" t="s"/>
      <c r="P5" s="119" t="s"/>
      <c r="Q5" s="119" t="s"/>
      <c r="R5" s="120" t="s"/>
      <c r="S5" s="120" t="s"/>
      <c r="T5" s="200" t="s"/>
      <c r="U5" s="200" t="s"/>
      <c r="V5" s="201" t="s"/>
      <c r="W5" s="201" t="s"/>
      <c r="X5" s="202" t="s"/>
      <c r="Y5" s="202" t="s"/>
      <c r="Z5" s="202" t="s"/>
      <c r="AA5" s="202" t="s"/>
      <c r="AB5" s="202" t="s"/>
      <c r="AC5" s="202" t="s"/>
    </row>
    <row r="6" spans="1:29" s="683" customFormat="true" ht="40" customHeight="true">
      <c r="A6" s="207">
        <v>2</v>
      </c>
      <c r="B6" s="208" t="s">
        <v>206</v>
      </c>
      <c r="C6" s="187">
        <v>2</v>
      </c>
      <c r="D6" s="209" t="s">
        <v>243</v>
      </c>
      <c r="E6" s="186">
        <v>45992</v>
      </c>
      <c r="F6" s="186" t="s">
        <v>244</v>
      </c>
      <c r="G6" s="187" t="s">
        <v>240</v>
      </c>
      <c r="H6" s="188">
        <v>4</v>
      </c>
      <c r="I6" s="188">
        <v>3</v>
      </c>
      <c r="J6" s="188">
        <v>1</v>
      </c>
      <c r="K6" s="188">
        <v>1</v>
      </c>
      <c r="L6" s="188">
        <v>1</v>
      </c>
      <c r="M6" s="188">
        <v>1</v>
      </c>
      <c r="N6" s="182">
        <v>1</v>
      </c>
      <c r="O6" s="182">
        <v>6</v>
      </c>
      <c r="P6" s="182">
        <v>6</v>
      </c>
      <c r="Q6" s="189">
        <v>6</v>
      </c>
      <c r="R6" s="189">
        <v>6</v>
      </c>
      <c r="S6" s="189">
        <v>6</v>
      </c>
      <c r="T6" s="189" t="s"/>
      <c r="U6" s="189" t="s"/>
      <c r="V6" s="189" t="s"/>
      <c r="W6" s="189" t="s"/>
      <c r="X6" s="190" t="s"/>
      <c r="Y6" s="190" t="s"/>
      <c r="Z6" s="190" t="s"/>
      <c r="AA6" s="190" t="s"/>
      <c r="AB6" s="190" t="s"/>
      <c r="AC6" s="190" t="s"/>
    </row>
    <row r="7" spans="1:23" s="683" customFormat="true" ht="40" customHeight="true">
      <c r="A7" s="207" t="s"/>
      <c r="B7" s="208" t="s"/>
      <c r="C7" s="187" t="s"/>
      <c r="D7" s="210" t="s"/>
      <c r="E7" s="190" t="s"/>
      <c r="F7" s="189" t="s"/>
      <c r="G7" s="187" t="s">
        <v>241</v>
      </c>
      <c r="H7" s="188" t="s"/>
      <c r="I7" s="188" t="s"/>
      <c r="J7" s="188" t="s"/>
      <c r="K7" s="188" t="s"/>
      <c r="L7" s="188" t="s"/>
      <c r="M7" s="188" t="s"/>
      <c r="N7" s="182">
        <v>1</v>
      </c>
      <c r="O7" s="182">
        <v>8</v>
      </c>
      <c r="P7" s="182">
        <v>8</v>
      </c>
      <c r="Q7" s="189">
        <v>8</v>
      </c>
      <c r="R7" s="189">
        <v>6</v>
      </c>
      <c r="S7" s="189">
        <v>6</v>
      </c>
      <c r="T7" s="189" t="s"/>
      <c r="U7" s="189" t="s"/>
      <c r="V7" s="211" t="s"/>
      <c r="W7" s="211" t="s"/>
    </row>
    <row r="8" spans="1:21" ht="40" customHeight="true">
      <c r="A8" s="207" t="s"/>
      <c r="B8" s="212" t="s">
        <v>245</v>
      </c>
      <c r="C8" s="189">
        <v>2</v>
      </c>
      <c r="D8" s="213" t="s">
        <v>246</v>
      </c>
      <c r="E8" s="214">
        <v>2026.1</v>
      </c>
      <c r="F8" s="215">
        <v>2026.8</v>
      </c>
      <c r="G8" s="187" t="s">
        <v>240</v>
      </c>
      <c r="H8" s="216">
        <v>1</v>
      </c>
      <c r="I8" s="216">
        <v>1</v>
      </c>
      <c r="J8" s="216">
        <v>2</v>
      </c>
      <c r="K8" s="216">
        <v>2</v>
      </c>
      <c r="L8" s="216">
        <v>2</v>
      </c>
      <c r="M8" s="216">
        <v>2</v>
      </c>
      <c r="N8" s="177">
        <v>2</v>
      </c>
      <c r="O8" s="177">
        <v>2</v>
      </c>
      <c r="P8" s="177" t="s"/>
      <c r="Q8" s="189" t="s"/>
      <c r="R8" s="189" t="s"/>
      <c r="S8" s="189" t="s"/>
      <c r="T8" s="189" t="s"/>
      <c r="U8" s="193" t="s"/>
    </row>
    <row r="9" spans="1:21" ht="36.75" customHeight="true">
      <c r="A9" s="190" t="s"/>
      <c r="B9" s="217" t="s"/>
      <c r="D9" s="218" t="s"/>
      <c r="E9" s="219" t="s"/>
      <c r="F9" s="220" t="s"/>
      <c r="G9" s="187" t="s">
        <v>241</v>
      </c>
      <c r="H9" s="216" t="s"/>
      <c r="I9" s="216" t="s"/>
      <c r="J9" s="216">
        <v>1</v>
      </c>
      <c r="K9" s="216">
        <v>2</v>
      </c>
      <c r="L9" s="216">
        <v>2</v>
      </c>
      <c r="M9" s="216">
        <v>2</v>
      </c>
      <c r="N9" s="177">
        <v>2</v>
      </c>
      <c r="O9" s="177">
        <v>2</v>
      </c>
      <c r="P9" s="177" t="s"/>
      <c r="Q9" s="189" t="s"/>
      <c r="R9" s="189" t="s"/>
      <c r="S9" s="189" t="s"/>
      <c r="T9" s="189" t="s"/>
      <c r="U9" s="193" t="s"/>
    </row>
    <row r="10" spans="1:21" ht="36.75" customHeight="true">
      <c r="A10" s="190" t="s"/>
      <c r="B10" s="221" t="s">
        <v>891</v>
      </c>
      <c r="C10" s="184">
        <v>2</v>
      </c>
      <c r="D10" s="185" t="s"/>
      <c r="E10" s="222">
        <v>2026.3</v>
      </c>
      <c r="F10" s="222">
        <v>2026.12</v>
      </c>
      <c r="G10" s="187" t="s">
        <v>240</v>
      </c>
      <c r="H10" s="188" t="s"/>
      <c r="I10" s="188">
        <v>0</v>
      </c>
      <c r="J10" s="188">
        <v>1</v>
      </c>
      <c r="K10" s="188">
        <v>0</v>
      </c>
      <c r="L10" s="188">
        <v>3</v>
      </c>
      <c r="M10" s="188">
        <v>3</v>
      </c>
      <c r="N10" s="182">
        <v>3</v>
      </c>
      <c r="O10" s="182">
        <v>3</v>
      </c>
      <c r="P10" s="182">
        <v>3</v>
      </c>
      <c r="Q10" s="189">
        <v>3</v>
      </c>
      <c r="R10" s="189">
        <v>3</v>
      </c>
      <c r="S10" s="189">
        <v>3</v>
      </c>
      <c r="T10" s="189">
        <v>3</v>
      </c>
      <c r="U10" s="193">
        <v>3</v>
      </c>
    </row>
    <row r="11" spans="1:21" ht="36.75" customHeight="true">
      <c r="A11" s="190" t="s"/>
      <c r="B11" s="217" t="s"/>
      <c r="C11" s="184" t="s"/>
      <c r="D11" s="223" t="s"/>
      <c r="E11" s="224" t="s"/>
      <c r="F11" s="224" t="s"/>
      <c r="G11" s="187" t="s">
        <v>241</v>
      </c>
      <c r="H11" s="188" t="s"/>
      <c r="I11" s="188" t="s"/>
      <c r="J11" s="188" t="s"/>
      <c r="K11" s="188" t="s"/>
      <c r="L11" s="188" t="s"/>
      <c r="M11" s="188" t="s"/>
      <c r="N11" s="182">
        <v>4</v>
      </c>
      <c r="O11" s="182">
        <v>4</v>
      </c>
      <c r="P11" s="182">
        <v>4</v>
      </c>
      <c r="Q11" s="189">
        <v>4</v>
      </c>
      <c r="R11" s="189">
        <v>4</v>
      </c>
      <c r="S11" s="189">
        <v>4</v>
      </c>
      <c r="T11" s="189">
        <v>4</v>
      </c>
      <c r="U11" s="193">
        <v>4</v>
      </c>
    </row>
    <row r="12" spans="1:21" ht="36.75" customHeight="true">
      <c r="A12" s="190" t="s"/>
      <c r="B12" s="212" t="s">
        <v>116</v>
      </c>
      <c r="C12" s="184">
        <v>2</v>
      </c>
      <c r="D12" s="185" t="s">
        <v>177</v>
      </c>
      <c r="E12" s="222" t="s"/>
      <c r="F12" s="222" t="s"/>
      <c r="G12" s="187" t="s">
        <v>240</v>
      </c>
      <c r="H12" s="188">
        <v>0</v>
      </c>
      <c r="I12" s="188" t="s"/>
      <c r="J12" s="188">
        <v>1</v>
      </c>
      <c r="K12" s="188">
        <v>1</v>
      </c>
      <c r="L12" s="188">
        <v>1</v>
      </c>
      <c r="M12" s="188" t="s"/>
      <c r="N12" s="182" t="s"/>
      <c r="O12" s="182" t="s"/>
      <c r="P12" s="182" t="s"/>
      <c r="Q12" s="189" t="s"/>
      <c r="R12" s="189" t="s"/>
      <c r="S12" s="189" t="s"/>
      <c r="T12" s="189" t="s"/>
      <c r="U12" s="193" t="s"/>
    </row>
    <row r="13" spans="1:21" ht="36.75" customHeight="true">
      <c r="A13" s="190" t="s"/>
      <c r="B13" s="225" t="s"/>
      <c r="C13" s="184" t="s"/>
      <c r="D13" s="223" t="s"/>
      <c r="E13" s="224" t="s"/>
      <c r="F13" s="224" t="s"/>
      <c r="G13" s="187" t="s">
        <v>241</v>
      </c>
      <c r="H13" s="188">
        <v>0</v>
      </c>
      <c r="I13" s="188">
        <v>0</v>
      </c>
      <c r="J13" s="188">
        <v>0</v>
      </c>
      <c r="K13" s="188">
        <v>0</v>
      </c>
      <c r="L13" s="188">
        <v>1</v>
      </c>
      <c r="M13" s="188">
        <v>1</v>
      </c>
      <c r="N13" s="182">
        <v>1</v>
      </c>
      <c r="O13" s="182" t="s"/>
      <c r="P13" s="182" t="s"/>
      <c r="Q13" s="189" t="s"/>
      <c r="R13" s="189" t="s"/>
      <c r="S13" s="189" t="s"/>
      <c r="T13" s="189" t="s"/>
      <c r="U13" s="193" t="s"/>
    </row>
    <row r="14" spans="1:21" ht="36.75" customHeight="true">
      <c r="A14" s="190" t="s"/>
      <c r="B14" s="212" t="s">
        <v>247</v>
      </c>
      <c r="C14" s="184">
        <v>3</v>
      </c>
      <c r="D14" s="185" t="s"/>
      <c r="E14" s="222" t="s"/>
      <c r="F14" s="222" t="s"/>
      <c r="G14" s="187" t="s">
        <v>240</v>
      </c>
      <c r="H14" s="188">
        <v>3</v>
      </c>
      <c r="I14" s="188">
        <v>3</v>
      </c>
      <c r="J14" s="188" t="s"/>
      <c r="K14" s="188" t="s"/>
      <c r="L14" s="188" t="s"/>
      <c r="M14" s="188" t="s"/>
      <c r="N14" s="182" t="s"/>
      <c r="O14" s="182" t="s"/>
      <c r="P14" s="182" t="s"/>
      <c r="Q14" s="189" t="s"/>
      <c r="R14" s="189" t="s"/>
      <c r="S14" s="189" t="s"/>
      <c r="T14" s="189" t="s"/>
      <c r="U14" s="193" t="s"/>
    </row>
    <row r="15" spans="1:21" ht="36.75" customHeight="true">
      <c r="A15" s="190" t="s"/>
      <c r="B15" s="225" t="s"/>
      <c r="C15" s="184" t="s"/>
      <c r="D15" s="223" t="s"/>
      <c r="E15" s="224" t="s"/>
      <c r="F15" s="224" t="s"/>
      <c r="G15" s="187" t="s">
        <v>241</v>
      </c>
      <c r="H15" s="188">
        <v>1</v>
      </c>
      <c r="I15" s="188">
        <v>1</v>
      </c>
      <c r="J15" s="188">
        <v>1</v>
      </c>
      <c r="K15" s="188">
        <v>1</v>
      </c>
      <c r="L15" s="188">
        <v>1</v>
      </c>
      <c r="M15" s="188" t="s"/>
      <c r="N15" s="182" t="s"/>
      <c r="O15" s="182" t="s"/>
      <c r="P15" s="182" t="s"/>
      <c r="Q15" s="189" t="s"/>
      <c r="R15" s="189" t="s"/>
      <c r="S15" s="189" t="s"/>
      <c r="T15" s="189" t="s"/>
      <c r="U15" s="193" t="s"/>
    </row>
    <row r="16" spans="1:21" ht="36.75" customHeight="true">
      <c r="A16" s="190" t="s"/>
      <c r="B16" s="212" t="s">
        <v>248</v>
      </c>
      <c r="C16" s="184">
        <v>3</v>
      </c>
      <c r="D16" s="185" t="s"/>
      <c r="E16" s="222" t="s"/>
      <c r="F16" s="222" t="s"/>
      <c r="G16" s="187" t="s">
        <v>240</v>
      </c>
      <c r="H16" s="188" t="s"/>
      <c r="I16" s="188" t="s"/>
      <c r="J16" s="188" t="s"/>
      <c r="K16" s="188" t="s"/>
      <c r="L16" s="188" t="s"/>
      <c r="M16" s="188" t="s"/>
      <c r="N16" s="182" t="s"/>
      <c r="O16" s="182" t="s"/>
      <c r="P16" s="182" t="s"/>
      <c r="Q16" s="189" t="s"/>
      <c r="R16" s="189" t="s"/>
      <c r="S16" s="189" t="s"/>
      <c r="T16" s="189" t="s"/>
      <c r="U16" s="193" t="s"/>
    </row>
    <row r="17" spans="1:21" ht="36.75" customHeight="true">
      <c r="A17" s="190" t="s"/>
      <c r="B17" s="217" t="s"/>
      <c r="C17" s="184" t="s"/>
      <c r="D17" s="223" t="s"/>
      <c r="E17" s="224" t="s"/>
      <c r="F17" s="224" t="s"/>
      <c r="G17" s="187" t="s">
        <v>241</v>
      </c>
      <c r="H17" s="188" t="s"/>
      <c r="I17" s="188" t="s"/>
      <c r="J17" s="188" t="s"/>
      <c r="K17" s="188" t="s"/>
      <c r="L17" s="188" t="s"/>
      <c r="M17" s="188" t="s"/>
      <c r="N17" s="182" t="s"/>
      <c r="O17" s="182" t="s"/>
      <c r="P17" s="182" t="s"/>
      <c r="Q17" s="189" t="s"/>
      <c r="R17" s="189" t="s"/>
      <c r="S17" s="189" t="s"/>
      <c r="T17" s="189" t="s"/>
      <c r="U17" s="193" t="s"/>
    </row>
    <row r="18" spans="1:29" s="683" customFormat="true" ht="29.25" customHeight="true">
      <c r="A18" s="182" t="s"/>
      <c r="B18" s="221" t="s">
        <v>249</v>
      </c>
      <c r="C18" s="226">
        <v>3</v>
      </c>
      <c r="D18" s="227" t="s"/>
      <c r="E18" s="228" t="s"/>
      <c r="F18" s="229" t="s"/>
      <c r="G18" s="187" t="s">
        <v>240</v>
      </c>
      <c r="H18" s="188" t="s"/>
      <c r="I18" s="188" t="s"/>
      <c r="J18" s="188" t="s"/>
      <c r="K18" s="182" t="s"/>
      <c r="L18" s="182" t="s"/>
      <c r="M18" s="182" t="s"/>
      <c r="N18" s="182" t="s"/>
      <c r="O18" s="182" t="s"/>
      <c r="P18" s="182" t="s"/>
      <c r="Q18" s="189" t="s"/>
      <c r="R18" s="189" t="s"/>
      <c r="S18" s="189" t="s"/>
      <c r="T18" s="189" t="s"/>
      <c r="U18" s="193" t="s"/>
      <c r="V18" s="189" t="s"/>
      <c r="W18" s="189" t="s"/>
      <c r="X18" s="190" t="s"/>
      <c r="Y18" s="190" t="s"/>
      <c r="Z18" s="190" t="s"/>
      <c r="AA18" s="190" t="s"/>
      <c r="AB18" s="190" t="s"/>
      <c r="AC18" s="190" t="s"/>
    </row>
    <row r="19" spans="1:29" s="683" customFormat="true" ht="29.25" customHeight="true">
      <c r="A19" s="182" t="s"/>
      <c r="B19" s="221" t="s"/>
      <c r="C19" s="230" t="s"/>
      <c r="D19" s="227" t="s"/>
      <c r="E19" s="228" t="s"/>
      <c r="F19" s="229" t="s"/>
      <c r="G19" s="187" t="s">
        <v>241</v>
      </c>
      <c r="H19" s="188">
        <v>1</v>
      </c>
      <c r="I19" s="188">
        <v>1</v>
      </c>
      <c r="J19" s="188">
        <v>1</v>
      </c>
      <c r="K19" s="188">
        <v>1</v>
      </c>
      <c r="L19" s="188">
        <v>1</v>
      </c>
      <c r="M19" s="188">
        <v>1</v>
      </c>
      <c r="N19" s="182">
        <v>1</v>
      </c>
      <c r="O19" s="182">
        <v>1</v>
      </c>
      <c r="P19" s="182">
        <v>1</v>
      </c>
      <c r="Q19" s="189">
        <v>1</v>
      </c>
      <c r="R19" s="189">
        <v>1</v>
      </c>
      <c r="S19" s="189">
        <v>1</v>
      </c>
      <c r="T19" s="189" t="s"/>
      <c r="U19" s="193" t="s"/>
      <c r="V19" s="189" t="s"/>
      <c r="W19" s="189" t="s"/>
      <c r="X19" s="190" t="s"/>
      <c r="Y19" s="190" t="s"/>
      <c r="Z19" s="190" t="s"/>
      <c r="AA19" s="190" t="s"/>
      <c r="AB19" s="190" t="s"/>
      <c r="AC19" s="190" t="s"/>
    </row>
    <row r="20" spans="1:29" s="683" customFormat="true" ht="29.25" customHeight="true">
      <c r="A20" s="182" t="s"/>
      <c r="B20" s="231" t="s">
        <v>213</v>
      </c>
      <c r="C20" s="232">
        <v>4</v>
      </c>
      <c r="D20" s="233" t="s"/>
      <c r="E20" s="234" t="s"/>
      <c r="F20" s="235" t="s">
        <v>250</v>
      </c>
      <c r="G20" s="236" t="s">
        <v>240</v>
      </c>
      <c r="H20" s="237" t="s"/>
      <c r="I20" s="237" t="s"/>
      <c r="J20" s="237" t="s"/>
      <c r="K20" s="238" t="s"/>
      <c r="L20" s="238" t="s"/>
      <c r="M20" s="238" t="s"/>
      <c r="N20" s="238" t="s"/>
      <c r="O20" s="238">
        <v>3</v>
      </c>
      <c r="P20" s="238">
        <v>3</v>
      </c>
      <c r="Q20" s="239">
        <v>3</v>
      </c>
      <c r="R20" s="239">
        <v>3</v>
      </c>
      <c r="S20" s="239">
        <v>3</v>
      </c>
      <c r="T20" s="239">
        <v>3</v>
      </c>
      <c r="U20" s="240">
        <v>3</v>
      </c>
      <c r="V20" s="239" t="s"/>
      <c r="W20" s="239" t="s"/>
      <c r="X20" s="194" t="s"/>
      <c r="Y20" s="194" t="s"/>
      <c r="Z20" s="194" t="s"/>
      <c r="AA20" s="194" t="s"/>
      <c r="AB20" s="194" t="s"/>
      <c r="AC20" s="194" t="s"/>
    </row>
    <row r="21" spans="1:29" s="683" customFormat="true" ht="29.25" customHeight="true">
      <c r="A21" s="182" t="s"/>
      <c r="B21" s="241" t="s"/>
      <c r="C21" s="242" t="s"/>
      <c r="D21" s="243" t="s"/>
      <c r="E21" s="244" t="s"/>
      <c r="F21" s="245" t="s"/>
      <c r="G21" s="236" t="s">
        <v>241</v>
      </c>
      <c r="H21" s="237" t="s"/>
      <c r="I21" s="237" t="s"/>
      <c r="J21" s="237" t="s"/>
      <c r="K21" s="238" t="s"/>
      <c r="L21" s="238" t="s"/>
      <c r="M21" s="238" t="s"/>
      <c r="N21" s="238" t="s"/>
      <c r="O21" s="238" t="s"/>
      <c r="P21" s="238" t="s"/>
      <c r="Q21" s="239" t="s"/>
      <c r="R21" s="239">
        <v>2</v>
      </c>
      <c r="S21" s="239">
        <v>1</v>
      </c>
      <c r="T21" s="239">
        <v>5</v>
      </c>
      <c r="U21" s="240">
        <v>5</v>
      </c>
      <c r="V21" s="239" t="s"/>
      <c r="W21" s="239" t="s"/>
      <c r="X21" s="194" t="s"/>
      <c r="Y21" s="194" t="s"/>
      <c r="Z21" s="194" t="s"/>
      <c r="AA21" s="194" t="s"/>
      <c r="AB21" s="194" t="s"/>
      <c r="AC21" s="194" t="s"/>
    </row>
    <row r="22" spans="1:29" s="683" customFormat="true" ht="29.25" customHeight="true">
      <c r="A22" s="182" t="s"/>
      <c r="B22" s="246" t="s">
        <v>214</v>
      </c>
      <c r="C22" s="239">
        <v>4</v>
      </c>
      <c r="D22" s="235" t="s"/>
      <c r="E22" s="247">
        <v>46204</v>
      </c>
      <c r="F22" s="247">
        <v>46386</v>
      </c>
      <c r="G22" s="236" t="s">
        <v>240</v>
      </c>
      <c r="H22" s="248" t="s"/>
      <c r="I22" s="248" t="s"/>
      <c r="J22" s="248" t="s"/>
      <c r="K22" s="248" t="s"/>
      <c r="L22" s="248" t="s"/>
      <c r="M22" s="248" t="s"/>
      <c r="N22" s="238" t="s"/>
      <c r="O22" s="238">
        <v>2</v>
      </c>
      <c r="P22" s="238">
        <v>2</v>
      </c>
      <c r="Q22" s="238">
        <v>2</v>
      </c>
      <c r="R22" s="238">
        <v>2</v>
      </c>
      <c r="S22" s="239">
        <v>2</v>
      </c>
      <c r="T22" s="239">
        <v>2</v>
      </c>
      <c r="U22" s="240">
        <v>2</v>
      </c>
      <c r="V22" s="239" t="s"/>
      <c r="W22" s="239" t="s"/>
      <c r="X22" s="194" t="s"/>
      <c r="Y22" s="194" t="s"/>
      <c r="Z22" s="194" t="s"/>
      <c r="AA22" s="194" t="s"/>
      <c r="AB22" s="194" t="s"/>
      <c r="AC22" s="194" t="s"/>
    </row>
    <row r="23" spans="1:29" s="683" customFormat="true" ht="29.25" customHeight="true">
      <c r="A23" s="182" t="s"/>
      <c r="B23" s="246" t="s"/>
      <c r="C23" s="239" t="s"/>
      <c r="D23" s="245" t="s"/>
      <c r="E23" s="194" t="s"/>
      <c r="F23" s="239" t="s"/>
      <c r="G23" s="236" t="s">
        <v>241</v>
      </c>
      <c r="H23" s="249" t="s"/>
      <c r="I23" s="249" t="s"/>
      <c r="J23" s="249" t="s"/>
      <c r="K23" s="249" t="s"/>
      <c r="L23" s="249" t="s"/>
      <c r="M23" s="249" t="s"/>
      <c r="N23" s="250" t="s"/>
      <c r="O23" s="250" t="s"/>
      <c r="P23" s="250" t="s"/>
      <c r="Q23" s="250" t="s"/>
      <c r="R23" s="250" t="s"/>
      <c r="S23" s="239">
        <v>1</v>
      </c>
      <c r="T23" s="239">
        <v>3</v>
      </c>
      <c r="U23" s="239">
        <v>3</v>
      </c>
      <c r="V23" s="239" t="s"/>
      <c r="W23" s="239" t="s"/>
      <c r="X23" s="194" t="s"/>
      <c r="Y23" s="194" t="s"/>
      <c r="Z23" s="194" t="s"/>
      <c r="AA23" s="194" t="s"/>
      <c r="AB23" s="194" t="s"/>
      <c r="AC23" s="194" t="s"/>
    </row>
    <row r="24" spans="1:29" s="683" customFormat="true" ht="29.25" customHeight="true">
      <c r="A24" s="182" t="s"/>
      <c r="B24" s="251" t="s">
        <v>215</v>
      </c>
      <c r="C24" s="236">
        <v>5</v>
      </c>
      <c r="D24" s="252" t="s"/>
      <c r="E24" s="234" t="s"/>
      <c r="F24" s="234" t="s">
        <v>244</v>
      </c>
      <c r="G24" s="236" t="s">
        <v>240</v>
      </c>
      <c r="H24" s="237" t="s"/>
      <c r="I24" s="237" t="s"/>
      <c r="J24" s="237" t="s"/>
      <c r="K24" s="237" t="s"/>
      <c r="L24" s="237" t="s"/>
      <c r="M24" s="237" t="s"/>
      <c r="N24" s="237" t="s"/>
      <c r="O24" s="237" t="s"/>
      <c r="P24" s="237">
        <v>2</v>
      </c>
      <c r="Q24" s="237">
        <v>2</v>
      </c>
      <c r="R24" s="238">
        <v>2</v>
      </c>
      <c r="S24" s="238">
        <v>2</v>
      </c>
      <c r="T24" s="239">
        <v>2</v>
      </c>
      <c r="U24" s="239">
        <v>2</v>
      </c>
      <c r="V24" s="239" t="s"/>
      <c r="W24" s="239" t="s"/>
      <c r="X24" s="194" t="s"/>
      <c r="Y24" s="194" t="s"/>
      <c r="Z24" s="194" t="s"/>
      <c r="AA24" s="194" t="s"/>
      <c r="AB24" s="194" t="s"/>
      <c r="AC24" s="194" t="s"/>
    </row>
    <row r="25" spans="1:29" s="683" customFormat="true" ht="29.25" customHeight="true">
      <c r="A25" s="182" t="s"/>
      <c r="B25" s="253" t="s"/>
      <c r="C25" s="236" t="s"/>
      <c r="D25" s="254" t="s"/>
      <c r="E25" s="255" t="s"/>
      <c r="F25" s="255" t="s"/>
      <c r="G25" s="236" t="s">
        <v>241</v>
      </c>
      <c r="H25" s="237" t="s"/>
      <c r="I25" s="237" t="s"/>
      <c r="J25" s="237" t="s"/>
      <c r="K25" s="237" t="s"/>
      <c r="L25" s="237" t="s"/>
      <c r="M25" s="237" t="s"/>
      <c r="N25" s="237" t="s"/>
      <c r="O25" s="237" t="s"/>
      <c r="P25" s="237" t="s"/>
      <c r="Q25" s="237" t="s"/>
      <c r="R25" s="237" t="s"/>
      <c r="S25" s="237">
        <v>1</v>
      </c>
      <c r="T25" s="239">
        <v>3</v>
      </c>
      <c r="U25" s="239">
        <v>3</v>
      </c>
      <c r="V25" s="256" t="s"/>
      <c r="W25" s="256" t="s"/>
      <c r="X25" s="257" t="s"/>
      <c r="Y25" s="257" t="s"/>
      <c r="Z25" s="257" t="s"/>
      <c r="AA25" s="257" t="s"/>
      <c r="AB25" s="257" t="s"/>
      <c r="AC25" s="257" t="s"/>
    </row>
    <row r="26" spans="1:29" s="683" customFormat="true" ht="29.25" customHeight="true">
      <c r="A26" s="182" t="s"/>
      <c r="B26" s="258" t="s">
        <v>251</v>
      </c>
      <c r="C26" s="239">
        <v>5</v>
      </c>
      <c r="D26" s="259" t="s"/>
      <c r="E26" s="234" t="s"/>
      <c r="F26" s="234" t="s"/>
      <c r="G26" s="236" t="s">
        <v>240</v>
      </c>
      <c r="H26" s="237" t="s"/>
      <c r="I26" s="237" t="s"/>
      <c r="J26" s="237" t="s"/>
      <c r="K26" s="237" t="s"/>
      <c r="L26" s="237" t="s"/>
      <c r="M26" s="237" t="s"/>
      <c r="N26" s="237" t="s"/>
      <c r="O26" s="237" t="s"/>
      <c r="P26" s="237" t="s"/>
      <c r="Q26" s="237" t="s"/>
      <c r="R26" s="237" t="s"/>
      <c r="S26" s="237" t="s"/>
      <c r="T26" s="237" t="s"/>
      <c r="U26" s="239" t="s"/>
      <c r="V26" s="239" t="s"/>
      <c r="W26" s="239" t="s"/>
      <c r="X26" s="194" t="s"/>
      <c r="Y26" s="194" t="s"/>
      <c r="Z26" s="194" t="s"/>
      <c r="AA26" s="194" t="s"/>
      <c r="AB26" s="194" t="s"/>
      <c r="AC26" s="194" t="s"/>
    </row>
    <row r="27" spans="1:29" s="683" customFormat="true" ht="29.25" customHeight="true">
      <c r="A27" s="182" t="s"/>
      <c r="B27" s="260" t="s"/>
      <c r="C27" s="239" t="s"/>
      <c r="D27" s="261" t="s"/>
      <c r="E27" s="255" t="s"/>
      <c r="F27" s="255" t="s"/>
      <c r="G27" s="236" t="s">
        <v>241</v>
      </c>
      <c r="H27" s="237" t="s"/>
      <c r="I27" s="237" t="s"/>
      <c r="J27" s="237" t="s"/>
      <c r="K27" s="237" t="s"/>
      <c r="L27" s="237" t="s"/>
      <c r="M27" s="237" t="s"/>
      <c r="N27" s="237" t="s"/>
      <c r="O27" s="237" t="s"/>
      <c r="P27" s="237" t="s"/>
      <c r="Q27" s="237" t="s"/>
      <c r="R27" s="237" t="s"/>
      <c r="S27" s="237" t="s"/>
      <c r="T27" s="239" t="s"/>
      <c r="U27" s="239" t="s"/>
      <c r="V27" s="256" t="s"/>
      <c r="W27" s="256" t="s"/>
      <c r="X27" s="257" t="s"/>
      <c r="Y27" s="257" t="s"/>
      <c r="Z27" s="257" t="s"/>
      <c r="AA27" s="257" t="s"/>
      <c r="AB27" s="257" t="s"/>
      <c r="AC27" s="257" t="s"/>
    </row>
    <row r="28" spans="1:29" ht="29.25" customHeight="true">
      <c r="A28" s="182" t="s"/>
      <c r="B28" s="262" t="s">
        <v>252</v>
      </c>
      <c r="C28" s="263">
        <v>6</v>
      </c>
      <c r="D28" s="264" t="s"/>
      <c r="E28" s="265" t="s">
        <v>253</v>
      </c>
      <c r="F28" s="265" t="s">
        <v>253</v>
      </c>
      <c r="G28" s="263" t="s">
        <v>240</v>
      </c>
      <c r="H28" s="266" t="s"/>
      <c r="I28" s="266" t="s"/>
      <c r="J28" s="266" t="s"/>
      <c r="K28" s="266" t="s"/>
      <c r="L28" s="266" t="s"/>
      <c r="M28" s="266" t="s"/>
      <c r="N28" s="266" t="s"/>
      <c r="O28" s="266" t="s"/>
      <c r="P28" s="266" t="s"/>
      <c r="Q28" s="266" t="s"/>
      <c r="R28" s="266" t="s"/>
      <c r="S28" s="266" t="s"/>
      <c r="T28" s="266" t="s"/>
      <c r="U28" s="266" t="s"/>
      <c r="V28" s="266" t="s"/>
      <c r="W28" s="266" t="s"/>
      <c r="X28" s="267" t="s"/>
      <c r="Y28" s="267" t="s"/>
      <c r="Z28" s="267" t="s"/>
      <c r="AA28" s="267" t="s"/>
      <c r="AB28" s="267" t="s"/>
      <c r="AC28" s="267" t="s"/>
    </row>
    <row r="29" spans="1:29" ht="27" customHeight="true">
      <c r="A29" s="190" t="s"/>
      <c r="B29" s="268" t="s"/>
      <c r="C29" s="263" t="s"/>
      <c r="D29" s="269" t="s"/>
      <c r="E29" s="267" t="s"/>
      <c r="F29" s="270" t="s"/>
      <c r="G29" s="263" t="s">
        <v>241</v>
      </c>
      <c r="H29" s="266" t="s"/>
      <c r="I29" s="266" t="s"/>
      <c r="J29" s="266" t="s"/>
      <c r="K29" s="266" t="s"/>
      <c r="L29" s="266" t="s"/>
      <c r="M29" s="266" t="s"/>
      <c r="N29" s="266" t="s"/>
      <c r="O29" s="266" t="s"/>
      <c r="P29" s="266" t="s"/>
      <c r="Q29" s="271" t="s"/>
      <c r="R29" s="271" t="s"/>
      <c r="S29" s="271" t="s"/>
      <c r="T29" s="272" t="s"/>
      <c r="U29" s="272" t="s"/>
      <c r="V29" s="272" t="s"/>
      <c r="W29" s="270" t="s"/>
      <c r="X29" s="270" t="s"/>
      <c r="Y29" s="270" t="s"/>
      <c r="Z29" s="267" t="s"/>
      <c r="AA29" s="267" t="s"/>
      <c r="AB29" s="267" t="s"/>
      <c r="AC29" s="267" t="s"/>
    </row>
    <row r="30" spans="1:29" ht="37.5" customHeight="true">
      <c r="A30" s="190" t="s"/>
      <c r="B30" s="262" t="s">
        <v>254</v>
      </c>
      <c r="C30" s="263">
        <v>6</v>
      </c>
      <c r="D30" s="264" t="s"/>
      <c r="E30" s="265" t="s">
        <v>253</v>
      </c>
      <c r="F30" s="265" t="s">
        <v>253</v>
      </c>
      <c r="G30" s="263" t="s">
        <v>240</v>
      </c>
      <c r="H30" s="271" t="s"/>
      <c r="I30" s="273" t="s"/>
      <c r="J30" s="273" t="s"/>
      <c r="K30" s="271" t="s"/>
      <c r="L30" s="271" t="s"/>
      <c r="M30" s="271" t="s"/>
      <c r="N30" s="271" t="s"/>
      <c r="O30" s="271" t="s"/>
      <c r="P30" s="271" t="s"/>
      <c r="Q30" s="272" t="s"/>
      <c r="R30" s="272" t="s"/>
      <c r="S30" s="272" t="s"/>
      <c r="T30" s="271" t="s"/>
      <c r="U30" s="272" t="s"/>
      <c r="V30" s="272" t="s"/>
      <c r="W30" s="272" t="s"/>
      <c r="X30" s="267" t="s"/>
      <c r="Y30" s="267" t="s"/>
      <c r="Z30" s="267" t="s"/>
      <c r="AA30" s="267" t="s"/>
      <c r="AB30" s="267" t="s"/>
      <c r="AC30" s="267" t="s"/>
    </row>
    <row r="31" spans="1:29" ht="37" customHeight="true">
      <c r="A31" s="190" t="s"/>
      <c r="B31" s="274" t="s"/>
      <c r="C31" s="263" t="s"/>
      <c r="D31" s="269" t="s"/>
      <c r="E31" s="267" t="s"/>
      <c r="F31" s="270" t="s"/>
      <c r="G31" s="263" t="s">
        <v>241</v>
      </c>
      <c r="H31" s="271" t="s"/>
      <c r="I31" s="271" t="s"/>
      <c r="J31" s="271" t="s"/>
      <c r="K31" s="271" t="s"/>
      <c r="L31" s="271" t="s"/>
      <c r="M31" s="271" t="s"/>
      <c r="N31" s="272" t="s"/>
      <c r="O31" s="272" t="s"/>
      <c r="P31" s="272" t="s"/>
      <c r="Q31" s="270" t="s"/>
      <c r="R31" s="270" t="s"/>
      <c r="S31" s="270" t="s"/>
      <c r="T31" s="272" t="s"/>
      <c r="U31" s="272" t="s"/>
      <c r="V31" s="272" t="s"/>
      <c r="W31" s="270" t="s"/>
      <c r="X31" s="270" t="s"/>
      <c r="Y31" s="270" t="s"/>
      <c r="Z31" s="267" t="s"/>
      <c r="AA31" s="267" t="s"/>
      <c r="AB31" s="267" t="s"/>
      <c r="AC31" s="267" t="s"/>
    </row>
    <row r="32" spans="1:29" s="682" customFormat="true" ht="31.5" customHeight="true">
      <c r="A32" s="238" t="s"/>
      <c r="B32" s="262" t="s">
        <v>216</v>
      </c>
      <c r="C32" s="263">
        <v>6</v>
      </c>
      <c r="D32" s="264" t="s"/>
      <c r="E32" s="275" t="s">
        <v>253</v>
      </c>
      <c r="F32" s="265" t="s">
        <v>253</v>
      </c>
      <c r="G32" s="263" t="s">
        <v>240</v>
      </c>
      <c r="H32" s="271" t="s"/>
      <c r="I32" s="271" t="s"/>
      <c r="J32" s="271" t="s"/>
      <c r="K32" s="271" t="s"/>
      <c r="L32" s="271" t="s"/>
      <c r="M32" s="271" t="s"/>
      <c r="N32" s="272" t="s"/>
      <c r="O32" s="272">
        <v>1</v>
      </c>
      <c r="P32" s="272">
        <v>1</v>
      </c>
      <c r="Q32" s="270">
        <v>1</v>
      </c>
      <c r="R32" s="270">
        <v>1</v>
      </c>
      <c r="S32" s="270">
        <v>1</v>
      </c>
      <c r="T32" s="270" t="s"/>
      <c r="U32" s="276" t="s"/>
      <c r="V32" s="270" t="s"/>
      <c r="W32" s="270" t="s"/>
      <c r="X32" s="267" t="s"/>
      <c r="Y32" s="267" t="s"/>
      <c r="Z32" s="267" t="s"/>
      <c r="AA32" s="267" t="s"/>
      <c r="AB32" s="267" t="s"/>
      <c r="AC32" s="267" t="s"/>
    </row>
    <row r="33" spans="1:29" s="682" customFormat="true" ht="32.25" customHeight="true">
      <c r="A33" s="194" t="s"/>
      <c r="B33" s="274" t="s"/>
      <c r="C33" s="263" t="s"/>
      <c r="D33" s="269" t="s"/>
      <c r="E33" s="274" t="s"/>
      <c r="F33" s="270" t="s"/>
      <c r="G33" s="263" t="s">
        <v>241</v>
      </c>
      <c r="H33" s="271" t="s"/>
      <c r="I33" s="271" t="s"/>
      <c r="J33" s="271" t="s"/>
      <c r="K33" s="271" t="s"/>
      <c r="L33" s="271" t="s"/>
      <c r="M33" s="271" t="s"/>
      <c r="N33" s="272" t="s"/>
      <c r="O33" s="272">
        <v>0</v>
      </c>
      <c r="P33" s="272">
        <v>2</v>
      </c>
      <c r="Q33" s="270">
        <v>2</v>
      </c>
      <c r="R33" s="270">
        <v>2</v>
      </c>
      <c r="S33" s="270">
        <v>2</v>
      </c>
      <c r="T33" s="270" t="s"/>
      <c r="U33" s="276" t="s"/>
      <c r="V33" s="270" t="s"/>
      <c r="W33" s="270" t="s"/>
      <c r="X33" s="267" t="s"/>
      <c r="Y33" s="267" t="s"/>
      <c r="Z33" s="267" t="s"/>
      <c r="AA33" s="267" t="s"/>
      <c r="AB33" s="267" t="s"/>
      <c r="AC33" s="267" t="s"/>
    </row>
    <row r="34" spans="1:29" s="682" customFormat="true" ht="39.75" customHeight="true">
      <c r="A34" s="238" t="s"/>
      <c r="B34" s="262" t="s">
        <v>158</v>
      </c>
      <c r="C34" s="277">
        <v>7</v>
      </c>
      <c r="D34" s="278" t="s"/>
      <c r="E34" s="275" t="s">
        <v>253</v>
      </c>
      <c r="F34" s="265" t="s">
        <v>253</v>
      </c>
      <c r="G34" s="263" t="s">
        <v>240</v>
      </c>
      <c r="H34" s="277" t="s"/>
      <c r="I34" s="277" t="s"/>
      <c r="J34" s="277" t="s"/>
      <c r="K34" s="277" t="s"/>
      <c r="L34" s="277" t="s"/>
      <c r="M34" s="277" t="s"/>
      <c r="N34" s="277" t="s"/>
      <c r="O34" s="277" t="s"/>
      <c r="P34" s="277" t="s"/>
      <c r="Q34" s="277" t="s"/>
      <c r="R34" s="277" t="s"/>
      <c r="S34" s="277" t="s"/>
      <c r="T34" s="277" t="s"/>
      <c r="U34" s="276" t="s"/>
      <c r="V34" s="270" t="s"/>
      <c r="W34" s="270" t="s"/>
      <c r="X34" s="270" t="s"/>
      <c r="Y34" s="270" t="s"/>
      <c r="Z34" s="270" t="s"/>
      <c r="AA34" s="270" t="s"/>
      <c r="AB34" s="270" t="s"/>
      <c r="AC34" s="267" t="s"/>
    </row>
    <row r="35" spans="1:29" s="682" customFormat="true" ht="24.75" customHeight="true">
      <c r="A35" s="194" t="s"/>
      <c r="B35" s="268" t="s"/>
      <c r="C35" s="277" t="s"/>
      <c r="D35" s="279" t="s"/>
      <c r="E35" s="274" t="s"/>
      <c r="F35" s="270" t="s"/>
      <c r="G35" s="263" t="s">
        <v>241</v>
      </c>
      <c r="H35" s="272" t="s"/>
      <c r="I35" s="272" t="s"/>
      <c r="J35" s="272" t="s"/>
      <c r="K35" s="272" t="s"/>
      <c r="L35" s="272" t="s"/>
      <c r="M35" s="272" t="s"/>
      <c r="N35" s="272" t="s"/>
      <c r="O35" s="272" t="s"/>
      <c r="P35" s="272" t="s"/>
      <c r="Q35" s="272" t="s"/>
      <c r="R35" s="270" t="s"/>
      <c r="S35" s="270" t="s"/>
      <c r="T35" s="270" t="s"/>
      <c r="U35" s="276" t="s"/>
      <c r="V35" s="270" t="s"/>
      <c r="W35" s="270" t="s"/>
      <c r="X35" s="267" t="s"/>
      <c r="Y35" s="267" t="s"/>
      <c r="Z35" s="267" t="s"/>
      <c r="AA35" s="267" t="s"/>
      <c r="AB35" s="267" t="s"/>
      <c r="AC35" s="267" t="s"/>
    </row>
    <row r="36" spans="1:29" s="684" customFormat="true" ht="24.75" customHeight="true">
      <c r="A36" s="280" t="s"/>
      <c r="B36" s="281" t="s">
        <v>255</v>
      </c>
      <c r="C36" s="282">
        <v>8</v>
      </c>
      <c r="D36" s="283" t="s"/>
      <c r="E36" s="275" t="s">
        <v>253</v>
      </c>
      <c r="F36" s="275" t="s">
        <v>253</v>
      </c>
      <c r="G36" s="263" t="s">
        <v>240</v>
      </c>
      <c r="H36" s="272" t="s"/>
      <c r="I36" s="272" t="s"/>
      <c r="J36" s="272" t="s"/>
      <c r="K36" s="272" t="s"/>
      <c r="L36" s="272" t="s"/>
      <c r="M36" s="272" t="s"/>
      <c r="N36" s="272" t="s"/>
      <c r="O36" s="272" t="s"/>
      <c r="P36" s="272" t="s"/>
      <c r="Q36" s="272" t="s"/>
      <c r="R36" s="272" t="s"/>
      <c r="S36" s="272" t="s"/>
      <c r="T36" s="270" t="s"/>
      <c r="U36" s="276" t="s"/>
      <c r="V36" s="270" t="s"/>
      <c r="W36" s="270" t="s"/>
      <c r="X36" s="267" t="s"/>
      <c r="Y36" s="267" t="s"/>
      <c r="Z36" s="267" t="s"/>
      <c r="AA36" s="267" t="s"/>
      <c r="AB36" s="267" t="s"/>
      <c r="AC36" s="267" t="s"/>
    </row>
    <row r="37" spans="1:29" s="684" customFormat="true" ht="24.75" customHeight="true">
      <c r="A37" s="280" t="s"/>
      <c r="B37" s="284" t="s"/>
      <c r="C37" s="285" t="s"/>
      <c r="D37" s="286" t="s"/>
      <c r="E37" s="274" t="s"/>
      <c r="F37" s="274" t="s"/>
      <c r="G37" s="263" t="s">
        <v>241</v>
      </c>
      <c r="H37" s="272" t="s"/>
      <c r="I37" s="272" t="s"/>
      <c r="J37" s="272" t="s"/>
      <c r="K37" s="272" t="s"/>
      <c r="L37" s="272" t="s"/>
      <c r="M37" s="272" t="s"/>
      <c r="N37" s="272" t="s"/>
      <c r="O37" s="272" t="s"/>
      <c r="P37" s="272" t="s"/>
      <c r="Q37" s="272" t="s"/>
      <c r="R37" s="272" t="s"/>
      <c r="S37" s="272" t="s"/>
      <c r="T37" s="270" t="s"/>
      <c r="U37" s="276" t="s"/>
      <c r="V37" s="270" t="s"/>
      <c r="W37" s="270" t="s"/>
      <c r="X37" s="267" t="s"/>
      <c r="Y37" s="267" t="s"/>
      <c r="Z37" s="267" t="s"/>
      <c r="AA37" s="267" t="s"/>
      <c r="AB37" s="267" t="s"/>
      <c r="AC37" s="267" t="s"/>
    </row>
    <row r="38" spans="1:29" s="684" customFormat="true" ht="24.75" customHeight="true">
      <c r="A38" s="287" t="s"/>
      <c r="B38" s="262" t="s">
        <v>256</v>
      </c>
      <c r="C38" s="263">
        <v>8</v>
      </c>
      <c r="D38" s="264" t="s"/>
      <c r="E38" s="275" t="s">
        <v>253</v>
      </c>
      <c r="F38" s="265" t="s">
        <v>253</v>
      </c>
      <c r="G38" s="263" t="s">
        <v>240</v>
      </c>
      <c r="H38" s="272" t="s"/>
      <c r="I38" s="272" t="s"/>
      <c r="J38" s="272" t="s"/>
      <c r="K38" s="272" t="s"/>
      <c r="L38" s="272" t="s"/>
      <c r="M38" s="272" t="s"/>
      <c r="N38" s="272" t="s"/>
      <c r="O38" s="272" t="s"/>
      <c r="P38" s="272" t="s"/>
      <c r="Q38" s="270" t="s"/>
      <c r="R38" s="270" t="s"/>
      <c r="S38" s="270" t="s"/>
      <c r="T38" s="270" t="s"/>
      <c r="U38" s="276" t="s"/>
      <c r="V38" s="270" t="s"/>
      <c r="W38" s="270" t="s"/>
      <c r="X38" s="267" t="s"/>
      <c r="Y38" s="267" t="s"/>
      <c r="Z38" s="267" t="s"/>
      <c r="AA38" s="267" t="s"/>
      <c r="AB38" s="267" t="s"/>
      <c r="AC38" s="267" t="s"/>
    </row>
    <row r="39" spans="1:29" s="684" customFormat="true" ht="24.75" customHeight="true">
      <c r="A39" s="280" t="s"/>
      <c r="B39" s="268" t="s"/>
      <c r="C39" s="263" t="s"/>
      <c r="D39" s="269" t="s"/>
      <c r="E39" s="274" t="s"/>
      <c r="F39" s="270" t="s"/>
      <c r="G39" s="263" t="s">
        <v>241</v>
      </c>
      <c r="H39" s="272" t="s"/>
      <c r="I39" s="272" t="s"/>
      <c r="J39" s="272" t="s"/>
      <c r="K39" s="272" t="s"/>
      <c r="L39" s="272" t="s"/>
      <c r="M39" s="272" t="s"/>
      <c r="N39" s="272" t="s"/>
      <c r="O39" s="272" t="s"/>
      <c r="P39" s="272" t="s"/>
      <c r="Q39" s="270" t="s"/>
      <c r="R39" s="270" t="s"/>
      <c r="S39" s="270" t="s"/>
      <c r="T39" s="270" t="s"/>
      <c r="U39" s="276" t="s"/>
      <c r="V39" s="270" t="s"/>
      <c r="W39" s="270" t="s"/>
      <c r="X39" s="267" t="s"/>
      <c r="Y39" s="267" t="s"/>
      <c r="Z39" s="267" t="s"/>
      <c r="AA39" s="267" t="s"/>
      <c r="AB39" s="267" t="s"/>
      <c r="AC39" s="267" t="s"/>
    </row>
    <row r="40" spans="1:29" s="682" customFormat="true" ht="24.75" customHeight="true">
      <c r="A40" s="194" t="s"/>
      <c r="B40" s="281" t="s">
        <v>257</v>
      </c>
      <c r="C40" s="288">
        <v>8</v>
      </c>
      <c r="D40" s="289" t="s"/>
      <c r="E40" s="290" t="s">
        <v>253</v>
      </c>
      <c r="F40" s="291" t="s">
        <v>253</v>
      </c>
      <c r="G40" s="263" t="s">
        <v>240</v>
      </c>
      <c r="H40" s="272" t="s"/>
      <c r="I40" s="272" t="s"/>
      <c r="J40" s="272" t="s"/>
      <c r="K40" s="272" t="s"/>
      <c r="L40" s="272" t="s"/>
      <c r="M40" s="272" t="s"/>
      <c r="N40" s="272" t="s"/>
      <c r="O40" s="272" t="s"/>
      <c r="P40" s="272" t="s"/>
      <c r="Q40" s="270" t="s"/>
      <c r="R40" s="270" t="s"/>
      <c r="S40" s="270" t="s"/>
      <c r="T40" s="270" t="s"/>
      <c r="U40" s="276" t="s"/>
      <c r="V40" s="270" t="s"/>
      <c r="W40" s="270" t="s"/>
      <c r="X40" s="267" t="s"/>
      <c r="Y40" s="267" t="s"/>
      <c r="Z40" s="267" t="s"/>
      <c r="AA40" s="267" t="s"/>
      <c r="AB40" s="267" t="s"/>
      <c r="AC40" s="267" t="s"/>
    </row>
    <row r="41" spans="1:29" s="682" customFormat="true" ht="24.75" customHeight="true">
      <c r="A41" s="194" t="s"/>
      <c r="B41" s="284" t="s"/>
      <c r="C41" s="288" t="s"/>
      <c r="D41" s="292" t="s"/>
      <c r="E41" s="293" t="s"/>
      <c r="F41" s="294" t="s"/>
      <c r="G41" s="263" t="s">
        <v>241</v>
      </c>
      <c r="H41" s="272" t="s"/>
      <c r="I41" s="272" t="s"/>
      <c r="J41" s="272" t="s"/>
      <c r="K41" s="272" t="s"/>
      <c r="L41" s="272" t="s"/>
      <c r="M41" s="272" t="s"/>
      <c r="N41" s="272" t="s"/>
      <c r="O41" s="272" t="s"/>
      <c r="P41" s="272" t="s"/>
      <c r="Q41" s="270" t="s"/>
      <c r="R41" s="270" t="s"/>
      <c r="S41" s="270" t="s"/>
      <c r="T41" s="270" t="s"/>
      <c r="U41" s="276" t="s"/>
      <c r="V41" s="270" t="s"/>
      <c r="W41" s="270" t="s"/>
      <c r="X41" s="267" t="s"/>
      <c r="Y41" s="267" t="s"/>
      <c r="Z41" s="267" t="s"/>
      <c r="AA41" s="267" t="s"/>
      <c r="AB41" s="267" t="s"/>
      <c r="AC41" s="267" t="s"/>
    </row>
    <row r="42" spans="1:21" ht="13.5" customHeight="true">
      <c r="A42" s="295" t="s"/>
      <c r="B42" s="296" t="s"/>
      <c r="C42" s="187">
        <v>1</v>
      </c>
      <c r="D42" s="297" t="s">
        <v>258</v>
      </c>
      <c r="E42" s="298" t="s">
        <v>259</v>
      </c>
      <c r="F42" s="187" t="s">
        <v>259</v>
      </c>
      <c r="G42" s="182" t="s">
        <v>240</v>
      </c>
      <c r="H42" s="188">
        <v>2</v>
      </c>
      <c r="I42" s="188">
        <v>2</v>
      </c>
      <c r="J42" s="188">
        <v>2</v>
      </c>
      <c r="K42" s="188">
        <v>2</v>
      </c>
      <c r="L42" s="188">
        <v>1</v>
      </c>
      <c r="M42" s="188">
        <v>1</v>
      </c>
      <c r="N42" s="188">
        <v>1</v>
      </c>
      <c r="O42" s="188">
        <v>1</v>
      </c>
      <c r="P42" s="188">
        <v>1</v>
      </c>
      <c r="Q42" s="188">
        <v>1</v>
      </c>
      <c r="R42" s="188">
        <v>1</v>
      </c>
      <c r="S42" s="188">
        <v>1</v>
      </c>
      <c r="T42" s="188">
        <v>1</v>
      </c>
      <c r="U42" s="188">
        <v>1</v>
      </c>
    </row>
    <row r="43" spans="1:21" ht="13.5" customHeight="true">
      <c r="A43" s="295" t="s"/>
      <c r="B43" s="296" t="s"/>
      <c r="C43" s="187">
        <v>1</v>
      </c>
      <c r="D43" s="297" t="s">
        <v>260</v>
      </c>
      <c r="E43" s="298" t="s">
        <v>259</v>
      </c>
      <c r="F43" s="187" t="s">
        <v>259</v>
      </c>
      <c r="G43" s="182" t="s">
        <v>241</v>
      </c>
      <c r="H43" s="188">
        <v>1</v>
      </c>
      <c r="I43" s="188">
        <v>1</v>
      </c>
      <c r="J43" s="188">
        <v>1</v>
      </c>
      <c r="K43" s="188">
        <v>1</v>
      </c>
      <c r="L43" s="188">
        <v>1</v>
      </c>
      <c r="M43" s="188">
        <v>1</v>
      </c>
      <c r="N43" s="188">
        <v>1</v>
      </c>
      <c r="O43" s="188">
        <v>1</v>
      </c>
      <c r="P43" s="188">
        <v>1</v>
      </c>
      <c r="Q43" s="188">
        <v>1</v>
      </c>
      <c r="R43" s="188">
        <v>1</v>
      </c>
      <c r="S43" s="188">
        <v>1</v>
      </c>
      <c r="T43" s="188">
        <v>1</v>
      </c>
      <c r="U43" s="299">
        <v>1</v>
      </c>
    </row>
    <row r="44" spans="1:21" ht="13.5" customHeight="true">
      <c r="A44" s="295" t="s"/>
      <c r="B44" s="296" t="s"/>
      <c r="C44" s="187">
        <v>1</v>
      </c>
      <c r="D44" s="297" t="s">
        <v>261</v>
      </c>
      <c r="E44" s="298" t="s">
        <v>259</v>
      </c>
      <c r="F44" s="187" t="s">
        <v>259</v>
      </c>
      <c r="G44" s="182" t="s">
        <v>240</v>
      </c>
      <c r="H44" s="188">
        <v>1</v>
      </c>
      <c r="I44" s="188">
        <v>2</v>
      </c>
      <c r="J44" s="188">
        <v>2</v>
      </c>
      <c r="K44" s="188">
        <v>2</v>
      </c>
      <c r="L44" s="188">
        <v>3</v>
      </c>
      <c r="M44" s="188">
        <v>3</v>
      </c>
      <c r="N44" s="188">
        <v>3</v>
      </c>
      <c r="O44" s="188">
        <v>3</v>
      </c>
      <c r="P44" s="188">
        <v>3</v>
      </c>
      <c r="Q44" s="188">
        <v>3</v>
      </c>
      <c r="R44" s="188">
        <v>3</v>
      </c>
      <c r="S44" s="188">
        <v>3</v>
      </c>
      <c r="T44" s="188">
        <v>3</v>
      </c>
      <c r="U44" s="188">
        <v>3</v>
      </c>
    </row>
    <row r="45" spans="1:21" ht="13.5" customHeight="true">
      <c r="A45" s="295" t="s"/>
      <c r="B45" s="296" t="s"/>
      <c r="C45" s="187">
        <v>1</v>
      </c>
      <c r="D45" s="297" t="s">
        <v>262</v>
      </c>
      <c r="E45" s="298" t="s">
        <v>259</v>
      </c>
      <c r="F45" s="187" t="s">
        <v>259</v>
      </c>
      <c r="G45" s="182" t="s">
        <v>241</v>
      </c>
      <c r="H45" s="188">
        <v>1</v>
      </c>
      <c r="I45" s="188">
        <v>1</v>
      </c>
      <c r="J45" s="188">
        <v>1</v>
      </c>
      <c r="K45" s="188">
        <v>1</v>
      </c>
      <c r="L45" s="188">
        <v>1</v>
      </c>
      <c r="M45" s="188">
        <v>1</v>
      </c>
      <c r="N45" s="188">
        <v>1</v>
      </c>
      <c r="O45" s="188">
        <v>1</v>
      </c>
      <c r="P45" s="188">
        <v>1</v>
      </c>
      <c r="Q45" s="188">
        <v>1</v>
      </c>
      <c r="R45" s="188">
        <v>1</v>
      </c>
      <c r="S45" s="188">
        <v>1</v>
      </c>
      <c r="T45" s="188">
        <v>1</v>
      </c>
      <c r="U45" s="299">
        <v>1</v>
      </c>
    </row>
    <row r="46" spans="1:29" ht="13.5" customHeight="true">
      <c r="A46" s="295" t="s"/>
      <c r="B46" s="296" t="s"/>
      <c r="C46" s="187">
        <v>1</v>
      </c>
      <c r="D46" s="297" t="s">
        <v>263</v>
      </c>
      <c r="E46" s="298" t="s">
        <v>259</v>
      </c>
      <c r="F46" s="187" t="s">
        <v>259</v>
      </c>
      <c r="G46" s="182" t="s">
        <v>240</v>
      </c>
      <c r="H46" s="300" t="s"/>
      <c r="I46" s="300" t="s"/>
      <c r="J46" s="300" t="s"/>
      <c r="K46" s="300" t="s"/>
      <c r="L46" s="300">
        <v>2</v>
      </c>
      <c r="M46" s="300">
        <v>3</v>
      </c>
      <c r="N46" s="300">
        <v>3</v>
      </c>
      <c r="O46" s="300">
        <v>4</v>
      </c>
      <c r="P46" s="300">
        <v>4</v>
      </c>
      <c r="Q46" s="300">
        <v>4</v>
      </c>
      <c r="R46" s="300">
        <v>4</v>
      </c>
      <c r="S46" s="300">
        <v>4</v>
      </c>
      <c r="T46" s="300">
        <v>4</v>
      </c>
      <c r="U46" s="300">
        <v>4</v>
      </c>
      <c r="V46" s="300" t="s"/>
      <c r="W46" s="300" t="s"/>
      <c r="X46" s="300" t="s"/>
      <c r="Y46" s="300" t="s"/>
      <c r="Z46" s="301" t="s"/>
      <c r="AA46" s="301" t="s"/>
      <c r="AB46" s="301" t="s"/>
      <c r="AC46" s="301" t="s"/>
    </row>
    <row r="47" spans="1:21" ht="13.5" customHeight="true">
      <c r="A47" s="295" t="s"/>
      <c r="B47" s="296" t="s"/>
      <c r="C47" s="187">
        <v>1</v>
      </c>
      <c r="D47" s="297" t="s">
        <v>264</v>
      </c>
      <c r="E47" s="298" t="s">
        <v>259</v>
      </c>
      <c r="F47" s="187" t="s">
        <v>259</v>
      </c>
      <c r="G47" s="182" t="s">
        <v>240</v>
      </c>
      <c r="H47" s="188">
        <v>1</v>
      </c>
      <c r="I47" s="188">
        <v>1</v>
      </c>
      <c r="J47" s="188">
        <v>1</v>
      </c>
      <c r="K47" s="188">
        <v>1</v>
      </c>
      <c r="L47" s="188">
        <v>1</v>
      </c>
      <c r="M47" s="188">
        <v>1</v>
      </c>
      <c r="N47" s="188">
        <v>1</v>
      </c>
      <c r="O47" s="188">
        <v>1</v>
      </c>
      <c r="P47" s="188">
        <v>1</v>
      </c>
      <c r="Q47" s="188">
        <v>1</v>
      </c>
      <c r="R47" s="188">
        <v>1</v>
      </c>
      <c r="S47" s="188">
        <v>1</v>
      </c>
      <c r="T47" s="188">
        <v>1</v>
      </c>
      <c r="U47" s="299">
        <v>1</v>
      </c>
    </row>
    <row r="48" spans="1:21" ht="13.5" customHeight="true">
      <c r="A48" s="295" t="s"/>
      <c r="B48" s="296" t="s"/>
      <c r="C48" s="187">
        <v>1</v>
      </c>
      <c r="D48" s="297" t="s">
        <v>265</v>
      </c>
      <c r="E48" s="298" t="s">
        <v>259</v>
      </c>
      <c r="F48" s="187" t="s">
        <v>259</v>
      </c>
      <c r="G48" s="182" t="s">
        <v>240</v>
      </c>
      <c r="H48" s="188">
        <v>0</v>
      </c>
      <c r="I48" s="188">
        <v>0</v>
      </c>
      <c r="J48" s="188">
        <v>0</v>
      </c>
      <c r="K48" s="188">
        <v>0</v>
      </c>
      <c r="L48" s="188">
        <v>0</v>
      </c>
      <c r="M48" s="188">
        <v>0</v>
      </c>
      <c r="N48" s="188">
        <v>0</v>
      </c>
      <c r="O48" s="188">
        <v>0</v>
      </c>
      <c r="P48" s="188">
        <v>0</v>
      </c>
      <c r="Q48" s="189" t="s"/>
      <c r="R48" s="189" t="s"/>
      <c r="S48" s="189" t="s"/>
      <c r="T48" s="189" t="s"/>
      <c r="U48" s="193" t="s"/>
    </row>
    <row r="49" spans="1:21" ht="13.5" customHeight="true">
      <c r="A49" s="295" t="s"/>
      <c r="B49" s="296" t="s"/>
      <c r="C49" s="187">
        <v>1</v>
      </c>
      <c r="D49" s="297" t="s">
        <v>266</v>
      </c>
      <c r="E49" s="298" t="s">
        <v>259</v>
      </c>
      <c r="F49" s="187" t="s">
        <v>259</v>
      </c>
      <c r="G49" s="182" t="s">
        <v>240</v>
      </c>
      <c r="H49" s="188">
        <v>0</v>
      </c>
      <c r="I49" s="188">
        <v>0</v>
      </c>
      <c r="J49" s="188">
        <v>0</v>
      </c>
      <c r="K49" s="188">
        <v>0</v>
      </c>
      <c r="L49" s="188">
        <v>0</v>
      </c>
      <c r="M49" s="188">
        <v>0</v>
      </c>
      <c r="N49" s="188">
        <v>0</v>
      </c>
      <c r="O49" s="188">
        <v>0</v>
      </c>
      <c r="P49" s="188">
        <v>0</v>
      </c>
      <c r="Q49" s="189" t="s"/>
      <c r="R49" s="189" t="s"/>
      <c r="S49" s="189" t="s"/>
      <c r="T49" s="189" t="s"/>
      <c r="U49" s="193" t="s"/>
    </row>
    <row r="50" spans="1:21" ht="13.5" customHeight="true">
      <c r="A50" s="295" t="s"/>
      <c r="B50" s="296" t="s"/>
      <c r="C50" s="187">
        <v>1</v>
      </c>
      <c r="D50" s="297" t="s">
        <v>267</v>
      </c>
      <c r="E50" s="298" t="s">
        <v>259</v>
      </c>
      <c r="F50" s="187" t="s">
        <v>259</v>
      </c>
      <c r="G50" s="182" t="s">
        <v>241</v>
      </c>
      <c r="H50" s="188">
        <v>0</v>
      </c>
      <c r="I50" s="188">
        <v>0</v>
      </c>
      <c r="J50" s="188">
        <v>0</v>
      </c>
      <c r="K50" s="188">
        <v>0</v>
      </c>
      <c r="L50" s="188">
        <v>0</v>
      </c>
      <c r="M50" s="188">
        <v>0</v>
      </c>
      <c r="N50" s="188">
        <v>0</v>
      </c>
      <c r="O50" s="188">
        <v>0</v>
      </c>
      <c r="P50" s="188">
        <v>0</v>
      </c>
      <c r="Q50" s="189" t="s"/>
      <c r="R50" s="189" t="s"/>
      <c r="S50" s="189" t="s"/>
      <c r="T50" s="189" t="s"/>
      <c r="U50" s="193" t="s"/>
    </row>
    <row r="51" spans="1:21" ht="13.5" customHeight="true">
      <c r="A51" s="295" t="s"/>
      <c r="B51" s="296" t="s"/>
      <c r="C51" s="187">
        <v>1</v>
      </c>
      <c r="D51" s="297" t="s">
        <v>268</v>
      </c>
      <c r="E51" s="298" t="s">
        <v>259</v>
      </c>
      <c r="F51" s="187" t="s">
        <v>259</v>
      </c>
      <c r="G51" s="182" t="s">
        <v>241</v>
      </c>
      <c r="H51" s="188">
        <v>0</v>
      </c>
      <c r="I51" s="188">
        <v>0</v>
      </c>
      <c r="J51" s="188">
        <v>0</v>
      </c>
      <c r="K51" s="188">
        <v>0</v>
      </c>
      <c r="L51" s="188">
        <v>0</v>
      </c>
      <c r="M51" s="188">
        <v>0</v>
      </c>
      <c r="N51" s="188">
        <v>0</v>
      </c>
      <c r="O51" s="188">
        <v>0</v>
      </c>
      <c r="P51" s="188">
        <v>0</v>
      </c>
      <c r="Q51" s="189" t="s"/>
      <c r="R51" s="189" t="s"/>
      <c r="S51" s="189" t="s"/>
      <c r="T51" s="189" t="s"/>
      <c r="U51" s="193" t="s"/>
    </row>
    <row r="52" spans="1:21" ht="14.25">
      <c r="A52" s="302" t="s"/>
      <c r="B52" s="303" t="s"/>
      <c r="C52" s="187">
        <v>1</v>
      </c>
      <c r="D52" s="210" t="s"/>
      <c r="E52" s="304" t="s"/>
      <c r="F52" s="305" t="s"/>
      <c r="G52" s="305" t="s"/>
      <c r="H52" s="305" t="s"/>
      <c r="I52" s="305" t="s"/>
      <c r="J52" s="305" t="s"/>
      <c r="K52" s="305" t="s"/>
      <c r="L52" s="305" t="s"/>
      <c r="M52" s="305" t="s"/>
      <c r="N52" s="182" t="s"/>
      <c r="O52" s="182" t="s"/>
      <c r="P52" s="182" t="s"/>
      <c r="Q52" s="189" t="s"/>
      <c r="R52" s="189" t="s"/>
      <c r="S52" s="189" t="s"/>
      <c r="T52" s="189" t="s"/>
      <c r="U52" s="193" t="s"/>
    </row>
    <row r="53" spans="1:21" ht="14.25">
      <c r="A53" s="306" t="s"/>
      <c r="B53" s="307" t="s"/>
      <c r="C53" s="187">
        <v>1</v>
      </c>
      <c r="D53" s="297" t="s"/>
      <c r="E53" s="308" t="s"/>
      <c r="F53" s="305" t="s"/>
      <c r="G53" s="305" t="s"/>
      <c r="H53" s="305" t="s"/>
      <c r="I53" s="305" t="s"/>
      <c r="J53" s="305" t="s"/>
      <c r="K53" s="305" t="s"/>
      <c r="L53" s="305" t="s"/>
      <c r="M53" s="305" t="s"/>
      <c r="N53" s="182" t="s"/>
      <c r="O53" s="182" t="s"/>
      <c r="P53" s="182" t="s"/>
      <c r="Q53" s="189" t="s"/>
      <c r="R53" s="189" t="s"/>
      <c r="S53" s="189" t="s"/>
      <c r="T53" s="189" t="s"/>
      <c r="U53" s="193" t="s"/>
    </row>
    <row r="54" spans="1:21" ht="14.25">
      <c r="A54" s="306" t="s"/>
      <c r="B54" s="309" t="s"/>
      <c r="C54" s="187">
        <v>1</v>
      </c>
      <c r="D54" s="310" t="s"/>
      <c r="E54" s="309" t="s"/>
      <c r="F54" s="305" t="s"/>
      <c r="G54" s="305" t="s"/>
      <c r="H54" s="305" t="s"/>
      <c r="I54" s="305" t="s"/>
      <c r="J54" s="305" t="s"/>
      <c r="K54" s="305" t="s"/>
      <c r="L54" s="305" t="s"/>
      <c r="M54" s="305" t="s"/>
      <c r="N54" s="182" t="s"/>
      <c r="O54" s="182" t="s"/>
      <c r="P54" s="182" t="s"/>
      <c r="Q54" s="189" t="s"/>
      <c r="R54" s="189" t="s"/>
      <c r="S54" s="189" t="s"/>
      <c r="T54" s="189" t="s"/>
      <c r="U54" s="193" t="s"/>
    </row>
    <row r="55" spans="1:25" ht="12.75">
      <c r="A55" s="306" t="s"/>
      <c r="B55" s="309" t="s"/>
      <c r="C55" s="305">
        <v>1</v>
      </c>
      <c r="D55" s="311" t="s"/>
      <c r="E55" s="312" t="s">
        <v>269</v>
      </c>
      <c r="F55" s="182" t="s">
        <v>270</v>
      </c>
      <c r="G55" s="182" t="s">
        <v>271</v>
      </c>
      <c r="H55" s="182" t="s">
        <v>272</v>
      </c>
      <c r="I55" s="182" t="s">
        <v>272</v>
      </c>
      <c r="J55" s="182" t="s">
        <v>272</v>
      </c>
      <c r="K55" s="182" t="s">
        <v>272</v>
      </c>
      <c r="L55" s="182" t="s">
        <v>272</v>
      </c>
      <c r="M55" s="182" t="s">
        <v>272</v>
      </c>
      <c r="N55" s="182" t="s">
        <v>272</v>
      </c>
      <c r="O55" s="182" t="s">
        <v>272</v>
      </c>
      <c r="P55" s="182" t="s">
        <v>272</v>
      </c>
      <c r="Q55" s="182" t="s">
        <v>272</v>
      </c>
      <c r="R55" s="182" t="s">
        <v>272</v>
      </c>
      <c r="S55" s="182" t="s">
        <v>272</v>
      </c>
      <c r="T55" s="182" t="s">
        <v>272</v>
      </c>
      <c r="U55" s="313" t="s">
        <v>272</v>
      </c>
      <c r="V55" s="182" t="s">
        <v>272</v>
      </c>
      <c r="W55" s="182" t="s">
        <v>272</v>
      </c>
      <c r="X55" s="182" t="s">
        <v>272</v>
      </c>
      <c r="Y55" s="182" t="s">
        <v>272</v>
      </c>
    </row>
    <row r="56" spans="1:26" ht="12.75">
      <c r="A56" s="306" t="s"/>
      <c r="B56" s="309" t="s"/>
      <c r="C56" s="187">
        <v>1</v>
      </c>
      <c r="D56" s="310" t="s"/>
      <c r="E56" s="314" t="s">
        <v>273</v>
      </c>
      <c r="F56" s="182" t="s">
        <v>240</v>
      </c>
      <c r="G56" s="182">
        <v>27</v>
      </c>
      <c r="H56" s="315">
        <f>=H2+H4+H6+H8+H10+H12+H14+H16+H20+H22+H24+H26+H28+H30+H32+H34+H36+H38+H40+H42+H44+H46+H47+H48+H49</f>
        <v>22</v>
      </c>
      <c r="I56" s="315">
        <f>=I2+I4+I6+I8+I10+I12+I14+I16+I20+I22+I24+I26+I28+I30+I32+I34+I36+I38+I40+I42+I44+I46+I47+I48+I49</f>
        <v>22</v>
      </c>
      <c r="J56" s="315">
        <f>=J2+J4+J6+J8+J10+J12+J14+J16+J20+J22+J24+J26+J28+J30+J32+J34+J36+J38+J40+J42+J44+J46+J47+J48+J49</f>
        <v>27</v>
      </c>
      <c r="K56" s="315">
        <f>=K2+K4+K6+K8+K10+K12+K14+K16+K20+K22+K24+K26+K28+K30+K32+K34+K36+K38+K40+K42+K44+K46+K47+K48+K49</f>
        <v>26</v>
      </c>
      <c r="L56" s="315">
        <f>=L2+L4+L6+L8+L10+L12+L14+L16+L20+L22+L24+L26+L28+L30+L32+L34+L36+L38+L40+L42+L44+L46+L47+L48+L49</f>
        <v>26</v>
      </c>
      <c r="M56" s="315">
        <f>=M2+M4+M6+M8+M10+M12+M14+M16+M20+M22+M24+M26+M28+M30+M32+M34+M36+M38+M40+M42+M44+M46+M47+M48+M49</f>
        <v>26</v>
      </c>
      <c r="N56" s="315">
        <f>=N2+N4+N6+N8+N10+N12+N14+N16+N20+N22+N24+N26+N28+N30+N32+N34+N36+N38+N40+N42+N44+N46+N47+N48+N49</f>
        <v>26</v>
      </c>
      <c r="O56" s="315">
        <f>=O2+O4+O6+O8+O10+O12+O14+O16+O20+O22+O24+O26+O28+O30+O32+O34+O36+O38+O40+O42+O44+O46+O47+O48+O49</f>
        <v>26</v>
      </c>
      <c r="P56" s="315">
        <f>=P2+P4+P6+P8+P10+P12+P14+P16+P20+P22+P24+P26+P28+P30+P32+P34+P36+P38+P40+P42+P44+P46+P47+P48+P49</f>
        <v>26</v>
      </c>
      <c r="Q56" s="315">
        <f>=Q2+Q4+Q6+Q8+Q10+Q12+Q14+Q16+Q20+Q22+Q24+Q26+Q28+Q30+Q32+Q34+Q36+Q38+Q40+Q42+Q44+Q46+Q47+Q48+Q49</f>
        <v>26</v>
      </c>
      <c r="R56" s="315">
        <f>=R2+R4+R6+R8+R10+R12+R14+R16+R20+R22+R24+R26+R28+R30+R32+R34+R36+R38+R40+R42+R44+R46+R47+R48+R49</f>
        <v>26</v>
      </c>
      <c r="S56" s="315">
        <f>=S2+S4+S6+S8+S10+S12+S14+S16+S20+S22+S24+S26+S28+S30+S32+S34+S36+S38+S40+S42+S44+S46+S47+S48+S49</f>
        <v>26</v>
      </c>
      <c r="T56" s="315">
        <f>=T2+T4+T6+T8+T10+T12+T14+T16+T20+T22+T24+T26+T28+T30+T32+T34+T36+T38+T40+T42+T44+T46+T47+T48+T49</f>
        <v>19</v>
      </c>
      <c r="U56" s="315">
        <f>=U2+U4+U6+U8+U10+U12+U14+U16+U20+U22+U24+U26+U28+U30+U32+U34+U36+U38+U40+U42+U44+U46+U47+U48+U49</f>
        <v>19</v>
      </c>
      <c r="V56" s="315">
        <f>=V2+V4+V6+V8+V10+V12+V14+V16+V20+V22+V24+V26+V28+V30+V32+V34+V36+V38+V40+V42+V44+V46+V47+V48+V49</f>
        <v>0</v>
      </c>
      <c r="W56" s="315">
        <f>=W2+W4+W6+W8+W10+W12+W14+W16+W20+W22+W24+W26+W28+W30+W32+W34+W36+W38+W40+W42+W44+W46+W47+W48+W49</f>
        <v>0</v>
      </c>
      <c r="X56" s="315">
        <f>=X2+X4+X6+X8+X10+X12+X14+X16+X20+X22+X24+X26+X28+X30+X32+X34+X36+X38+X40+X42+X44+X46+X47+X48+X49</f>
        <v>0</v>
      </c>
      <c r="Y56" s="315">
        <f>=Y2+Y4+Y6+Y8+Y10+Y12+Y14+Y16+Y20+Y22+Y24+Y26+Y28+Y30+Y32+Y34+Y36+Y38+Y40+Y42+Y44+Y46+Y47+Y48+Y49</f>
        <v>0</v>
      </c>
      <c r="Z56" s="315" t="s"/>
    </row>
    <row r="57" spans="1:26" ht="12.75">
      <c r="A57" s="306" t="s"/>
      <c r="B57" s="309" t="s"/>
      <c r="C57" s="187">
        <v>1</v>
      </c>
      <c r="D57" s="310" t="s"/>
      <c r="E57" s="312" t="s">
        <v>274</v>
      </c>
      <c r="F57" s="182" t="s">
        <v>241</v>
      </c>
      <c r="G57" s="182">
        <v>12</v>
      </c>
      <c r="H57" s="315">
        <f>=H3+H5+H7+H9+H11+H13+H15+H17+H19+H21+H23+H25+H27+H29+H31+H33+H35+H37+H39+H41+H43+H45</f>
        <v>4</v>
      </c>
      <c r="I57" s="315">
        <f>=I3+I5+I7+I9+I11+I13+I15+I17+I19+I21+I23+I25+I27+I29+I31+I33+I35+I37+I39+I41+I43+I45</f>
        <v>9</v>
      </c>
      <c r="J57" s="315">
        <f>=J3+J5+J7+J9+J11+J13+J15+J17+J19+J21+J23+J25+J27+J29+J31+J33+J35+J37+J39+J41+J43+J45</f>
        <v>16</v>
      </c>
      <c r="K57" s="315">
        <f>=K3+K5+K7+K9+K11+K13+K15+K17+K19+K21+K23+K25+K27+K29+K31+K33+K35+K37+K39+K41+K43+K45</f>
        <v>17</v>
      </c>
      <c r="L57" s="315">
        <f>=L3+L5+L7+L9+L11+L13+L15+L17+L19+L21+L23+L25+L27+L29+L31+L33+L35+L37+L39+L41+L43+L45</f>
        <v>18</v>
      </c>
      <c r="M57" s="315">
        <f>=M3+M5+M7+M9+M11+M13+M15+M17+M19+M21+M23+M25+M27+M29+M31+M33+M35+M37+M39+M41+M43+M45</f>
        <v>17</v>
      </c>
      <c r="N57" s="315">
        <f>=N3+N5+N7+N9+N11+N13+N15+N17+N19+N21+N23+N25+N27+N29+N31+N33+N35+N37+N39+N41+N43+N45</f>
        <v>17</v>
      </c>
      <c r="O57" s="315">
        <f>=O3+O5+O7+O9+O11+O13+O15+O17+O19+O21+O23+O25+O27+O29+O31+O33+O35+O37+O39+O41+O43+O45</f>
        <v>17</v>
      </c>
      <c r="P57" s="315">
        <f>=P3+P5+P7+P9+P11+P13+P15+P17+P19+P21+P23+P25+P27+P29+P31+P33+P35+P37+P39+P41+P43+P45</f>
        <v>17</v>
      </c>
      <c r="Q57" s="315">
        <f>=Q3+Q5+Q7+Q9+Q11+Q13+Q15+Q17+Q19+Q21+Q23+Q25+Q27+Q29+Q31+Q33+Q35+Q37+Q39+Q41+Q43+Q45</f>
        <v>17</v>
      </c>
      <c r="R57" s="315">
        <f>=R3+R5+R7+R9+R11+R13+R15+R17+R19+R21+R23+R25+R27+R29+R31+R33+R35+R37+R39+R41+R43+R45</f>
        <v>17</v>
      </c>
      <c r="S57" s="315">
        <f>=S3+S5+S7+S9+S11+S13+S15+S17+S19+S21+S23+S25+S27+S29+S31+S33+S35+S37+S39+S41+S43+S45</f>
        <v>18</v>
      </c>
      <c r="T57" s="315">
        <f>=T3+T5+T7+T9+T11+T13+T15+T17+T19+T21+T23+T25+T27+T29+T31+T33+T35+T37+T39+T41+T43+T45</f>
        <v>17</v>
      </c>
      <c r="U57" s="315">
        <f>=U3+U5+U7+U9+U11+U13+U15+U17+U19+U21+U23+U25+U27+U29+U31+U33+U35+U37+U39+U41+U43+U45</f>
        <v>17</v>
      </c>
      <c r="V57" s="316" t="s"/>
      <c r="W57" s="316" t="s"/>
      <c r="X57" s="316" t="s"/>
      <c r="Y57" s="316" t="s"/>
      <c r="Z57" s="316" t="s"/>
    </row>
    <row r="58" spans="1:25" ht="14.25">
      <c r="A58" s="306" t="s"/>
      <c r="B58" s="309" t="s"/>
      <c r="C58" s="305">
        <v>1</v>
      </c>
      <c r="D58" s="311" t="s"/>
      <c r="E58" s="312" t="s">
        <v>275</v>
      </c>
      <c r="F58" s="182" t="s">
        <v>276</v>
      </c>
      <c r="G58" s="182">
        <v>1</v>
      </c>
      <c r="H58" s="182">
        <v>1</v>
      </c>
      <c r="I58" s="182">
        <v>1</v>
      </c>
      <c r="J58" s="182">
        <v>1</v>
      </c>
      <c r="K58" s="182">
        <v>1</v>
      </c>
      <c r="L58" s="182">
        <v>1</v>
      </c>
      <c r="M58" s="182">
        <v>1</v>
      </c>
      <c r="N58" s="182">
        <v>1</v>
      </c>
      <c r="O58" s="182">
        <v>1</v>
      </c>
      <c r="P58" s="182">
        <v>1</v>
      </c>
      <c r="Q58" s="189">
        <v>1</v>
      </c>
      <c r="R58" s="189">
        <v>1</v>
      </c>
      <c r="S58" s="189">
        <v>1</v>
      </c>
      <c r="T58" s="189">
        <v>1</v>
      </c>
      <c r="U58" s="193">
        <v>1</v>
      </c>
      <c r="V58" s="189">
        <v>1</v>
      </c>
      <c r="W58" s="189">
        <v>1</v>
      </c>
      <c r="X58" s="189">
        <v>1</v>
      </c>
      <c r="Y58" s="189">
        <v>1</v>
      </c>
    </row>
    <row r="59" spans="1:25" ht="12.75">
      <c r="A59" s="306" t="s"/>
      <c r="B59" s="309" t="s"/>
      <c r="C59" s="187">
        <v>1</v>
      </c>
      <c r="D59" s="310" t="s"/>
      <c r="E59" s="317" t="s"/>
      <c r="F59" s="182" t="s">
        <v>277</v>
      </c>
      <c r="G59" s="182">
        <v>1</v>
      </c>
      <c r="H59" s="182">
        <v>1</v>
      </c>
      <c r="I59" s="182">
        <v>1</v>
      </c>
      <c r="J59" s="182">
        <v>1</v>
      </c>
      <c r="K59" s="182">
        <v>1</v>
      </c>
      <c r="L59" s="182">
        <v>1</v>
      </c>
      <c r="M59" s="182">
        <v>1</v>
      </c>
      <c r="N59" s="182">
        <v>1</v>
      </c>
      <c r="O59" s="182">
        <v>1</v>
      </c>
      <c r="P59" s="182">
        <v>1</v>
      </c>
      <c r="Q59" s="182">
        <v>1</v>
      </c>
      <c r="R59" s="182">
        <v>1</v>
      </c>
      <c r="S59" s="182">
        <v>1</v>
      </c>
      <c r="T59" s="182">
        <v>1</v>
      </c>
      <c r="U59" s="313">
        <v>1</v>
      </c>
      <c r="V59" s="182">
        <v>1</v>
      </c>
      <c r="W59" s="182">
        <v>1</v>
      </c>
      <c r="X59" s="182">
        <v>1</v>
      </c>
      <c r="Y59" s="182">
        <v>1</v>
      </c>
    </row>
    <row r="60" spans="1:26" ht="14.25">
      <c r="A60" s="306" t="s"/>
      <c r="B60" s="136" t="s"/>
      <c r="C60" s="187">
        <v>1</v>
      </c>
      <c r="D60" s="310" t="s"/>
      <c r="E60" s="318" t="s"/>
      <c r="F60" s="318" t="s"/>
      <c r="G60" s="318" t="s"/>
      <c r="H60" s="319" t="s">
        <v>236</v>
      </c>
      <c r="I60" s="319" t="s">
        <v>278</v>
      </c>
      <c r="J60" s="319" t="s">
        <v>279</v>
      </c>
      <c r="K60" s="319" t="s">
        <v>280</v>
      </c>
      <c r="L60" s="319" t="s">
        <v>281</v>
      </c>
      <c r="M60" s="319" t="s">
        <v>282</v>
      </c>
      <c r="N60" s="319" t="s">
        <v>283</v>
      </c>
      <c r="O60" s="319" t="s">
        <v>284</v>
      </c>
      <c r="P60" s="319" t="s">
        <v>285</v>
      </c>
      <c r="Q60" s="319" t="s">
        <v>286</v>
      </c>
      <c r="R60" s="319" t="s">
        <v>287</v>
      </c>
      <c r="S60" s="319" t="s">
        <v>288</v>
      </c>
      <c r="T60" s="320">
        <v>2027.1</v>
      </c>
      <c r="U60" s="320">
        <v>2027.2</v>
      </c>
      <c r="V60" s="321">
        <v>2027.3</v>
      </c>
      <c r="W60" s="321">
        <v>2027.4</v>
      </c>
      <c r="X60" s="321">
        <v>2027.5</v>
      </c>
      <c r="Y60" s="321">
        <v>2027.6</v>
      </c>
      <c r="Z60" s="321">
        <v>2027.7</v>
      </c>
    </row>
    <row r="61" spans="1:21" ht="22" customHeight="true">
      <c r="A61" s="322" t="s"/>
      <c r="B61" s="136" t="s"/>
      <c r="C61" s="305">
        <v>1</v>
      </c>
      <c r="D61" s="311" t="s"/>
      <c r="E61" s="318" t="s"/>
      <c r="F61" s="318" t="s"/>
      <c r="G61" s="318" t="s">
        <v>289</v>
      </c>
      <c r="H61" s="323" t="s"/>
      <c r="I61" s="323" t="s"/>
      <c r="J61" s="323" t="s"/>
      <c r="K61" s="323" t="s"/>
      <c r="L61" s="323" t="s"/>
      <c r="M61" s="323" t="s"/>
      <c r="N61" s="323" t="s"/>
      <c r="O61" s="323" t="s"/>
      <c r="P61" s="323" t="s"/>
      <c r="Q61" s="323" t="s"/>
      <c r="R61" s="323" t="s"/>
      <c r="S61" s="323" t="s"/>
      <c r="T61" s="323" t="s"/>
      <c r="U61" s="324" t="s"/>
    </row>
    <row r="62" spans="1:21" ht="22" customHeight="true">
      <c r="A62" s="322" t="s"/>
      <c r="B62" s="136" t="s"/>
      <c r="C62" s="187">
        <v>1</v>
      </c>
      <c r="D62" s="310" t="s"/>
      <c r="E62" s="318" t="s"/>
      <c r="F62" s="318" t="s"/>
      <c r="G62" s="318" t="s">
        <v>101</v>
      </c>
      <c r="H62" s="323" t="s"/>
      <c r="I62" s="323" t="s"/>
      <c r="J62" s="323" t="s"/>
      <c r="K62" s="323" t="s"/>
      <c r="L62" s="323" t="s"/>
      <c r="M62" s="323" t="s"/>
      <c r="N62" s="323" t="s"/>
      <c r="O62" s="323" t="s"/>
      <c r="P62" s="323" t="s"/>
      <c r="Q62" s="323" t="s"/>
      <c r="R62" s="323" t="s"/>
      <c r="S62" s="323" t="s"/>
      <c r="T62" s="323" t="s"/>
      <c r="U62" s="323" t="s"/>
    </row>
    <row r="63" spans="3:21" ht="48" customHeight="true">
      <c r="C63" s="187">
        <v>1</v>
      </c>
      <c r="D63" s="310" t="s"/>
      <c r="F63" s="211" t="s"/>
      <c r="G63" s="211" t="s"/>
      <c r="H63" s="189" t="s"/>
      <c r="I63" s="325" t="s"/>
      <c r="J63" s="189" t="s"/>
      <c r="K63" s="189" t="s"/>
      <c r="L63" s="189" t="s"/>
      <c r="M63" s="189" t="s"/>
      <c r="N63" s="189" t="s"/>
      <c r="O63" s="189" t="s"/>
      <c r="P63" s="189" t="s"/>
      <c r="Q63" s="189" t="s"/>
      <c r="R63" s="189" t="s"/>
      <c r="S63" s="189" t="s"/>
      <c r="T63" s="189" t="s"/>
      <c r="U63" s="189" t="s"/>
    </row>
    <row r="64" spans="6:21" customHeight="true">
      <c r="F64" s="211" t="s"/>
      <c r="G64" s="211" t="s"/>
      <c r="H64" s="211" t="s"/>
      <c r="I64" s="211" t="s"/>
      <c r="J64" s="211" t="s"/>
      <c r="K64" s="211" t="s"/>
      <c r="L64" s="211" t="s"/>
      <c r="M64" s="211" t="s"/>
      <c r="N64" s="211" t="s"/>
      <c r="O64" s="211" t="s"/>
      <c r="P64" s="211" t="s"/>
      <c r="Q64" s="211" t="s"/>
      <c r="R64" s="211" t="s"/>
      <c r="S64" s="211" t="s"/>
      <c r="T64" s="211" t="s"/>
      <c r="U64" s="211" t="s"/>
    </row>
  </sheetData>
  <autoFilter ref="A1:U63">
    <extLst/>
  </autoFilter>
  <mergeCells count="102">
    <mergeCell ref="A2:A3"/>
    <mergeCell ref="A8:A9"/>
    <mergeCell ref="A28:A31"/>
    <mergeCell ref="A32:A33"/>
    <mergeCell ref="A34:A35"/>
    <mergeCell ref="A38:A39"/>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D2:D3"/>
    <mergeCell ref="D4:D5"/>
    <mergeCell ref="D6:D7"/>
    <mergeCell ref="D8:D9"/>
    <mergeCell ref="D10:D11"/>
    <mergeCell ref="D12:D13"/>
    <mergeCell ref="D14:D15"/>
    <mergeCell ref="D16:D17"/>
    <mergeCell ref="D18:D19"/>
    <mergeCell ref="D22:D23"/>
    <mergeCell ref="D28:D29"/>
    <mergeCell ref="D30:D31"/>
    <mergeCell ref="D32:D33"/>
    <mergeCell ref="D34:D35"/>
    <mergeCell ref="D38:D39"/>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58:E59"/>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s>
  <pageMargins left="0.75" right="0.75" top="1" bottom="1" header="0.5" footer="0.5"/>
  <headerFooter/>
</worksheet>
</file>

<file path=xl/worksheets/sheet13.xml><?xml version="1.0" encoding="utf-8"?>
<worksheet xmlns="http://schemas.openxmlformats.org/spreadsheetml/2006/main">
  <sheetPr codeName="业务投资地图（2024H1）">
    <tabColor rgb="FFFFFFFF"/>
  </sheetPr>
  <dimension ref="J35"/>
  <sheetViews>
    <sheetView showGridLines="true" workbookViewId="0"/>
  </sheetViews>
  <sheetFormatPr defaultColWidth="10.2857" defaultRowHeight="12.75"/>
  <cols>
    <col min="1" max="1" width="14.1619" style="678" customWidth="true"/>
    <col min="2" max="2" width="11.3333" style="678" customWidth="true"/>
    <col min="3" max="3" width="8.4" style="678" customWidth="true"/>
    <col min="4" max="4" width="18.6095" style="678" customWidth="true"/>
    <col min="5" max="5" width="13.7524" style="678" customWidth="true"/>
    <col min="6" max="6" width="21.9905" style="678" customWidth="true"/>
    <col min="7" max="7" width="7.68571" style="678" customWidth="true"/>
    <col min="8" max="8" width="7.00952" style="678" customWidth="true"/>
    <col min="9" max="9" width="8.21905" style="678" customWidth="true"/>
  </cols>
  <sheetData>
    <row r="1" spans="1:20">
      <c r="A1" s="442" t="s">
        <v>516</v>
      </c>
      <c r="B1" s="443" t="s"/>
      <c r="C1" s="331" t="s"/>
      <c r="D1" s="331" t="s"/>
      <c r="E1" s="331" t="s"/>
      <c r="F1" s="331" t="s"/>
      <c r="G1" s="331" t="s"/>
      <c r="H1" s="331" t="s"/>
      <c r="I1" s="331" t="s"/>
      <c r="J1" s="445" t="s">
        <v>517</v>
      </c>
      <c r="K1" s="6" t="s"/>
      <c r="L1" s="6" t="s"/>
      <c r="M1" s="6" t="s"/>
      <c r="N1" s="6" t="s"/>
      <c r="O1" s="6" t="s"/>
      <c r="P1" s="386" t="s"/>
      <c r="Q1" s="7" t="s">
        <v>518</v>
      </c>
      <c r="R1" s="6" t="s"/>
      <c r="S1" s="6" t="s"/>
      <c r="T1" s="6" t="s"/>
    </row>
    <row r="2" spans="1:20" ht="25.5">
      <c r="A2" s="448" t="s">
        <v>605</v>
      </c>
      <c r="B2" s="471" t="s">
        <v>520</v>
      </c>
      <c r="C2" s="448" t="s">
        <v>521</v>
      </c>
      <c r="D2" s="448" t="s">
        <v>522</v>
      </c>
      <c r="E2" s="448" t="s">
        <v>735</v>
      </c>
      <c r="F2" s="448" t="s">
        <v>525</v>
      </c>
      <c r="G2" s="448" t="s">
        <v>78</v>
      </c>
      <c r="H2" s="448" t="s">
        <v>137</v>
      </c>
      <c r="I2" s="442" t="s">
        <v>101</v>
      </c>
      <c r="J2" s="445" t="s">
        <v>78</v>
      </c>
      <c r="K2" s="445" t="s">
        <v>78</v>
      </c>
      <c r="L2" s="445" t="s">
        <v>78</v>
      </c>
      <c r="M2" s="445" t="s">
        <v>78</v>
      </c>
      <c r="N2" s="445" t="s">
        <v>137</v>
      </c>
      <c r="O2" s="445" t="s">
        <v>101</v>
      </c>
      <c r="P2" s="614" t="s">
        <v>101</v>
      </c>
      <c r="Q2" s="422" t="s"/>
      <c r="R2" s="422" t="s"/>
      <c r="S2" s="422" t="s"/>
      <c r="T2" s="422" t="s"/>
    </row>
    <row r="3" spans="1:20">
      <c r="A3" s="447" t="s">
        <v>415</v>
      </c>
      <c r="B3" s="447">
        <f>=SUM('AD人力甘特图(2024)'!D65:I66)*22</f>
        <v>1100</v>
      </c>
      <c r="C3" s="447">
        <v>15</v>
      </c>
      <c r="D3" s="447" t="s">
        <v>736</v>
      </c>
      <c r="E3" s="446">
        <f>=SUM(G3:G11)+H3+I3</f>
        <v>15</v>
      </c>
      <c r="F3" s="471" t="s">
        <v>737</v>
      </c>
      <c r="G3" s="442">
        <v>1</v>
      </c>
      <c r="H3" s="447">
        <v>2</v>
      </c>
      <c r="I3" s="559">
        <v>4</v>
      </c>
      <c r="J3" s="529" t="s">
        <v>613</v>
      </c>
      <c r="K3" s="529" t="s"/>
      <c r="L3" s="445" t="s"/>
      <c r="M3" s="445" t="s"/>
      <c r="N3" s="615" t="s">
        <v>358</v>
      </c>
      <c r="O3" s="529" t="s">
        <v>382</v>
      </c>
      <c r="P3" s="614" t="s"/>
      <c r="Q3" s="422" t="s"/>
      <c r="R3" s="422" t="s"/>
      <c r="S3" s="422" t="s"/>
      <c r="T3" s="422" t="s"/>
    </row>
    <row r="4" spans="1:20">
      <c r="A4" s="425" t="s"/>
      <c r="B4" s="425" t="s"/>
      <c r="C4" s="425" t="s"/>
      <c r="D4" s="425" t="s"/>
      <c r="E4" s="425" t="s"/>
      <c r="F4" s="448" t="s">
        <v>378</v>
      </c>
      <c r="G4" s="442">
        <v>1</v>
      </c>
      <c r="H4" s="425" t="s"/>
      <c r="J4" s="615" t="s">
        <v>376</v>
      </c>
      <c r="K4" s="529" t="s"/>
      <c r="L4" s="445" t="s"/>
      <c r="M4" s="445" t="s"/>
      <c r="N4" s="529" t="s">
        <v>329</v>
      </c>
      <c r="O4" s="529" t="s">
        <v>387</v>
      </c>
      <c r="P4" s="614" t="s"/>
      <c r="Q4" s="422" t="s"/>
      <c r="R4" s="422" t="s"/>
      <c r="S4" s="422" t="s"/>
      <c r="T4" s="422" t="s"/>
    </row>
    <row r="5" spans="1:20">
      <c r="A5" s="425" t="s"/>
      <c r="B5" s="425" t="s"/>
      <c r="C5" s="425" t="s"/>
      <c r="D5" s="425" t="s"/>
      <c r="E5" s="425" t="s"/>
      <c r="F5" s="448" t="s">
        <v>738</v>
      </c>
      <c r="G5" s="442">
        <v>1</v>
      </c>
      <c r="H5" s="425" t="s"/>
      <c r="J5" s="615" t="s">
        <v>373</v>
      </c>
      <c r="K5" s="616" t="s"/>
      <c r="L5" s="445" t="s"/>
      <c r="M5" s="445" t="s"/>
      <c r="N5" s="445" t="s"/>
      <c r="O5" s="529" t="s">
        <v>350</v>
      </c>
      <c r="P5" s="614" t="s"/>
      <c r="Q5" s="422" t="s"/>
      <c r="R5" s="422" t="s"/>
      <c r="S5" s="422" t="s"/>
      <c r="T5" s="422" t="s"/>
    </row>
    <row r="6" spans="1:20">
      <c r="A6" s="425" t="s"/>
      <c r="B6" s="425" t="s"/>
      <c r="C6" s="425" t="s"/>
      <c r="D6" s="425" t="s"/>
      <c r="E6" s="425" t="s"/>
      <c r="F6" s="448" t="s">
        <v>739</v>
      </c>
      <c r="G6" s="442">
        <v>1</v>
      </c>
      <c r="H6" s="425" t="s"/>
      <c r="J6" s="615" t="s">
        <v>361</v>
      </c>
      <c r="K6" s="529" t="s"/>
      <c r="L6" s="445" t="s"/>
      <c r="M6" s="445" t="s"/>
      <c r="N6" s="445" t="s"/>
      <c r="O6" s="529" t="s">
        <v>352</v>
      </c>
      <c r="P6" s="614" t="s"/>
      <c r="Q6" s="422" t="s"/>
      <c r="R6" s="422" t="s"/>
      <c r="S6" s="422" t="s"/>
      <c r="T6" s="422" t="s"/>
    </row>
    <row r="7" spans="1:20">
      <c r="A7" s="425" t="s"/>
      <c r="B7" s="425" t="s"/>
      <c r="C7" s="425" t="s"/>
      <c r="D7" s="425" t="s"/>
      <c r="E7" s="425" t="s"/>
      <c r="F7" s="448" t="s">
        <v>740</v>
      </c>
      <c r="G7" s="442">
        <v>1</v>
      </c>
      <c r="H7" s="425" t="s"/>
      <c r="J7" s="615" t="s">
        <v>369</v>
      </c>
      <c r="K7" s="445" t="s"/>
      <c r="L7" s="445" t="s"/>
      <c r="M7" s="445" t="s"/>
      <c r="N7" s="445" t="s"/>
      <c r="O7" s="445" t="s"/>
      <c r="P7" s="614" t="s"/>
      <c r="Q7" s="422" t="s"/>
      <c r="R7" s="422" t="s"/>
      <c r="S7" s="422" t="s"/>
      <c r="T7" s="422" t="s"/>
    </row>
    <row r="8" spans="1:20">
      <c r="A8" s="425" t="s"/>
      <c r="B8" s="425" t="s"/>
      <c r="C8" s="425" t="s"/>
      <c r="D8" s="425" t="s"/>
      <c r="E8" s="425" t="s"/>
      <c r="F8" s="448" t="s">
        <v>305</v>
      </c>
      <c r="G8" s="442">
        <v>1</v>
      </c>
      <c r="H8" s="425" t="s"/>
      <c r="J8" s="445" t="s">
        <v>303</v>
      </c>
      <c r="K8" s="445" t="s"/>
      <c r="L8" s="445" t="s"/>
      <c r="M8" s="445" t="s"/>
      <c r="N8" s="445" t="s"/>
      <c r="O8" s="445" t="s"/>
      <c r="P8" s="614" t="s"/>
      <c r="Q8" s="422" t="s"/>
      <c r="R8" s="422" t="s"/>
      <c r="S8" s="422" t="s"/>
      <c r="T8" s="422" t="s"/>
    </row>
    <row r="9" spans="1:20">
      <c r="A9" s="425" t="s"/>
      <c r="B9" s="425" t="s"/>
      <c r="C9" s="425" t="s"/>
      <c r="D9" s="425" t="s"/>
      <c r="E9" s="425" t="s"/>
      <c r="F9" s="448" t="s">
        <v>741</v>
      </c>
      <c r="G9" s="442">
        <v>1</v>
      </c>
      <c r="H9" s="425" t="s"/>
      <c r="J9" s="445" t="s">
        <v>312</v>
      </c>
      <c r="K9" s="445" t="s"/>
      <c r="L9" s="445" t="s"/>
      <c r="M9" s="445" t="s"/>
      <c r="N9" s="445" t="s"/>
      <c r="O9" s="445" t="s"/>
      <c r="P9" s="614" t="s"/>
      <c r="Q9" s="422" t="s"/>
      <c r="R9" s="422" t="s"/>
      <c r="S9" s="422" t="s"/>
      <c r="T9" s="422" t="s"/>
    </row>
    <row r="10" spans="1:20">
      <c r="A10" s="482" t="s"/>
      <c r="B10" s="482" t="s"/>
      <c r="C10" s="482" t="s"/>
      <c r="D10" s="482" t="s"/>
      <c r="E10" s="425" t="s"/>
      <c r="F10" s="448" t="s">
        <v>742</v>
      </c>
      <c r="G10" s="442">
        <v>1</v>
      </c>
      <c r="H10" s="425" t="s"/>
      <c r="J10" s="445" t="s">
        <v>631</v>
      </c>
      <c r="K10" s="445" t="s"/>
      <c r="L10" s="445" t="s"/>
      <c r="M10" s="445" t="s"/>
      <c r="N10" s="445" t="s"/>
      <c r="O10" s="445" t="s"/>
      <c r="P10" s="614" t="s"/>
      <c r="Q10" s="422" t="s"/>
      <c r="R10" s="422" t="s"/>
      <c r="S10" s="422" t="s"/>
      <c r="T10" s="422" t="s"/>
    </row>
    <row r="11" spans="1:20">
      <c r="A11" s="482" t="s"/>
      <c r="B11" s="482" t="s"/>
      <c r="C11" s="482" t="s"/>
      <c r="D11" s="482" t="s"/>
      <c r="E11" s="461" t="s"/>
      <c r="F11" s="448" t="s">
        <v>672</v>
      </c>
      <c r="G11" s="442">
        <v>1</v>
      </c>
      <c r="H11" s="365" t="s"/>
      <c r="I11" s="42" t="s"/>
      <c r="J11" s="445" t="s">
        <v>309</v>
      </c>
      <c r="K11" s="445" t="s"/>
      <c r="L11" s="445" t="s"/>
      <c r="M11" s="445" t="s"/>
      <c r="N11" s="445" t="s"/>
      <c r="O11" s="445" t="s"/>
      <c r="P11" s="614" t="s"/>
      <c r="Q11" s="422" t="s"/>
      <c r="R11" s="422" t="s"/>
      <c r="S11" s="422" t="s"/>
      <c r="T11" s="422" t="s"/>
    </row>
    <row r="12" spans="1:20">
      <c r="A12" s="447" t="s">
        <v>405</v>
      </c>
      <c r="B12" s="447">
        <f>=SUM('AD人力甘特图(2024)'!H59:I60)*22</f>
        <v>66</v>
      </c>
      <c r="C12" s="447">
        <v>3</v>
      </c>
      <c r="D12" s="447" t="s">
        <v>535</v>
      </c>
      <c r="E12" s="447">
        <f>=SUM(G12:G13)+H12+I12</f>
        <v>3</v>
      </c>
      <c r="F12" s="448" t="s">
        <v>743</v>
      </c>
      <c r="G12" s="448">
        <v>1</v>
      </c>
      <c r="H12" s="448">
        <v>0</v>
      </c>
      <c r="I12" s="496">
        <v>1</v>
      </c>
      <c r="J12" s="445" t="s">
        <v>393</v>
      </c>
      <c r="K12" s="445" t="s">
        <v>639</v>
      </c>
      <c r="L12" s="529" t="s"/>
      <c r="M12" s="445" t="s"/>
      <c r="N12" s="445" t="s"/>
      <c r="O12" s="445" t="s">
        <v>324</v>
      </c>
      <c r="P12" s="614" t="s"/>
      <c r="Q12" s="422" t="s"/>
      <c r="R12" s="422" t="s"/>
      <c r="S12" s="422" t="s"/>
      <c r="T12" s="422" t="s"/>
    </row>
    <row r="13" spans="1:20">
      <c r="A13" s="365" t="s"/>
      <c r="B13" s="365" t="s"/>
      <c r="C13" s="365" t="s"/>
      <c r="D13" s="365" t="s"/>
      <c r="E13" s="365" t="s"/>
      <c r="F13" s="448" t="s">
        <v>744</v>
      </c>
      <c r="G13" s="448">
        <v>1</v>
      </c>
      <c r="H13" s="448">
        <v>0</v>
      </c>
      <c r="I13" s="539" t="s"/>
      <c r="J13" s="445" t="s"/>
      <c r="K13" s="445" t="s"/>
      <c r="L13" s="616" t="s"/>
      <c r="M13" s="445" t="s"/>
      <c r="N13" s="445" t="s"/>
      <c r="O13" s="445" t="s"/>
      <c r="P13" s="614" t="s"/>
      <c r="Q13" s="422" t="s"/>
      <c r="R13" s="422" t="s"/>
      <c r="S13" s="422" t="s"/>
      <c r="T13" s="422" t="s"/>
    </row>
    <row r="14" spans="1:20">
      <c r="A14" s="448" t="s">
        <v>745</v>
      </c>
      <c r="B14" s="448">
        <f>=SUM('AD人力甘特图(2024)'!G61:I62)*22</f>
        <v>264</v>
      </c>
      <c r="C14" s="448">
        <v>4</v>
      </c>
      <c r="D14" s="448" t="s">
        <v>746</v>
      </c>
      <c r="E14" s="448">
        <f>=SUM(G14)+H14+I14</f>
        <v>4</v>
      </c>
      <c r="F14" s="448" t="s">
        <v>746</v>
      </c>
      <c r="G14" s="448">
        <v>2</v>
      </c>
      <c r="H14" s="448">
        <v>0</v>
      </c>
      <c r="I14" s="442">
        <v>2</v>
      </c>
      <c r="J14" s="445" t="s">
        <v>295</v>
      </c>
      <c r="K14" s="445" t="s">
        <v>320</v>
      </c>
      <c r="L14" s="616" t="s"/>
      <c r="M14" s="445" t="s"/>
      <c r="N14" s="617" t="s"/>
      <c r="O14" s="445" t="s">
        <v>327</v>
      </c>
      <c r="P14" s="614" t="s">
        <v>328</v>
      </c>
      <c r="Q14" s="422" t="s">
        <v>747</v>
      </c>
      <c r="R14" s="422" t="s"/>
      <c r="S14" s="422" t="s"/>
      <c r="T14" s="422" t="s"/>
    </row>
    <row r="15" spans="1:20">
      <c r="A15" s="446" t="s">
        <v>207</v>
      </c>
      <c r="B15" s="447">
        <f>=SUM('AD人力甘特图(2024)'!D73:I73)*22</f>
        <v>396</v>
      </c>
      <c r="C15" s="447">
        <v>3</v>
      </c>
      <c r="D15" s="446" t="s">
        <v>748</v>
      </c>
      <c r="E15" s="447">
        <f>=SUM(G15:G21)+SUM(H15:H21)+I15</f>
        <v>4</v>
      </c>
      <c r="F15" s="448" t="s">
        <v>749</v>
      </c>
      <c r="G15" s="448">
        <v>2</v>
      </c>
      <c r="H15" s="448">
        <v>0</v>
      </c>
      <c r="I15" s="496">
        <v>0</v>
      </c>
      <c r="J15" s="616" t="s">
        <v>338</v>
      </c>
      <c r="K15" s="445" t="s">
        <v>390</v>
      </c>
      <c r="L15" s="445" t="s"/>
      <c r="M15" s="445" t="s"/>
      <c r="N15" s="529" t="s"/>
      <c r="O15" s="445" t="s"/>
      <c r="P15" s="614" t="s"/>
      <c r="Q15" s="422" t="s"/>
      <c r="R15" s="422" t="s"/>
      <c r="S15" s="422" t="s"/>
      <c r="T15" s="422" t="s"/>
    </row>
    <row r="16" spans="1:20">
      <c r="A16" s="425" t="s"/>
      <c r="B16" s="425" t="s"/>
      <c r="C16" s="425" t="s"/>
      <c r="D16" s="425" t="s"/>
      <c r="E16" s="425" t="s"/>
      <c r="F16" s="448" t="s">
        <v>750</v>
      </c>
      <c r="G16" s="448">
        <v>0</v>
      </c>
      <c r="H16" s="448">
        <v>0</v>
      </c>
      <c r="I16" s="554" t="s"/>
      <c r="J16" s="616" t="s"/>
      <c r="K16" s="445" t="s"/>
      <c r="L16" s="445" t="s"/>
      <c r="M16" s="445" t="s"/>
      <c r="N16" s="529" t="s"/>
      <c r="O16" s="445" t="s"/>
      <c r="P16" s="614" t="s"/>
      <c r="Q16" s="422" t="s"/>
      <c r="R16" s="422" t="s"/>
      <c r="S16" s="422" t="s"/>
      <c r="T16" s="422" t="s"/>
    </row>
    <row r="17" spans="1:20">
      <c r="A17" s="425" t="s"/>
      <c r="B17" s="425" t="s"/>
      <c r="C17" s="425" t="s"/>
      <c r="D17" s="425" t="s"/>
      <c r="E17" s="425" t="s"/>
      <c r="F17" s="448" t="s">
        <v>751</v>
      </c>
      <c r="G17" s="448">
        <v>1</v>
      </c>
      <c r="H17" s="448">
        <v>0</v>
      </c>
      <c r="I17" s="554" t="s"/>
      <c r="J17" s="615" t="s">
        <v>624</v>
      </c>
      <c r="K17" s="445" t="s"/>
      <c r="L17" s="445" t="s"/>
      <c r="M17" s="445" t="s"/>
      <c r="N17" s="529" t="s"/>
      <c r="O17" s="445" t="s"/>
      <c r="P17" s="614" t="s"/>
      <c r="Q17" s="422" t="s"/>
      <c r="R17" s="422" t="s"/>
      <c r="S17" s="422" t="s"/>
      <c r="T17" s="422" t="s"/>
    </row>
    <row r="18" spans="1:20">
      <c r="A18" s="425" t="s"/>
      <c r="B18" s="425" t="s"/>
      <c r="C18" s="425" t="s"/>
      <c r="D18" s="425" t="s"/>
      <c r="E18" s="425" t="s"/>
      <c r="F18" s="447" t="s">
        <v>752</v>
      </c>
      <c r="G18" s="448">
        <v>0</v>
      </c>
      <c r="H18" s="448">
        <v>0</v>
      </c>
      <c r="I18" s="554" t="s"/>
      <c r="J18" s="445" t="s"/>
      <c r="K18" s="445" t="s"/>
      <c r="L18" s="445" t="s"/>
      <c r="M18" s="445" t="s"/>
      <c r="N18" s="529" t="s"/>
      <c r="O18" s="445" t="s"/>
      <c r="P18" s="614" t="s"/>
      <c r="Q18" s="422" t="s"/>
      <c r="R18" s="422" t="s"/>
      <c r="S18" s="422" t="s"/>
      <c r="T18" s="422" t="s"/>
    </row>
    <row r="19" spans="1:20">
      <c r="A19" s="425" t="s"/>
      <c r="B19" s="425" t="s"/>
      <c r="C19" s="425" t="s"/>
      <c r="D19" s="554" t="s"/>
      <c r="E19" s="425" t="s"/>
      <c r="F19" s="448" t="s">
        <v>753</v>
      </c>
      <c r="G19" s="455">
        <v>1</v>
      </c>
      <c r="H19" s="448">
        <v>0</v>
      </c>
      <c r="I19" s="554" t="s"/>
      <c r="J19" s="445" t="s">
        <v>667</v>
      </c>
      <c r="K19" s="445" t="s"/>
      <c r="L19" s="445" t="s"/>
      <c r="M19" s="445" t="s"/>
      <c r="N19" s="445" t="s"/>
      <c r="O19" s="445" t="s"/>
      <c r="P19" s="614" t="s"/>
      <c r="Q19" s="422" t="s"/>
      <c r="R19" s="422" t="s"/>
      <c r="S19" s="422" t="s"/>
      <c r="T19" s="422" t="s"/>
    </row>
    <row r="20" spans="1:20">
      <c r="A20" s="461" t="s"/>
      <c r="B20" s="482" t="s"/>
      <c r="C20" s="482" t="s"/>
      <c r="D20" s="495" t="s"/>
      <c r="E20" s="482" t="s"/>
      <c r="F20" s="448" t="s">
        <v>754</v>
      </c>
      <c r="G20" s="455">
        <v>0</v>
      </c>
      <c r="H20" s="448">
        <v>0</v>
      </c>
      <c r="I20" s="548" t="s"/>
      <c r="J20" s="445" t="s"/>
      <c r="K20" s="445" t="s"/>
      <c r="L20" s="445" t="s"/>
      <c r="M20" s="445" t="s"/>
      <c r="N20" s="445" t="s"/>
      <c r="O20" s="445" t="s"/>
      <c r="P20" s="614" t="s"/>
      <c r="Q20" s="427" t="s"/>
      <c r="R20" s="427" t="s"/>
      <c r="S20" s="427" t="s"/>
      <c r="T20" s="427" t="s"/>
    </row>
    <row r="21" spans="1:20">
      <c r="A21" s="425" t="s"/>
      <c r="B21" s="425" t="s"/>
      <c r="C21" s="425" t="s"/>
      <c r="D21" s="539" t="s"/>
      <c r="E21" s="365" t="s"/>
      <c r="F21" s="448" t="s">
        <v>755</v>
      </c>
      <c r="G21" s="455">
        <v>0</v>
      </c>
      <c r="H21" s="448">
        <v>0</v>
      </c>
      <c r="I21" s="539" t="s"/>
      <c r="J21" s="445" t="s"/>
      <c r="K21" s="445" t="s"/>
      <c r="L21" s="445" t="s"/>
      <c r="M21" s="445" t="s"/>
      <c r="N21" s="445" t="s"/>
      <c r="O21" s="445" t="s"/>
      <c r="P21" s="614" t="s"/>
      <c r="Q21" s="427" t="s"/>
      <c r="R21" s="427" t="s"/>
      <c r="S21" s="427" t="s"/>
      <c r="T21" s="427" t="s"/>
    </row>
    <row r="22" spans="1:20" ht="76.5" customHeight="true">
      <c r="A22" s="447" t="s">
        <v>643</v>
      </c>
      <c r="B22" s="447">
        <f>=SUM('AD人力甘特图(2024)'!D69:I72,'AD人力甘特图(2024)'!D74:I74,'AD人力甘特图(2024)'!D75:I76)*22</f>
        <v>2266</v>
      </c>
      <c r="C22" s="447">
        <v>15</v>
      </c>
      <c r="D22" s="442" t="s">
        <v>756</v>
      </c>
      <c r="E22" s="448">
        <f>=SUM(G22)+H22+I22</f>
        <v>3</v>
      </c>
      <c r="F22" s="448" t="s">
        <v>756</v>
      </c>
      <c r="G22" s="455">
        <v>2</v>
      </c>
      <c r="H22" s="448">
        <v>1</v>
      </c>
      <c r="I22" s="442">
        <v>0</v>
      </c>
      <c r="J22" s="445" t="s"/>
      <c r="K22" s="445" t="s">
        <v>341</v>
      </c>
      <c r="L22" s="445" t="s">
        <v>638</v>
      </c>
      <c r="M22" s="445" t="s"/>
      <c r="N22" s="445" t="s">
        <v>641</v>
      </c>
      <c r="O22" s="445" t="s">
        <v>383</v>
      </c>
      <c r="P22" s="618" t="s"/>
      <c r="Q22" s="420" t="s">
        <v>757</v>
      </c>
      <c r="R22" s="6" t="s"/>
      <c r="S22" s="6" t="s"/>
      <c r="T22" s="6" t="s"/>
    </row>
    <row r="23" spans="1:20" ht="105.75" customHeight="true">
      <c r="A23" s="482" t="s"/>
      <c r="B23" s="482" t="s"/>
      <c r="C23" s="482" t="s"/>
      <c r="D23" s="442" t="s">
        <v>758</v>
      </c>
      <c r="E23" s="448">
        <f>=SUM(G23)+H23+I23</f>
        <v>0</v>
      </c>
      <c r="F23" s="448" t="s">
        <v>758</v>
      </c>
      <c r="G23" s="455">
        <v>0</v>
      </c>
      <c r="H23" s="448">
        <v>0</v>
      </c>
      <c r="I23" s="442">
        <v>0</v>
      </c>
      <c r="J23" s="529" t="s"/>
      <c r="K23" s="445" t="s"/>
      <c r="L23" s="445" t="s"/>
      <c r="M23" s="445" t="s"/>
      <c r="N23" s="445" t="s"/>
      <c r="O23" s="445" t="s"/>
      <c r="P23" s="618" t="s"/>
      <c r="Q23" s="6" t="s"/>
      <c r="R23" s="6" t="s"/>
      <c r="S23" s="6" t="s"/>
      <c r="T23" s="6" t="s"/>
    </row>
    <row r="24" spans="1:20" ht="42" customHeight="true">
      <c r="A24" s="482" t="s"/>
      <c r="B24" s="482" t="s"/>
      <c r="C24" s="482" t="s"/>
      <c r="D24" s="442" t="s">
        <v>759</v>
      </c>
      <c r="E24" s="448">
        <f>=SUM(G24)+H24+I24</f>
        <v>4</v>
      </c>
      <c r="F24" s="448" t="s">
        <v>760</v>
      </c>
      <c r="G24" s="448">
        <v>4</v>
      </c>
      <c r="H24" s="448">
        <v>0</v>
      </c>
      <c r="I24" s="442">
        <v>0</v>
      </c>
      <c r="J24" s="457" t="s">
        <v>345</v>
      </c>
      <c r="K24" s="445" t="s">
        <v>355</v>
      </c>
      <c r="L24" s="445" t="s">
        <v>365</v>
      </c>
      <c r="M24" s="445" t="s">
        <v>761</v>
      </c>
      <c r="N24" s="445" t="s"/>
      <c r="O24" s="445" t="s"/>
      <c r="P24" s="618" t="s"/>
      <c r="Q24" s="379" t="s">
        <v>762</v>
      </c>
      <c r="R24" s="6" t="s"/>
      <c r="S24" s="6" t="s"/>
      <c r="T24" s="6" t="s"/>
    </row>
    <row r="25" spans="1:20">
      <c r="A25" s="425" t="s"/>
      <c r="B25" s="425" t="s"/>
      <c r="C25" s="425" t="s"/>
      <c r="D25" s="442" t="s">
        <v>178</v>
      </c>
      <c r="E25" s="448">
        <f>=SUM(G25)+H25+I25</f>
        <v>3</v>
      </c>
      <c r="F25" s="448" t="s">
        <v>178</v>
      </c>
      <c r="G25" s="455">
        <v>3</v>
      </c>
      <c r="H25" s="448">
        <v>0</v>
      </c>
      <c r="I25" s="442">
        <v>0</v>
      </c>
      <c r="J25" s="529" t="s">
        <v>399</v>
      </c>
      <c r="K25" s="445" t="s">
        <v>398</v>
      </c>
      <c r="L25" s="445" t="s">
        <v>396</v>
      </c>
      <c r="M25" s="445" t="s"/>
      <c r="N25" s="445" t="s"/>
      <c r="O25" s="445" t="s"/>
      <c r="P25" s="618" t="s"/>
      <c r="Q25" s="6" t="s"/>
      <c r="R25" s="6" t="s"/>
      <c r="S25" s="6" t="s"/>
      <c r="T25" s="6" t="s"/>
    </row>
    <row r="26" spans="1:20">
      <c r="A26" s="425" t="s"/>
      <c r="B26" s="425" t="s"/>
      <c r="C26" s="425" t="s"/>
      <c r="D26" s="448" t="s">
        <v>274</v>
      </c>
      <c r="E26" s="448">
        <f>=SUM(G26)+H26+I26</f>
        <v>1</v>
      </c>
      <c r="F26" s="448" t="s">
        <v>763</v>
      </c>
      <c r="G26" s="448">
        <v>0</v>
      </c>
      <c r="H26" s="448">
        <v>0</v>
      </c>
      <c r="I26" s="442">
        <v>1</v>
      </c>
      <c r="J26" s="445" t="s"/>
      <c r="K26" s="445" t="s"/>
      <c r="L26" s="445" t="s"/>
      <c r="M26" s="445" t="s"/>
      <c r="N26" s="445" t="s"/>
      <c r="O26" s="445" t="s"/>
      <c r="P26" s="618" t="s"/>
      <c r="Q26" s="6" t="s"/>
      <c r="R26" s="6" t="s"/>
      <c r="S26" s="6" t="s"/>
      <c r="T26" s="6" t="s"/>
    </row>
    <row r="27" spans="1:20">
      <c r="A27" s="365" t="s"/>
      <c r="B27" s="365" t="s"/>
      <c r="C27" s="365" t="s"/>
      <c r="D27" s="447" t="s">
        <v>401</v>
      </c>
      <c r="E27" s="448">
        <f>=SUM(G27)+H27+I27</f>
        <v>3</v>
      </c>
      <c r="F27" s="448" t="s">
        <v>401</v>
      </c>
      <c r="G27" s="448">
        <v>2</v>
      </c>
      <c r="H27" s="448">
        <v>0</v>
      </c>
      <c r="I27" s="442">
        <v>1</v>
      </c>
      <c r="J27" s="529" t="s">
        <v>400</v>
      </c>
      <c r="K27" s="529" t="s">
        <v>402</v>
      </c>
      <c r="L27" s="445" t="s"/>
      <c r="M27" s="445" t="s"/>
      <c r="N27" s="445" t="s"/>
      <c r="O27" s="529" t="s">
        <v>389</v>
      </c>
      <c r="P27" s="618" t="s"/>
      <c r="Q27" s="6" t="s"/>
      <c r="R27" s="6" t="s"/>
      <c r="S27" s="6" t="s"/>
      <c r="T27" s="6" t="s"/>
    </row>
    <row r="28" spans="1:20">
      <c r="A28" s="448" t="s">
        <v>594</v>
      </c>
      <c r="B28" s="448">
        <f>=SUM(B3:B27)</f>
        <v>4092</v>
      </c>
      <c r="C28" s="448">
        <f>=SUM(C3:C27)</f>
        <v>40</v>
      </c>
      <c r="D28" s="448" t="s">
        <v>595</v>
      </c>
      <c r="E28" s="448">
        <f>=SUM(E3:E27)</f>
        <v>40</v>
      </c>
      <c r="F28" s="448" t="s">
        <v>595</v>
      </c>
      <c r="G28" s="448">
        <f>=SUM(G3:G27)</f>
        <v>28</v>
      </c>
      <c r="H28" s="448">
        <f>=SUM(H3:H27)</f>
        <v>3</v>
      </c>
      <c r="I28" s="448">
        <f>=SUM(I3:I27)</f>
        <v>9</v>
      </c>
      <c r="J28" s="445" t="s"/>
      <c r="K28" s="445" t="s"/>
      <c r="L28" s="445" t="s"/>
      <c r="M28" s="445" t="s"/>
      <c r="N28" s="445" t="s"/>
      <c r="O28" s="445" t="s"/>
      <c r="P28" s="614" t="s"/>
      <c r="Q28" s="121" t="s"/>
      <c r="R28" s="121" t="s"/>
      <c r="S28" s="121" t="s"/>
      <c r="T28" s="121" t="s"/>
    </row>
    <row r="29" spans="1:20">
      <c r="A29" s="448" t="s"/>
      <c r="B29" s="448" t="s"/>
      <c r="C29" s="448" t="s"/>
      <c r="D29" s="448" t="s"/>
      <c r="E29" s="448" t="s"/>
      <c r="F29" s="448" t="s"/>
      <c r="G29" s="442">
        <f>=SUM(G28:H28)</f>
        <v>31</v>
      </c>
      <c r="H29" s="468" t="s"/>
      <c r="I29" s="448">
        <f>=SUM(I28)</f>
        <v>9</v>
      </c>
      <c r="J29" s="445" t="s"/>
      <c r="K29" s="445" t="s"/>
      <c r="L29" s="445" t="s"/>
      <c r="M29" s="445" t="s"/>
      <c r="N29" s="445" t="s"/>
      <c r="O29" s="445" t="s"/>
      <c r="P29" s="614" t="s"/>
      <c r="Q29" s="422" t="s"/>
      <c r="R29" s="422" t="s"/>
      <c r="S29" s="422" t="s"/>
      <c r="T29" s="422" t="s"/>
    </row>
    <row r="30" spans="1:20">
      <c r="A30" s="448" t="s"/>
      <c r="B30" s="448" t="s"/>
      <c r="C30" s="448" t="s"/>
      <c r="D30" s="448" t="s"/>
      <c r="E30" s="448" t="s"/>
      <c r="F30" s="448" t="s"/>
      <c r="G30" s="448" t="s"/>
      <c r="H30" s="448" t="s"/>
      <c r="I30" s="442" t="s"/>
      <c r="J30" s="445" t="s"/>
      <c r="K30" s="445" t="s"/>
      <c r="L30" s="445" t="s"/>
      <c r="M30" s="445" t="s"/>
      <c r="N30" s="445" t="s"/>
      <c r="O30" s="445" t="s"/>
      <c r="P30" s="614" t="s"/>
      <c r="Q30" s="422" t="s"/>
      <c r="R30" s="422" t="s"/>
      <c r="S30" s="422" t="s"/>
      <c r="T30" s="422" t="s"/>
    </row>
    <row r="31" spans="1:20">
      <c r="A31" s="448" t="s"/>
      <c r="B31" s="448" t="s"/>
      <c r="C31" s="448" t="s"/>
      <c r="D31" s="448" t="s"/>
      <c r="E31" s="448" t="s"/>
      <c r="F31" s="448" t="s"/>
      <c r="G31" s="448" t="s"/>
      <c r="H31" s="448" t="s"/>
      <c r="I31" s="442" t="s"/>
      <c r="J31" s="445" t="s"/>
      <c r="K31" s="445" t="s"/>
      <c r="L31" s="445" t="s"/>
      <c r="M31" s="445" t="s"/>
      <c r="N31" s="445" t="s"/>
      <c r="O31" s="445" t="s"/>
      <c r="P31" s="614" t="s"/>
      <c r="Q31" s="422" t="s"/>
      <c r="R31" s="422" t="s"/>
      <c r="S31" s="422" t="s"/>
      <c r="T31" s="422" t="s"/>
    </row>
    <row r="34" spans="10:10">
      <c r="J34" s="8" t="s"/>
    </row>
    <row r="35" spans="10:10">
      <c r="J35" s="8" t="s"/>
    </row>
  </sheetData>
  <mergeCells count="28">
    <mergeCell ref="A1:I1"/>
    <mergeCell ref="J1:P1"/>
    <mergeCell ref="Q1:T1"/>
    <mergeCell ref="Q24:T24"/>
    <mergeCell ref="G29:H29"/>
    <mergeCell ref="A3:A11"/>
    <mergeCell ref="A12:A13"/>
    <mergeCell ref="A15:A21"/>
    <mergeCell ref="A22:A27"/>
    <mergeCell ref="B3:B11"/>
    <mergeCell ref="B12:B13"/>
    <mergeCell ref="B15:B21"/>
    <mergeCell ref="B22:B27"/>
    <mergeCell ref="C3:C11"/>
    <mergeCell ref="C12:C13"/>
    <mergeCell ref="C15:C21"/>
    <mergeCell ref="C22:C27"/>
    <mergeCell ref="D3:D11"/>
    <mergeCell ref="D12:D13"/>
    <mergeCell ref="D15:D21"/>
    <mergeCell ref="E3:E11"/>
    <mergeCell ref="E12:E13"/>
    <mergeCell ref="E15:E21"/>
    <mergeCell ref="H3:H11"/>
    <mergeCell ref="I3:I11"/>
    <mergeCell ref="I12:I13"/>
    <mergeCell ref="I15:I21"/>
    <mergeCell ref="Q22:T23"/>
  </mergeCells>
  <pageMargins left="0.75" right="0.75" top="1" bottom="1" header="0.5" footer="0.5"/>
  <headerFooter/>
</worksheet>
</file>

<file path=xl/worksheets/sheet14.xml><?xml version="1.0" encoding="utf-8"?>
<worksheet xmlns="http://schemas.openxmlformats.org/spreadsheetml/2006/main">
  <sheetPr>
    <tabColor rgb="FFFFFFFF"/>
  </sheetPr>
  <dimension ref="R200"/>
  <sheetViews>
    <sheetView showGridLines="true" workbookViewId="0"/>
  </sheetViews>
  <sheetFormatPr defaultColWidth="10.2857" defaultRowHeight="12.75"/>
  <cols>
    <col min="1" max="5" width="10.2952" customWidth="true"/>
    <col min="6" max="6" width="12.1429" customWidth="true"/>
    <col min="7" max="7" width="51.1619" customWidth="true"/>
    <col min="8" max="8" width="10.2952" customWidth="true"/>
    <col min="9" max="9" width="39.4381" customWidth="true"/>
    <col min="10" max="10" width="13.4381" customWidth="true"/>
    <col min="11" max="11" width="10.2952" customWidth="true"/>
    <col min="12" max="12" width="14.4381" customWidth="true"/>
    <col min="13" max="16" width="10.2952" customWidth="true"/>
    <col min="17" max="17" width="35.4381" customWidth="true"/>
    <col min="18" max="18" width="10.2952" customWidth="true"/>
  </cols>
  <sheetData>
    <row r="1" spans="1:18" ht="21" customHeight="true">
      <c r="A1" s="570" t="s">
        <v>51</v>
      </c>
      <c r="B1" s="570" t="s">
        <v>654</v>
      </c>
      <c r="C1" s="570" t="s">
        <v>52</v>
      </c>
      <c r="D1" s="570" t="s">
        <v>655</v>
      </c>
      <c r="E1" s="571" t="s">
        <v>656</v>
      </c>
      <c r="F1" s="414" t="s">
        <v>291</v>
      </c>
      <c r="G1" s="417" t="s">
        <v>657</v>
      </c>
      <c r="H1" s="414" t="s">
        <v>658</v>
      </c>
      <c r="I1" s="417" t="s">
        <v>659</v>
      </c>
      <c r="J1" s="417" t="s">
        <v>660</v>
      </c>
      <c r="K1" s="417" t="s">
        <v>661</v>
      </c>
      <c r="L1" s="417" t="s">
        <v>662</v>
      </c>
      <c r="M1" s="572" t="s"/>
      <c r="N1" s="59" t="s"/>
      <c r="O1" s="59" t="s"/>
      <c r="P1" s="59" t="s"/>
      <c r="Q1" s="59" t="s"/>
      <c r="R1" s="59" t="s"/>
    </row>
    <row r="2" spans="1:18" ht="74" customHeight="true">
      <c r="A2" s="573" t="s">
        <v>295</v>
      </c>
      <c r="B2" s="574" t="s">
        <v>663</v>
      </c>
      <c r="C2" s="573" t="s">
        <v>78</v>
      </c>
      <c r="D2" s="573" t="s">
        <v>96</v>
      </c>
      <c r="E2" s="574" t="s">
        <v>664</v>
      </c>
      <c r="F2" s="575" t="s">
        <v>439</v>
      </c>
      <c r="G2" s="576" t="s">
        <v>665</v>
      </c>
      <c r="H2" s="577" t="s">
        <v>137</v>
      </c>
      <c r="I2" s="578" t="s">
        <v>666</v>
      </c>
      <c r="J2" s="51">
        <v>7027</v>
      </c>
      <c r="K2" s="354" t="s"/>
      <c r="L2" s="579" t="s"/>
      <c r="M2" s="572" t="s"/>
      <c r="N2" s="59" t="s"/>
      <c r="O2" s="59" t="s"/>
      <c r="P2" s="59" t="s"/>
      <c r="Q2" s="59" t="s"/>
      <c r="R2" s="59" t="s"/>
    </row>
    <row r="3" spans="1:18" ht="53" customHeight="true">
      <c r="A3" s="573" t="s">
        <v>667</v>
      </c>
      <c r="B3" s="574" t="s">
        <v>663</v>
      </c>
      <c r="C3" s="573" t="s">
        <v>78</v>
      </c>
      <c r="D3" s="573" t="s">
        <v>132</v>
      </c>
      <c r="E3" s="574" t="s">
        <v>664</v>
      </c>
      <c r="F3" s="575" t="s">
        <v>439</v>
      </c>
      <c r="G3" s="580" t="s">
        <v>668</v>
      </c>
      <c r="H3" s="581" t="s"/>
      <c r="I3" s="582" t="s">
        <v>669</v>
      </c>
      <c r="J3" s="51">
        <v>7027</v>
      </c>
      <c r="K3" s="354">
        <v>7028</v>
      </c>
      <c r="L3" s="583" t="s">
        <v>670</v>
      </c>
      <c r="M3" s="572" t="s"/>
      <c r="N3" s="59" t="s"/>
      <c r="O3" s="59" t="s"/>
      <c r="P3" s="59" t="s"/>
      <c r="Q3" s="59" t="s"/>
      <c r="R3" s="59" t="s"/>
    </row>
    <row r="4" spans="1:18" ht="21" customHeight="true">
      <c r="A4" s="573" t="s">
        <v>303</v>
      </c>
      <c r="B4" s="574" t="s">
        <v>663</v>
      </c>
      <c r="C4" s="573" t="s">
        <v>78</v>
      </c>
      <c r="D4" s="573" t="s">
        <v>671</v>
      </c>
      <c r="E4" s="574" t="s">
        <v>664</v>
      </c>
      <c r="F4" s="575" t="s">
        <v>439</v>
      </c>
      <c r="G4" s="576" t="s">
        <v>672</v>
      </c>
      <c r="H4" s="577" t="s"/>
      <c r="I4" s="578" t="s">
        <v>673</v>
      </c>
      <c r="J4" s="51">
        <v>7027</v>
      </c>
      <c r="K4" s="354" t="s"/>
      <c r="L4" s="583" t="s"/>
      <c r="M4" s="572" t="s"/>
      <c r="N4" s="59" t="s"/>
      <c r="O4" s="59" t="s"/>
      <c r="P4" s="59" t="s"/>
      <c r="Q4" s="59" t="s"/>
      <c r="R4" s="59" t="s"/>
    </row>
    <row r="5" spans="1:18" ht="21" customHeight="true">
      <c r="A5" s="573" t="s">
        <v>350</v>
      </c>
      <c r="B5" s="574" t="s">
        <v>663</v>
      </c>
      <c r="C5" s="573" t="s">
        <v>101</v>
      </c>
      <c r="D5" s="573" t="s">
        <v>71</v>
      </c>
      <c r="E5" s="574" t="s">
        <v>664</v>
      </c>
      <c r="F5" s="584" t="s">
        <v>439</v>
      </c>
      <c r="G5" s="576" t="s"/>
      <c r="H5" s="577" t="s">
        <v>674</v>
      </c>
      <c r="I5" s="51" t="s">
        <v>675</v>
      </c>
      <c r="J5" s="51">
        <v>7027</v>
      </c>
      <c r="K5" s="354" t="s"/>
      <c r="L5" s="585" t="s"/>
      <c r="M5" s="59" t="s"/>
      <c r="N5" s="59" t="s"/>
      <c r="O5" s="59" t="s"/>
      <c r="P5" s="59" t="s"/>
      <c r="Q5" s="59" t="s"/>
      <c r="R5" s="59" t="s"/>
    </row>
    <row r="6" spans="1:18" ht="21" customHeight="true">
      <c r="A6" s="573" t="s">
        <v>327</v>
      </c>
      <c r="B6" s="574" t="s">
        <v>663</v>
      </c>
      <c r="C6" s="573" t="s">
        <v>101</v>
      </c>
      <c r="D6" s="573" t="s">
        <v>671</v>
      </c>
      <c r="E6" s="574" t="s">
        <v>664</v>
      </c>
      <c r="F6" s="584" t="s">
        <v>439</v>
      </c>
      <c r="G6" s="576" t="s"/>
      <c r="H6" s="577" t="s"/>
      <c r="I6" s="51" t="s">
        <v>676</v>
      </c>
      <c r="J6" s="51" t="s">
        <v>410</v>
      </c>
      <c r="K6" s="354">
        <v>7027</v>
      </c>
      <c r="L6" s="585" t="s">
        <v>677</v>
      </c>
      <c r="M6" s="59" t="s"/>
      <c r="N6" s="59" t="s"/>
      <c r="O6" s="59" t="s"/>
      <c r="P6" s="59" t="s"/>
      <c r="Q6" s="59" t="s"/>
      <c r="R6" s="59" t="s"/>
    </row>
    <row r="7" spans="1:18" ht="52" customHeight="true">
      <c r="A7" s="573" t="s">
        <v>329</v>
      </c>
      <c r="B7" s="574" t="s">
        <v>663</v>
      </c>
      <c r="C7" s="573" t="s">
        <v>78</v>
      </c>
      <c r="D7" s="573" t="s">
        <v>190</v>
      </c>
      <c r="E7" s="574" t="s">
        <v>664</v>
      </c>
      <c r="F7" s="586" t="s">
        <v>330</v>
      </c>
      <c r="G7" s="587" t="s">
        <v>678</v>
      </c>
      <c r="H7" s="577" t="s">
        <v>137</v>
      </c>
      <c r="I7" s="51" t="s"/>
      <c r="J7" s="51" t="s">
        <v>468</v>
      </c>
      <c r="K7" s="51" t="s">
        <v>468</v>
      </c>
      <c r="L7" s="579" t="s"/>
      <c r="M7" s="572" t="s"/>
      <c r="N7" s="59" t="s"/>
      <c r="O7" s="59" t="s"/>
      <c r="P7" s="59" t="s"/>
      <c r="Q7" s="59" t="s"/>
      <c r="R7" s="59" t="s"/>
    </row>
    <row r="8" spans="1:18" ht="21" customHeight="true">
      <c r="A8" s="573" t="s">
        <v>631</v>
      </c>
      <c r="B8" s="574" t="s">
        <v>663</v>
      </c>
      <c r="C8" s="573" t="s">
        <v>78</v>
      </c>
      <c r="D8" s="573" t="s">
        <v>96</v>
      </c>
      <c r="E8" s="574" t="s">
        <v>664</v>
      </c>
      <c r="F8" s="586" t="s">
        <v>330</v>
      </c>
      <c r="G8" s="576" t="s"/>
      <c r="H8" s="577" t="s"/>
      <c r="I8" s="51" t="s">
        <v>679</v>
      </c>
      <c r="J8" s="51" t="s">
        <v>478</v>
      </c>
      <c r="K8" s="354" t="s"/>
      <c r="L8" s="579" t="s"/>
      <c r="M8" s="572" t="s"/>
      <c r="N8" s="59" t="s"/>
      <c r="O8" s="59" t="s"/>
      <c r="P8" s="59" t="s"/>
      <c r="Q8" s="59" t="s"/>
      <c r="R8" s="59" t="s"/>
    </row>
    <row r="9" spans="1:18" ht="21" customHeight="true">
      <c r="A9" s="573" t="s">
        <v>613</v>
      </c>
      <c r="B9" s="574" t="s">
        <v>663</v>
      </c>
      <c r="C9" s="573" t="s">
        <v>78</v>
      </c>
      <c r="D9" s="573" t="s">
        <v>71</v>
      </c>
      <c r="E9" s="574" t="s">
        <v>664</v>
      </c>
      <c r="F9" s="586" t="s">
        <v>330</v>
      </c>
      <c r="G9" s="576" t="s"/>
      <c r="H9" s="577" t="s"/>
      <c r="I9" s="51">
        <v>7027</v>
      </c>
      <c r="J9" s="51">
        <v>7028</v>
      </c>
      <c r="K9" s="354">
        <v>7028</v>
      </c>
      <c r="L9" s="583" t="s">
        <v>680</v>
      </c>
      <c r="M9" s="572" t="s"/>
      <c r="N9" s="59" t="s"/>
      <c r="O9" s="59" t="s"/>
      <c r="P9" s="59" t="s"/>
      <c r="Q9" s="59" t="s"/>
      <c r="R9" s="59" t="s"/>
    </row>
    <row r="10" spans="1:18" ht="21" customHeight="true">
      <c r="A10" s="573" t="s">
        <v>681</v>
      </c>
      <c r="B10" s="574" t="s">
        <v>663</v>
      </c>
      <c r="C10" s="573" t="s">
        <v>78</v>
      </c>
      <c r="D10" s="573" t="s">
        <v>71</v>
      </c>
      <c r="E10" s="574" t="s">
        <v>664</v>
      </c>
      <c r="F10" s="588" t="s">
        <v>330</v>
      </c>
      <c r="G10" s="576" t="s"/>
      <c r="H10" s="577" t="s"/>
      <c r="I10" s="51" t="s">
        <v>682</v>
      </c>
      <c r="J10" s="51" t="s">
        <v>468</v>
      </c>
      <c r="K10" s="51" t="s">
        <v>468</v>
      </c>
      <c r="L10" s="583" t="s"/>
      <c r="M10" s="572" t="s"/>
      <c r="N10" s="59" t="s"/>
      <c r="O10" s="59" t="s"/>
      <c r="P10" s="59" t="s"/>
      <c r="Q10" s="59" t="s"/>
      <c r="R10" s="59" t="s"/>
    </row>
    <row r="11" spans="1:18" ht="21" customHeight="true">
      <c r="A11" s="573" t="s">
        <v>338</v>
      </c>
      <c r="B11" s="574" t="s">
        <v>663</v>
      </c>
      <c r="C11" s="573" t="s">
        <v>78</v>
      </c>
      <c r="D11" s="573" t="s">
        <v>71</v>
      </c>
      <c r="E11" s="574" t="s">
        <v>664</v>
      </c>
      <c r="F11" s="588" t="s">
        <v>330</v>
      </c>
      <c r="G11" s="576" t="s"/>
      <c r="H11" s="577" t="s"/>
      <c r="I11" s="51" t="s">
        <v>683</v>
      </c>
      <c r="J11" s="51">
        <v>7027</v>
      </c>
      <c r="K11" s="354">
        <v>7028</v>
      </c>
      <c r="L11" s="583" t="s">
        <v>680</v>
      </c>
      <c r="M11" s="572" t="s"/>
      <c r="N11" s="59" t="s"/>
      <c r="O11" s="59" t="s"/>
      <c r="P11" s="59" t="s"/>
      <c r="Q11" s="59" t="s"/>
      <c r="R11" s="59" t="s"/>
    </row>
    <row r="12" spans="1:18" ht="24" customHeight="true">
      <c r="A12" s="573" t="s">
        <v>341</v>
      </c>
      <c r="B12" s="574" t="s">
        <v>663</v>
      </c>
      <c r="C12" s="573" t="s">
        <v>78</v>
      </c>
      <c r="D12" s="573" t="s">
        <v>671</v>
      </c>
      <c r="E12" s="574" t="s">
        <v>664</v>
      </c>
      <c r="F12" s="588" t="s">
        <v>330</v>
      </c>
      <c r="G12" s="576" t="s"/>
      <c r="H12" s="577" t="s"/>
      <c r="I12" s="51">
        <v>7027</v>
      </c>
      <c r="J12" s="51">
        <v>7027</v>
      </c>
      <c r="K12" s="354" t="s"/>
      <c r="L12" s="583" t="s"/>
      <c r="M12" s="572" t="s"/>
      <c r="N12" s="59" t="s"/>
      <c r="O12" s="59" t="s"/>
      <c r="P12" s="59" t="s"/>
      <c r="Q12" s="59" t="s"/>
      <c r="R12" s="59" t="s"/>
    </row>
    <row r="13" spans="1:18" ht="21" customHeight="true">
      <c r="A13" s="573" t="s">
        <v>352</v>
      </c>
      <c r="B13" s="574" t="s">
        <v>663</v>
      </c>
      <c r="C13" s="573" t="s">
        <v>101</v>
      </c>
      <c r="D13" s="573" t="s">
        <v>671</v>
      </c>
      <c r="E13" s="574" t="s">
        <v>684</v>
      </c>
      <c r="F13" s="588" t="s">
        <v>330</v>
      </c>
      <c r="G13" s="576" t="s"/>
      <c r="H13" s="577" t="s"/>
      <c r="I13" s="51" t="s">
        <v>685</v>
      </c>
      <c r="J13" s="51" t="s">
        <v>410</v>
      </c>
      <c r="K13" s="354">
        <v>7028</v>
      </c>
      <c r="L13" s="585" t="s"/>
      <c r="M13" s="59" t="s"/>
      <c r="N13" s="59" t="s"/>
      <c r="O13" s="59" t="s"/>
      <c r="P13" s="59" t="s"/>
      <c r="Q13" s="59" t="s"/>
      <c r="R13" s="59" t="s"/>
    </row>
    <row r="14" spans="1:18" ht="21" customHeight="true">
      <c r="A14" s="573" t="s">
        <v>467</v>
      </c>
      <c r="B14" s="574" t="s">
        <v>663</v>
      </c>
      <c r="C14" s="573" t="s">
        <v>101</v>
      </c>
      <c r="D14" s="573" t="s">
        <v>671</v>
      </c>
      <c r="E14" s="574" t="s">
        <v>664</v>
      </c>
      <c r="F14" s="588" t="s">
        <v>330</v>
      </c>
      <c r="G14" s="576" t="s"/>
      <c r="H14" s="577" t="s">
        <v>674</v>
      </c>
      <c r="I14" s="51" t="s">
        <v>686</v>
      </c>
      <c r="J14" s="51" t="s">
        <v>468</v>
      </c>
      <c r="K14" s="354">
        <v>7028</v>
      </c>
      <c r="L14" s="585" t="s"/>
      <c r="M14" s="59" t="s"/>
      <c r="N14" s="59" t="s"/>
      <c r="O14" s="59" t="s"/>
      <c r="P14" s="59" t="s"/>
      <c r="Q14" s="59" t="s"/>
      <c r="R14" s="59" t="s"/>
    </row>
    <row r="15" spans="1:18" ht="44" customHeight="true">
      <c r="A15" s="573" t="s">
        <v>400</v>
      </c>
      <c r="B15" s="574" t="s">
        <v>663</v>
      </c>
      <c r="C15" s="573" t="s">
        <v>78</v>
      </c>
      <c r="D15" s="573" t="s">
        <v>132</v>
      </c>
      <c r="E15" s="574" t="s">
        <v>664</v>
      </c>
      <c r="F15" s="589" t="s">
        <v>359</v>
      </c>
      <c r="G15" s="587" t="s">
        <v>687</v>
      </c>
      <c r="H15" s="577" t="s">
        <v>137</v>
      </c>
      <c r="I15" s="578" t="s">
        <v>688</v>
      </c>
      <c r="J15" s="51">
        <v>7027</v>
      </c>
      <c r="K15" s="354" t="s"/>
      <c r="L15" s="579" t="s"/>
      <c r="M15" s="572" t="s"/>
      <c r="N15" s="59" t="s"/>
      <c r="O15" s="59" t="s"/>
      <c r="P15" s="59" t="s"/>
      <c r="Q15" s="59" t="s"/>
      <c r="R15" s="59" t="s"/>
    </row>
    <row r="16" spans="1:18" ht="22" customHeight="true">
      <c r="A16" s="573" t="s">
        <v>358</v>
      </c>
      <c r="B16" s="574" t="s">
        <v>663</v>
      </c>
      <c r="C16" s="573" t="s">
        <v>78</v>
      </c>
      <c r="D16" s="573" t="s">
        <v>96</v>
      </c>
      <c r="E16" s="574" t="s">
        <v>664</v>
      </c>
      <c r="F16" s="590" t="s">
        <v>359</v>
      </c>
      <c r="G16" s="380" t="s"/>
      <c r="H16" s="353" t="s"/>
      <c r="I16" s="51" t="s">
        <v>314</v>
      </c>
      <c r="J16" s="51" t="s">
        <v>410</v>
      </c>
      <c r="K16" s="354" t="s"/>
      <c r="L16" s="583" t="s"/>
      <c r="M16" s="572" t="s"/>
      <c r="N16" s="59" t="s"/>
      <c r="O16" s="59" t="s"/>
      <c r="P16" s="59" t="s"/>
      <c r="Q16" s="59" t="s"/>
      <c r="R16" s="59" t="s"/>
    </row>
    <row r="17" spans="1:18" ht="21" customHeight="true">
      <c r="A17" s="573" t="s">
        <v>361</v>
      </c>
      <c r="B17" s="574" t="s">
        <v>663</v>
      </c>
      <c r="C17" s="573" t="s">
        <v>78</v>
      </c>
      <c r="D17" s="573" t="s">
        <v>671</v>
      </c>
      <c r="E17" s="574" t="s">
        <v>664</v>
      </c>
      <c r="F17" s="590" t="s">
        <v>359</v>
      </c>
      <c r="G17" s="576" t="s"/>
      <c r="H17" s="577" t="s"/>
      <c r="I17" s="51" t="s">
        <v>689</v>
      </c>
      <c r="J17" s="51">
        <v>7027</v>
      </c>
      <c r="K17" s="354" t="s"/>
      <c r="L17" s="583" t="s"/>
      <c r="M17" s="572" t="s"/>
      <c r="N17" s="59" t="s"/>
      <c r="O17" s="59" t="s"/>
      <c r="P17" s="59" t="s"/>
      <c r="Q17" s="59" t="s"/>
      <c r="R17" s="59" t="s"/>
    </row>
    <row r="18" spans="1:18" ht="21" customHeight="true">
      <c r="A18" s="573" t="s">
        <v>365</v>
      </c>
      <c r="B18" s="574" t="s">
        <v>663</v>
      </c>
      <c r="C18" s="573" t="s">
        <v>78</v>
      </c>
      <c r="D18" s="573" t="s">
        <v>671</v>
      </c>
      <c r="E18" s="574" t="s">
        <v>664</v>
      </c>
      <c r="F18" s="589" t="s">
        <v>359</v>
      </c>
      <c r="G18" s="576" t="s"/>
      <c r="H18" s="577" t="s"/>
      <c r="I18" s="578" t="s"/>
      <c r="J18" s="51">
        <v>7027</v>
      </c>
      <c r="K18" s="354" t="s"/>
      <c r="L18" s="583" t="s"/>
      <c r="M18" s="572" t="s"/>
      <c r="N18" s="59" t="s"/>
      <c r="O18" s="59" t="s"/>
      <c r="P18" s="59" t="s"/>
      <c r="Q18" s="59" t="s"/>
      <c r="R18" s="59" t="s"/>
    </row>
    <row r="19" spans="1:18" ht="21" customHeight="true">
      <c r="A19" s="573" t="s">
        <v>369</v>
      </c>
      <c r="B19" s="574" t="s">
        <v>663</v>
      </c>
      <c r="C19" s="573" t="s">
        <v>78</v>
      </c>
      <c r="D19" s="573" t="s">
        <v>71</v>
      </c>
      <c r="E19" s="574" t="s">
        <v>664</v>
      </c>
      <c r="F19" s="590" t="s">
        <v>359</v>
      </c>
      <c r="G19" s="576" t="s"/>
      <c r="H19" s="577" t="s"/>
      <c r="I19" s="578" t="s"/>
      <c r="J19" s="51">
        <v>7027</v>
      </c>
      <c r="K19" s="354" t="s"/>
      <c r="L19" s="583" t="s"/>
      <c r="M19" s="572" t="s"/>
      <c r="N19" s="59" t="s"/>
      <c r="O19" s="59" t="s"/>
      <c r="P19" s="59" t="s"/>
      <c r="Q19" s="59" t="s"/>
      <c r="R19" s="59" t="s"/>
    </row>
    <row r="20" spans="1:18" ht="21" customHeight="true">
      <c r="A20" s="573" t="s">
        <v>376</v>
      </c>
      <c r="B20" s="574" t="s">
        <v>663</v>
      </c>
      <c r="C20" s="573" t="s">
        <v>78</v>
      </c>
      <c r="D20" s="573" t="s">
        <v>671</v>
      </c>
      <c r="E20" s="574" t="s">
        <v>664</v>
      </c>
      <c r="F20" s="590" t="s">
        <v>359</v>
      </c>
      <c r="G20" s="576" t="s"/>
      <c r="H20" s="577" t="s"/>
      <c r="I20" s="578" t="s"/>
      <c r="J20" s="51" t="s">
        <v>468</v>
      </c>
      <c r="K20" s="354">
        <v>7027</v>
      </c>
      <c r="L20" s="583" t="s">
        <v>690</v>
      </c>
      <c r="M20" s="572" t="s"/>
      <c r="N20" s="59" t="s"/>
      <c r="O20" s="59" t="s"/>
      <c r="P20" s="59" t="s"/>
      <c r="Q20" s="59" t="s"/>
      <c r="R20" s="59" t="s"/>
    </row>
    <row r="21" spans="1:18" ht="21" customHeight="true">
      <c r="A21" s="573" t="s">
        <v>382</v>
      </c>
      <c r="B21" s="574" t="s">
        <v>663</v>
      </c>
      <c r="C21" s="573" t="s">
        <v>101</v>
      </c>
      <c r="D21" s="573" t="s">
        <v>96</v>
      </c>
      <c r="E21" s="574" t="s">
        <v>664</v>
      </c>
      <c r="F21" s="589" t="s">
        <v>359</v>
      </c>
      <c r="G21" s="576" t="s"/>
      <c r="H21" s="577" t="s">
        <v>674</v>
      </c>
      <c r="I21" s="55" t="s">
        <v>691</v>
      </c>
      <c r="J21" s="51">
        <v>7027</v>
      </c>
      <c r="K21" s="354" t="s"/>
      <c r="L21" s="585" t="s"/>
      <c r="M21" s="59" t="s"/>
      <c r="N21" s="59" t="s"/>
      <c r="O21" s="59" t="s"/>
      <c r="P21" s="59" t="s"/>
      <c r="Q21" s="59" t="s"/>
      <c r="R21" s="59" t="s"/>
    </row>
    <row r="22" spans="1:18" ht="21" customHeight="true">
      <c r="A22" s="573" t="s">
        <v>383</v>
      </c>
      <c r="B22" s="574" t="s">
        <v>663</v>
      </c>
      <c r="C22" s="573" t="s">
        <v>101</v>
      </c>
      <c r="D22" s="573" t="s">
        <v>671</v>
      </c>
      <c r="E22" s="574" t="s">
        <v>684</v>
      </c>
      <c r="F22" s="589" t="s">
        <v>359</v>
      </c>
      <c r="G22" s="576" t="s"/>
      <c r="H22" s="577" t="s"/>
      <c r="I22" s="51" t="s">
        <v>692</v>
      </c>
      <c r="J22" s="51">
        <v>7027</v>
      </c>
      <c r="K22" s="354" t="s"/>
      <c r="L22" s="585" t="s"/>
      <c r="M22" s="59" t="s"/>
      <c r="N22" s="59" t="s"/>
      <c r="O22" s="59" t="s"/>
      <c r="P22" s="59" t="s"/>
      <c r="Q22" s="59" t="s"/>
      <c r="R22" s="59" t="s"/>
    </row>
    <row r="23" spans="1:18" ht="73" customHeight="true">
      <c r="A23" s="573" t="s">
        <v>641</v>
      </c>
      <c r="B23" s="574" t="s">
        <v>663</v>
      </c>
      <c r="C23" s="573" t="s">
        <v>78</v>
      </c>
      <c r="D23" s="573" t="s">
        <v>132</v>
      </c>
      <c r="E23" s="574" t="s">
        <v>664</v>
      </c>
      <c r="F23" s="591" t="s">
        <v>296</v>
      </c>
      <c r="G23" s="576" t="s">
        <v>693</v>
      </c>
      <c r="H23" s="592" t="s">
        <v>137</v>
      </c>
      <c r="I23" s="582" t="s">
        <v>694</v>
      </c>
      <c r="J23" s="51">
        <v>7027</v>
      </c>
      <c r="K23" s="354" t="s"/>
      <c r="L23" s="583" t="s"/>
      <c r="M23" s="593" t="s"/>
      <c r="N23" s="68" t="s"/>
      <c r="O23" s="68" t="s"/>
      <c r="P23" s="68" t="s"/>
      <c r="Q23" s="68" t="s"/>
      <c r="R23" s="68" t="s"/>
    </row>
    <row r="24" spans="1:18" ht="21" customHeight="true">
      <c r="A24" s="573" t="s">
        <v>309</v>
      </c>
      <c r="B24" s="574" t="s">
        <v>663</v>
      </c>
      <c r="C24" s="573" t="s">
        <v>78</v>
      </c>
      <c r="D24" s="573" t="s">
        <v>671</v>
      </c>
      <c r="E24" s="574" t="s">
        <v>664</v>
      </c>
      <c r="F24" s="591" t="s">
        <v>296</v>
      </c>
      <c r="G24" s="576" t="s"/>
      <c r="H24" s="577" t="s"/>
      <c r="I24" s="578" t="s">
        <v>695</v>
      </c>
      <c r="J24" s="51">
        <v>7027</v>
      </c>
      <c r="K24" s="51" t="s"/>
      <c r="L24" s="579" t="s"/>
      <c r="M24" s="572" t="s"/>
      <c r="N24" s="59" t="s"/>
      <c r="O24" s="59" t="s"/>
      <c r="P24" s="59" t="s"/>
      <c r="Q24" s="59" t="s"/>
      <c r="R24" s="59" t="s"/>
    </row>
    <row r="25" spans="1:18" ht="21" customHeight="true">
      <c r="A25" s="573" t="s">
        <v>312</v>
      </c>
      <c r="B25" s="574" t="s">
        <v>663</v>
      </c>
      <c r="C25" s="573" t="s">
        <v>78</v>
      </c>
      <c r="D25" s="573" t="s">
        <v>71</v>
      </c>
      <c r="E25" s="574" t="s">
        <v>664</v>
      </c>
      <c r="F25" s="591" t="s">
        <v>296</v>
      </c>
      <c r="G25" s="576" t="s">
        <v>696</v>
      </c>
      <c r="H25" s="577" t="s"/>
      <c r="I25" s="594" t="s">
        <v>697</v>
      </c>
      <c r="J25" s="51" t="s">
        <v>410</v>
      </c>
      <c r="K25" s="354">
        <v>7029</v>
      </c>
      <c r="L25" s="579" t="s">
        <v>698</v>
      </c>
      <c r="M25" s="572" t="s"/>
      <c r="N25" s="59" t="s"/>
      <c r="O25" s="59" t="s"/>
      <c r="P25" s="59" t="s"/>
      <c r="Q25" s="59" t="s"/>
      <c r="R25" s="59" t="s"/>
    </row>
    <row r="26" spans="1:18" ht="21" customHeight="true">
      <c r="A26" s="573" t="s">
        <v>638</v>
      </c>
      <c r="B26" s="574" t="s">
        <v>663</v>
      </c>
      <c r="C26" s="573" t="s">
        <v>78</v>
      </c>
      <c r="D26" s="573" t="s">
        <v>71</v>
      </c>
      <c r="E26" s="574" t="s">
        <v>664</v>
      </c>
      <c r="F26" s="595" t="s">
        <v>296</v>
      </c>
      <c r="G26" s="580" t="s"/>
      <c r="H26" s="581" t="s"/>
      <c r="I26" s="51" t="s">
        <v>699</v>
      </c>
      <c r="J26" s="51">
        <v>7027</v>
      </c>
      <c r="K26" s="354">
        <v>1111</v>
      </c>
      <c r="L26" s="583" t="s"/>
      <c r="M26" s="572" t="s"/>
      <c r="N26" s="59" t="s"/>
      <c r="O26" s="59" t="s"/>
      <c r="P26" s="59" t="s"/>
      <c r="Q26" s="59" t="s"/>
      <c r="R26" s="59" t="s"/>
    </row>
    <row r="27" spans="1:18" ht="21" customHeight="true">
      <c r="A27" s="573" t="s">
        <v>452</v>
      </c>
      <c r="B27" s="574" t="s">
        <v>663</v>
      </c>
      <c r="C27" s="573" t="s">
        <v>78</v>
      </c>
      <c r="D27" s="573" t="s">
        <v>132</v>
      </c>
      <c r="E27" s="574" t="s">
        <v>664</v>
      </c>
      <c r="F27" s="591" t="s">
        <v>296</v>
      </c>
      <c r="G27" s="576" t="s"/>
      <c r="H27" s="577" t="s"/>
      <c r="I27" s="578" t="s">
        <v>700</v>
      </c>
      <c r="J27" s="51">
        <v>7028</v>
      </c>
      <c r="K27" s="51">
        <v>7028</v>
      </c>
      <c r="L27" s="579" t="s"/>
      <c r="M27" s="572" t="s"/>
      <c r="N27" s="59" t="s"/>
      <c r="O27" s="59" t="s"/>
      <c r="P27" s="59" t="s"/>
      <c r="Q27" s="59" t="s"/>
      <c r="R27" s="59" t="s"/>
    </row>
    <row r="28" spans="1:18" ht="21" customHeight="true">
      <c r="A28" s="573" t="s">
        <v>398</v>
      </c>
      <c r="B28" s="574" t="s">
        <v>663</v>
      </c>
      <c r="C28" s="573" t="s">
        <v>78</v>
      </c>
      <c r="D28" s="573" t="s">
        <v>71</v>
      </c>
      <c r="E28" s="574" t="s">
        <v>664</v>
      </c>
      <c r="F28" s="591" t="s">
        <v>296</v>
      </c>
      <c r="G28" s="576" t="s">
        <v>701</v>
      </c>
      <c r="H28" s="577" t="s"/>
      <c r="I28" s="578" t="s"/>
      <c r="J28" s="51">
        <v>7027</v>
      </c>
      <c r="K28" s="354" t="s"/>
      <c r="L28" s="583" t="s"/>
      <c r="M28" s="572" t="s"/>
      <c r="N28" s="59" t="s"/>
      <c r="O28" s="59" t="s"/>
      <c r="P28" s="59" t="s"/>
      <c r="Q28" s="59" t="s"/>
      <c r="R28" s="59" t="s"/>
    </row>
    <row r="29" spans="1:18" ht="21" customHeight="true">
      <c r="A29" s="573" t="s">
        <v>624</v>
      </c>
      <c r="B29" s="574" t="s">
        <v>663</v>
      </c>
      <c r="C29" s="573" t="s">
        <v>78</v>
      </c>
      <c r="D29" s="573" t="s">
        <v>671</v>
      </c>
      <c r="E29" s="574" t="s">
        <v>664</v>
      </c>
      <c r="F29" s="591" t="s">
        <v>296</v>
      </c>
      <c r="G29" s="576" t="s">
        <v>702</v>
      </c>
      <c r="H29" s="577" t="s"/>
      <c r="I29" s="51" t="s"/>
      <c r="J29" s="51">
        <v>7027</v>
      </c>
      <c r="K29" s="354" t="s"/>
      <c r="L29" s="583" t="s">
        <v>703</v>
      </c>
      <c r="M29" s="572" t="s"/>
      <c r="N29" s="59" t="s"/>
      <c r="O29" s="59" t="s"/>
      <c r="P29" s="59" t="s"/>
      <c r="Q29" s="59" t="s"/>
      <c r="R29" s="59" t="s"/>
    </row>
    <row r="30" spans="1:18" ht="21" customHeight="true">
      <c r="A30" s="573" t="s">
        <v>320</v>
      </c>
      <c r="B30" s="574" t="s">
        <v>663</v>
      </c>
      <c r="C30" s="573" t="s">
        <v>78</v>
      </c>
      <c r="D30" s="573" t="s">
        <v>671</v>
      </c>
      <c r="E30" s="574" t="s">
        <v>664</v>
      </c>
      <c r="F30" s="591" t="s">
        <v>296</v>
      </c>
      <c r="G30" s="576" t="s"/>
      <c r="H30" s="577" t="s"/>
      <c r="I30" s="578" t="s"/>
      <c r="J30" s="51">
        <v>7027</v>
      </c>
      <c r="K30" s="354" t="s"/>
      <c r="L30" s="583" t="s"/>
      <c r="M30" s="572" t="s"/>
      <c r="N30" s="59" t="s"/>
      <c r="O30" s="59" t="s"/>
      <c r="P30" s="59" t="s"/>
      <c r="Q30" s="59" t="s"/>
      <c r="R30" s="59" t="s"/>
    </row>
    <row r="31" spans="1:18" ht="21" customHeight="true">
      <c r="A31" s="573" t="s">
        <v>704</v>
      </c>
      <c r="B31" s="574" t="s">
        <v>663</v>
      </c>
      <c r="C31" s="573" t="s">
        <v>78</v>
      </c>
      <c r="D31" s="573" t="s">
        <v>671</v>
      </c>
      <c r="E31" s="574" t="s">
        <v>664</v>
      </c>
      <c r="F31" s="591" t="s">
        <v>296</v>
      </c>
      <c r="G31" s="576" t="s"/>
      <c r="H31" s="577" t="s"/>
      <c r="I31" s="578" t="s"/>
      <c r="J31" s="51">
        <v>7027</v>
      </c>
      <c r="K31" s="354" t="s"/>
      <c r="L31" s="583" t="s"/>
      <c r="M31" s="572" t="s"/>
      <c r="N31" s="59" t="s"/>
      <c r="O31" s="59" t="s"/>
      <c r="P31" s="59" t="s"/>
      <c r="Q31" s="59" t="s"/>
      <c r="R31" s="59" t="s"/>
    </row>
    <row r="32" spans="1:18" ht="21" customHeight="true">
      <c r="A32" s="573" t="s">
        <v>324</v>
      </c>
      <c r="B32" s="574" t="s">
        <v>663</v>
      </c>
      <c r="C32" s="573" t="s">
        <v>101</v>
      </c>
      <c r="D32" s="573" t="s">
        <v>71</v>
      </c>
      <c r="E32" s="574" t="s">
        <v>664</v>
      </c>
      <c r="F32" s="591" t="s">
        <v>296</v>
      </c>
      <c r="G32" s="576" t="s"/>
      <c r="H32" s="577" t="s"/>
      <c r="I32" s="51" t="s">
        <v>691</v>
      </c>
      <c r="J32" s="51">
        <v>7027</v>
      </c>
      <c r="K32" s="354">
        <v>7028</v>
      </c>
      <c r="L32" s="585" t="s"/>
      <c r="M32" s="59" t="s"/>
      <c r="N32" s="59" t="s"/>
      <c r="O32" s="59" t="s"/>
      <c r="P32" s="59" t="s"/>
      <c r="Q32" s="59" t="s"/>
      <c r="R32" s="59" t="s"/>
    </row>
    <row r="33" spans="1:18" ht="21" customHeight="true">
      <c r="A33" s="573" t="s">
        <v>387</v>
      </c>
      <c r="B33" s="574" t="s">
        <v>663</v>
      </c>
      <c r="C33" s="573" t="s">
        <v>101</v>
      </c>
      <c r="D33" s="573" t="s">
        <v>96</v>
      </c>
      <c r="E33" s="574" t="s">
        <v>664</v>
      </c>
      <c r="F33" s="584" t="s">
        <v>388</v>
      </c>
      <c r="G33" s="576" t="s">
        <v>705</v>
      </c>
      <c r="H33" s="577" t="s"/>
      <c r="I33" s="51" t="s">
        <v>706</v>
      </c>
      <c r="J33" s="51">
        <v>7027</v>
      </c>
      <c r="K33" s="354" t="s"/>
      <c r="L33" s="585" t="s"/>
      <c r="M33" s="59" t="s"/>
      <c r="N33" s="59" t="s"/>
      <c r="O33" s="59" t="s"/>
      <c r="P33" s="59" t="s"/>
      <c r="Q33" s="59" t="s"/>
      <c r="R33" s="59" t="s"/>
    </row>
    <row r="34" spans="1:18" ht="21" customHeight="true">
      <c r="A34" s="573" t="s">
        <v>480</v>
      </c>
      <c r="B34" s="574" t="s">
        <v>663</v>
      </c>
      <c r="C34" s="573" t="s">
        <v>101</v>
      </c>
      <c r="D34" s="573" t="s">
        <v>71</v>
      </c>
      <c r="E34" s="574" t="s">
        <v>664</v>
      </c>
      <c r="F34" s="584" t="s">
        <v>388</v>
      </c>
      <c r="G34" s="576" t="s"/>
      <c r="H34" s="577" t="s"/>
      <c r="I34" s="578" t="s">
        <v>707</v>
      </c>
      <c r="J34" s="51">
        <v>7027</v>
      </c>
      <c r="K34" s="51" t="s"/>
      <c r="L34" s="585" t="s"/>
      <c r="M34" s="59" t="s"/>
      <c r="N34" s="59" t="s"/>
      <c r="O34" s="59" t="s"/>
      <c r="P34" s="59" t="s"/>
      <c r="Q34" s="59" t="s"/>
      <c r="R34" s="59" t="s"/>
    </row>
    <row r="35" spans="1:18" ht="21" customHeight="true">
      <c r="A35" s="573" t="s">
        <v>396</v>
      </c>
      <c r="B35" s="574" t="s">
        <v>663</v>
      </c>
      <c r="C35" s="573" t="s">
        <v>78</v>
      </c>
      <c r="D35" s="573" t="s">
        <v>671</v>
      </c>
      <c r="E35" s="574" t="s">
        <v>664</v>
      </c>
      <c r="F35" s="596" t="s">
        <v>397</v>
      </c>
      <c r="G35" s="576" t="s"/>
      <c r="H35" s="577" t="s"/>
      <c r="I35" s="578" t="s"/>
      <c r="J35" s="51" t="s">
        <v>178</v>
      </c>
      <c r="K35" s="354" t="s">
        <v>178</v>
      </c>
      <c r="L35" s="579" t="s"/>
      <c r="M35" s="572" t="s"/>
      <c r="N35" s="59" t="s"/>
      <c r="O35" s="59" t="s"/>
      <c r="P35" s="59" t="s"/>
      <c r="Q35" s="59" t="s"/>
      <c r="R35" s="59" t="s"/>
    </row>
    <row r="36" spans="1:18" ht="22" customHeight="true">
      <c r="A36" s="112" t="s">
        <v>345</v>
      </c>
      <c r="B36" s="574" t="s">
        <v>663</v>
      </c>
      <c r="C36" s="573" t="s">
        <v>78</v>
      </c>
      <c r="D36" s="573" t="s">
        <v>71</v>
      </c>
      <c r="E36" s="574" t="s">
        <v>664</v>
      </c>
      <c r="F36" s="597" t="s">
        <v>397</v>
      </c>
      <c r="G36" s="576" t="s"/>
      <c r="H36" s="577" t="s"/>
      <c r="I36" s="578" t="s"/>
      <c r="J36" s="51" t="s">
        <v>178</v>
      </c>
      <c r="K36" s="354" t="s">
        <v>178</v>
      </c>
      <c r="L36" s="579" t="s"/>
      <c r="M36" s="572" t="s"/>
      <c r="N36" s="59" t="s"/>
      <c r="O36" s="59" t="s"/>
      <c r="P36" s="59" t="s"/>
      <c r="Q36" s="59" t="s"/>
      <c r="R36" s="59" t="s"/>
    </row>
    <row r="37" spans="1:18" ht="22" customHeight="true">
      <c r="A37" s="573" t="s">
        <v>390</v>
      </c>
      <c r="B37" s="574" t="s">
        <v>663</v>
      </c>
      <c r="C37" s="573" t="s">
        <v>78</v>
      </c>
      <c r="D37" s="573" t="s">
        <v>132</v>
      </c>
      <c r="E37" s="574" t="s">
        <v>664</v>
      </c>
      <c r="F37" s="598" t="s">
        <v>391</v>
      </c>
      <c r="G37" s="576" t="s">
        <v>708</v>
      </c>
      <c r="H37" s="577" t="s">
        <v>162</v>
      </c>
      <c r="I37" s="578" t="s"/>
      <c r="J37" s="51" t="s">
        <v>160</v>
      </c>
      <c r="K37" s="354" t="s">
        <v>160</v>
      </c>
      <c r="L37" s="579" t="s"/>
      <c r="M37" s="572" t="s"/>
      <c r="N37" s="59" t="s"/>
      <c r="O37" s="59" t="s"/>
      <c r="P37" s="59" t="s"/>
      <c r="Q37" s="59" t="s"/>
      <c r="R37" s="59" t="s"/>
    </row>
    <row r="38" spans="1:18" ht="22" customHeight="true">
      <c r="A38" s="573" t="s">
        <v>399</v>
      </c>
      <c r="B38" s="574" t="s">
        <v>663</v>
      </c>
      <c r="C38" s="573" t="s">
        <v>78</v>
      </c>
      <c r="D38" s="573" t="s">
        <v>132</v>
      </c>
      <c r="E38" s="574" t="s">
        <v>664</v>
      </c>
      <c r="F38" s="598" t="s">
        <v>391</v>
      </c>
      <c r="G38" s="576" t="s"/>
      <c r="H38" s="577" t="s">
        <v>709</v>
      </c>
      <c r="I38" s="578" t="s"/>
      <c r="J38" s="51" t="s">
        <v>178</v>
      </c>
      <c r="K38" s="354" t="s">
        <v>178</v>
      </c>
      <c r="L38" s="579" t="s"/>
      <c r="M38" s="572" t="s"/>
      <c r="N38" s="59" t="s"/>
      <c r="O38" s="59" t="s"/>
      <c r="P38" s="59" t="s"/>
      <c r="Q38" s="59" t="s"/>
      <c r="R38" s="59" t="s"/>
    </row>
    <row r="39" spans="1:18" ht="21" customHeight="true">
      <c r="A39" s="573" t="s">
        <v>393</v>
      </c>
      <c r="B39" s="574" t="s">
        <v>663</v>
      </c>
      <c r="C39" s="573" t="s">
        <v>78</v>
      </c>
      <c r="D39" s="573" t="s">
        <v>96</v>
      </c>
      <c r="E39" s="574" t="s">
        <v>664</v>
      </c>
      <c r="F39" s="598" t="s">
        <v>391</v>
      </c>
      <c r="G39" s="580" t="s"/>
      <c r="H39" s="581" t="s"/>
      <c r="I39" s="578" t="s">
        <v>710</v>
      </c>
      <c r="J39" s="51" t="s">
        <v>160</v>
      </c>
      <c r="K39" s="354">
        <v>7028</v>
      </c>
      <c r="L39" s="579" t="s"/>
      <c r="M39" s="572" t="s"/>
      <c r="N39" s="59" t="s"/>
      <c r="O39" s="59" t="s"/>
      <c r="P39" s="59" t="s"/>
      <c r="Q39" s="59" t="s"/>
      <c r="R39" s="59" t="s"/>
    </row>
    <row r="40" spans="1:18" ht="21" customHeight="true">
      <c r="A40" s="573" t="s">
        <v>482</v>
      </c>
      <c r="B40" s="574" t="s">
        <v>663</v>
      </c>
      <c r="C40" s="573" t="s">
        <v>78</v>
      </c>
      <c r="D40" s="573" t="s">
        <v>71</v>
      </c>
      <c r="E40" s="574" t="s">
        <v>664</v>
      </c>
      <c r="F40" s="598" t="s">
        <v>391</v>
      </c>
      <c r="G40" s="580" t="s"/>
      <c r="H40" s="581" t="s"/>
      <c r="I40" s="578" t="s">
        <v>410</v>
      </c>
      <c r="J40" s="51" t="s">
        <v>410</v>
      </c>
      <c r="K40" s="354" t="s">
        <v>410</v>
      </c>
      <c r="L40" s="583" t="s">
        <v>483</v>
      </c>
      <c r="M40" s="572" t="s"/>
      <c r="N40" s="59" t="s"/>
      <c r="O40" s="59" t="s"/>
      <c r="P40" s="59" t="s"/>
      <c r="Q40" s="59" t="s"/>
      <c r="R40" s="59" t="s"/>
    </row>
    <row r="41" spans="1:18" ht="21" customHeight="true">
      <c r="A41" s="573" t="s">
        <v>484</v>
      </c>
      <c r="B41" s="574" t="s">
        <v>663</v>
      </c>
      <c r="C41" s="573" t="s">
        <v>78</v>
      </c>
      <c r="D41" s="573" t="s">
        <v>711</v>
      </c>
      <c r="E41" s="574" t="s">
        <v>664</v>
      </c>
      <c r="F41" s="577" t="s">
        <v>401</v>
      </c>
      <c r="G41" s="580" t="s">
        <v>712</v>
      </c>
      <c r="H41" s="581" t="s"/>
      <c r="I41" s="582" t="s"/>
      <c r="J41" s="51" t="s">
        <v>185</v>
      </c>
      <c r="K41" s="354" t="s">
        <v>185</v>
      </c>
      <c r="L41" s="579" t="s"/>
      <c r="M41" s="572" t="s"/>
      <c r="N41" s="59" t="s"/>
      <c r="O41" s="59" t="s"/>
      <c r="P41" s="59" t="s"/>
      <c r="Q41" s="59" t="s"/>
      <c r="R41" s="59" t="s"/>
    </row>
    <row r="42" spans="1:18" ht="21" customHeight="true">
      <c r="A42" s="573" t="s">
        <v>402</v>
      </c>
      <c r="B42" s="574" t="s">
        <v>663</v>
      </c>
      <c r="C42" s="573" t="s">
        <v>78</v>
      </c>
      <c r="D42" s="573" t="s">
        <v>711</v>
      </c>
      <c r="E42" s="574" t="s">
        <v>664</v>
      </c>
      <c r="F42" s="577" t="s">
        <v>401</v>
      </c>
      <c r="G42" s="580" t="s">
        <v>712</v>
      </c>
      <c r="H42" s="577" t="s"/>
      <c r="I42" s="578" t="s">
        <v>713</v>
      </c>
      <c r="J42" s="51" t="s">
        <v>185</v>
      </c>
      <c r="K42" s="354" t="s">
        <v>185</v>
      </c>
      <c r="L42" s="579" t="s"/>
      <c r="M42" s="572" t="s"/>
      <c r="N42" s="59" t="s"/>
      <c r="O42" s="59" t="s"/>
      <c r="P42" s="59" t="s"/>
      <c r="Q42" s="59" t="s"/>
      <c r="R42" s="59" t="s"/>
    </row>
    <row r="43" spans="1:18" ht="21" customHeight="true">
      <c r="A43" s="573" t="s">
        <v>389</v>
      </c>
      <c r="B43" s="574" t="s">
        <v>663</v>
      </c>
      <c r="C43" s="573" t="s">
        <v>101</v>
      </c>
      <c r="D43" s="573" t="s">
        <v>132</v>
      </c>
      <c r="E43" s="574" t="s">
        <v>664</v>
      </c>
      <c r="F43" s="578" t="s">
        <v>401</v>
      </c>
      <c r="G43" s="576" t="s">
        <v>714</v>
      </c>
      <c r="H43" s="577" t="s"/>
      <c r="I43" s="578" t="s"/>
      <c r="J43" s="51" t="s">
        <v>185</v>
      </c>
      <c r="K43" s="354" t="s">
        <v>185</v>
      </c>
      <c r="L43" s="585" t="s"/>
      <c r="M43" s="572" t="s"/>
      <c r="N43" s="59" t="s"/>
      <c r="O43" s="59" t="s"/>
      <c r="P43" s="59" t="s"/>
      <c r="Q43" s="59" t="s"/>
      <c r="R43" s="59" t="s"/>
    </row>
    <row r="44" spans="1:18" ht="13.5" hidden="true">
      <c r="A44" s="573" t="s">
        <v>485</v>
      </c>
      <c r="B44" s="574" t="s">
        <v>663</v>
      </c>
      <c r="C44" s="573" t="s">
        <v>78</v>
      </c>
      <c r="D44" s="573" t="s">
        <v>71</v>
      </c>
      <c r="E44" s="574" t="s">
        <v>684</v>
      </c>
      <c r="F44" s="354" t="s">
        <v>404</v>
      </c>
      <c r="G44" s="380" t="s"/>
      <c r="H44" s="353" t="s"/>
      <c r="I44" s="51" t="s">
        <v>715</v>
      </c>
      <c r="J44" s="51" t="s">
        <v>404</v>
      </c>
      <c r="K44" s="354" t="s">
        <v>404</v>
      </c>
      <c r="L44" s="579" t="s"/>
      <c r="M44" s="572" t="s"/>
      <c r="N44" s="59" t="s"/>
      <c r="O44" s="59" t="s"/>
      <c r="P44" s="59" t="s"/>
      <c r="Q44" s="59" t="s"/>
      <c r="R44" s="59" t="s"/>
    </row>
    <row r="45" spans="1:18" ht="13.5" hidden="true">
      <c r="A45" s="599" t="s"/>
      <c r="B45" s="600" t="s"/>
      <c r="C45" s="599" t="s"/>
      <c r="D45" s="601" t="s"/>
      <c r="E45" s="602" t="s"/>
      <c r="F45" s="566" t="s"/>
      <c r="G45" s="603" t="s"/>
      <c r="H45" s="604" t="s"/>
      <c r="I45" s="384" t="s"/>
      <c r="J45" s="411" t="s"/>
      <c r="K45" s="605" t="s"/>
      <c r="L45" s="606" t="s"/>
      <c r="M45" s="59" t="s"/>
      <c r="N45" s="59" t="s"/>
      <c r="O45" s="59" t="s"/>
      <c r="P45" s="59" t="s"/>
      <c r="Q45" s="59" t="s"/>
      <c r="R45" s="59" t="s"/>
    </row>
    <row r="46" spans="1:18" ht="13.5" hidden="true">
      <c r="A46" s="599" t="s"/>
      <c r="B46" s="600" t="s"/>
      <c r="C46" s="599" t="s"/>
      <c r="D46" s="599" t="s"/>
      <c r="E46" s="600" t="s"/>
      <c r="F46" s="57" t="s"/>
      <c r="G46" s="60" t="s"/>
      <c r="H46" s="59" t="s"/>
      <c r="I46" s="38" t="s"/>
      <c r="J46" s="38" t="s"/>
      <c r="K46" s="57" t="s"/>
      <c r="L46" s="606" t="s"/>
      <c r="M46" s="59" t="s"/>
      <c r="N46" s="59" t="s"/>
      <c r="O46" s="59" t="s"/>
      <c r="P46" s="59" t="s"/>
      <c r="Q46" s="59" t="s"/>
      <c r="R46" s="59" t="s"/>
    </row>
    <row r="47" spans="1:18" ht="13.5" hidden="true">
      <c r="A47" s="59" t="s"/>
      <c r="B47" s="59" t="s"/>
      <c r="C47" s="59" t="s"/>
      <c r="D47" s="354" t="s">
        <v>716</v>
      </c>
      <c r="E47" s="607" t="s"/>
      <c r="F47" s="523" t="s"/>
      <c r="G47" s="608" t="s">
        <v>717</v>
      </c>
      <c r="H47" s="59" t="s"/>
      <c r="I47" s="38" t="s"/>
      <c r="J47" s="38" t="s"/>
      <c r="K47" s="57" t="s"/>
      <c r="L47" s="609" t="s"/>
      <c r="M47" s="59" t="s"/>
      <c r="N47" s="59" t="s"/>
      <c r="O47" s="59" t="s"/>
      <c r="P47" s="59" t="s"/>
      <c r="Q47" s="59" t="s"/>
      <c r="R47" s="610" t="s"/>
    </row>
    <row r="48" spans="1:18" ht="13.5">
      <c r="A48" s="59" t="s"/>
      <c r="B48" s="59" t="s"/>
      <c r="C48" s="59" t="s"/>
      <c r="D48" s="354" t="s">
        <v>718</v>
      </c>
      <c r="E48" s="380">
        <f>=COUNTIFS(C1:C1048573,"开发",J1:J1048573,"7026R1")</f>
        <v>0</v>
      </c>
      <c r="F48" s="611">
        <f>=E48/E58</f>
        <v>0</v>
      </c>
      <c r="G48" s="608" t="s">
        <v>719</v>
      </c>
      <c r="H48" s="59" t="s"/>
      <c r="I48" s="38" t="s"/>
      <c r="J48" s="38" t="s"/>
      <c r="K48" s="57" t="s"/>
      <c r="L48" s="609" t="s"/>
      <c r="M48" s="59" t="s"/>
      <c r="N48" s="59" t="s"/>
      <c r="O48" s="59" t="s"/>
      <c r="P48" s="59" t="s"/>
      <c r="Q48" s="59" t="s"/>
      <c r="R48" s="612" t="s"/>
    </row>
    <row r="49" spans="1:18" ht="13.5">
      <c r="A49" s="59" t="s"/>
      <c r="B49" s="59" t="s"/>
      <c r="C49" s="59" t="s"/>
      <c r="D49" s="354" t="s">
        <v>468</v>
      </c>
      <c r="E49" s="380">
        <f>=COUNTIFS(C2:C1048574,"开发",J2:J1048574,"7026R2")</f>
        <v>3</v>
      </c>
      <c r="F49" s="611">
        <f>=E49/E58</f>
        <v>0.09375</v>
      </c>
      <c r="G49" s="608" t="s">
        <v>720</v>
      </c>
      <c r="H49" s="59" t="s"/>
      <c r="I49" s="38" t="s"/>
      <c r="J49" s="38" t="s"/>
      <c r="K49" s="57" t="s"/>
      <c r="L49" s="609" t="s"/>
      <c r="M49" s="59" t="s"/>
      <c r="N49" s="59" t="s"/>
      <c r="O49" s="59" t="s"/>
      <c r="P49" s="59" t="s"/>
      <c r="Q49" s="59" t="s"/>
      <c r="R49" s="612" t="s"/>
    </row>
    <row r="50" spans="1:18" ht="13.5">
      <c r="A50" s="59" t="s"/>
      <c r="B50" s="59" t="s"/>
      <c r="C50" s="613" t="s"/>
      <c r="D50" s="354">
        <v>7027</v>
      </c>
      <c r="E50" s="380">
        <f>=COUNTIFS(C1:C1048573,"开发",J1:J1048573,"7027")</f>
        <v>16</v>
      </c>
      <c r="F50" s="611">
        <f>=E50/E58</f>
        <v>0.5</v>
      </c>
      <c r="G50" s="608" t="s">
        <v>721</v>
      </c>
      <c r="H50" s="572" t="s"/>
      <c r="I50" s="38" t="s"/>
      <c r="J50" s="38" t="s"/>
      <c r="K50" s="57" t="s"/>
      <c r="L50" s="609" t="s"/>
      <c r="M50" s="59" t="s"/>
      <c r="N50" s="59" t="s"/>
      <c r="O50" s="59" t="s"/>
      <c r="P50" s="59" t="s"/>
      <c r="Q50" s="613" t="s"/>
      <c r="R50" s="610" t="s"/>
    </row>
    <row r="51" spans="1:18" ht="13.5">
      <c r="A51" s="59" t="s"/>
      <c r="B51" s="59" t="s"/>
      <c r="C51" s="613" t="s"/>
      <c r="D51" s="354">
        <v>7028</v>
      </c>
      <c r="E51" s="380">
        <f>=COUNTIFS(C1:C1048573,"开发",J1:J1048573,"7028")</f>
        <v>2</v>
      </c>
      <c r="F51" s="611">
        <f>=E51/E58</f>
        <v>0.0625</v>
      </c>
      <c r="G51" s="608" t="s">
        <v>722</v>
      </c>
      <c r="H51" s="572" t="s"/>
      <c r="I51" s="38" t="s"/>
      <c r="J51" s="38" t="s"/>
      <c r="K51" s="57" t="s"/>
      <c r="L51" s="609" t="s"/>
      <c r="M51" s="59" t="s"/>
      <c r="N51" s="59" t="s"/>
      <c r="O51" s="59" t="s"/>
      <c r="P51" s="59" t="s"/>
      <c r="Q51" s="613" t="s"/>
      <c r="R51" s="610" t="s"/>
    </row>
    <row r="52" spans="1:18" ht="13.5" hidden="true">
      <c r="A52" s="59" t="s"/>
      <c r="B52" s="59" t="s"/>
      <c r="C52" s="59" t="s"/>
      <c r="D52" s="354" t="s">
        <v>404</v>
      </c>
      <c r="E52" s="380">
        <f>=COUNTIFS(C1:C1048573,"开发",J1:J1048573,"UI")</f>
        <v>1</v>
      </c>
      <c r="F52" s="611">
        <f>=E52/E58</f>
        <v>0.03125</v>
      </c>
      <c r="G52" s="608" t="s">
        <v>723</v>
      </c>
      <c r="H52" s="59" t="s"/>
      <c r="I52" s="38" t="s"/>
      <c r="J52" s="38" t="s"/>
      <c r="K52" s="57" t="s"/>
      <c r="L52" s="609" t="s"/>
      <c r="M52" s="59" t="s"/>
      <c r="N52" s="59" t="s"/>
      <c r="O52" s="59" t="s"/>
      <c r="P52" s="59" t="s"/>
      <c r="Q52" s="59" t="s"/>
      <c r="R52" s="612" t="s"/>
    </row>
    <row r="53" spans="1:18" ht="13.5" hidden="true">
      <c r="A53" s="59" t="s"/>
      <c r="B53" s="59" t="s"/>
      <c r="C53" s="59" t="s"/>
      <c r="D53" s="354" t="s">
        <v>178</v>
      </c>
      <c r="E53" s="380">
        <f>=COUNTIFS(C1:C1048573,"开发",J1:J1048573,"技术支持")</f>
        <v>3</v>
      </c>
      <c r="F53" s="611">
        <f>=E53/E58</f>
        <v>0.09375</v>
      </c>
      <c r="G53" s="608" t="s">
        <v>723</v>
      </c>
      <c r="H53" s="59" t="s"/>
      <c r="I53" s="38" t="s"/>
      <c r="J53" s="38" t="s"/>
      <c r="K53" s="57" t="s"/>
      <c r="L53" s="609" t="s"/>
      <c r="M53" s="59" t="s"/>
      <c r="N53" s="59" t="s"/>
      <c r="O53" s="59" t="s"/>
      <c r="P53" s="59" t="s"/>
      <c r="Q53" s="59" t="s"/>
      <c r="R53" s="610" t="s"/>
    </row>
    <row r="54" spans="1:18" ht="13.5" hidden="true">
      <c r="A54" s="59" t="s"/>
      <c r="B54" s="59" t="s"/>
      <c r="C54" s="59" t="s"/>
      <c r="D54" s="354" t="s">
        <v>185</v>
      </c>
      <c r="E54" s="380">
        <f>=COUNTIFS(C1:C1048573,"开发",J1:J1048573,"管理")</f>
        <v>2</v>
      </c>
      <c r="F54" s="611">
        <f>=E54/E58</f>
        <v>0.0625</v>
      </c>
      <c r="G54" s="608" t="s">
        <v>723</v>
      </c>
      <c r="H54" s="59" t="s"/>
      <c r="I54" s="38" t="s"/>
      <c r="J54" s="38" t="s"/>
      <c r="K54" s="57" t="s"/>
      <c r="L54" s="609" t="s"/>
      <c r="M54" s="59" t="s"/>
      <c r="N54" s="59" t="s"/>
      <c r="O54" s="59" t="s"/>
      <c r="P54" s="59" t="s"/>
      <c r="Q54" s="59" t="s"/>
      <c r="R54" s="610" t="s"/>
    </row>
    <row r="55" spans="1:18" ht="13.5" hidden="true">
      <c r="A55" s="59" t="s"/>
      <c r="B55" s="59" t="s"/>
      <c r="C55" s="59" t="s"/>
      <c r="D55" s="354" t="s">
        <v>410</v>
      </c>
      <c r="E55" s="380">
        <f>=COUNTIFS(C1:C1048573,"开发",J1:J1048573,"定制")</f>
        <v>3</v>
      </c>
      <c r="F55" s="611">
        <f>=E55/E58</f>
        <v>0.09375</v>
      </c>
      <c r="G55" s="608" t="s">
        <v>724</v>
      </c>
      <c r="H55" s="59" t="s"/>
      <c r="I55" s="38" t="s"/>
      <c r="J55" s="38" t="s"/>
      <c r="K55" s="57" t="s"/>
      <c r="L55" s="609" t="s"/>
      <c r="M55" s="59" t="s"/>
      <c r="N55" s="59" t="s"/>
      <c r="O55" s="59" t="s"/>
      <c r="P55" s="59" t="s"/>
      <c r="Q55" s="59" t="s"/>
      <c r="R55" s="610" t="s"/>
    </row>
    <row r="56" spans="1:18" ht="13.5" hidden="true">
      <c r="A56" s="59" t="s"/>
      <c r="B56" s="59" t="s"/>
      <c r="C56" s="59" t="s"/>
      <c r="D56" s="354" t="s">
        <v>478</v>
      </c>
      <c r="E56" s="380">
        <f>=COUNTIFS(C1:C1048573,"开发",J1:J1048573,"护网")</f>
        <v>1</v>
      </c>
      <c r="F56" s="611">
        <f>=E56/E58</f>
        <v>0.03125</v>
      </c>
      <c r="G56" s="608" t="s">
        <v>724</v>
      </c>
      <c r="H56" s="59" t="s"/>
      <c r="I56" s="38" t="s"/>
      <c r="J56" s="38" t="s"/>
      <c r="K56" s="57" t="s"/>
      <c r="L56" s="609" t="s"/>
      <c r="M56" s="59" t="s"/>
      <c r="N56" s="59" t="s"/>
      <c r="O56" s="59" t="s"/>
      <c r="P56" s="59" t="s"/>
      <c r="Q56" s="59" t="s"/>
      <c r="R56" s="610" t="s"/>
    </row>
    <row r="57" spans="1:18" ht="13.5" hidden="true">
      <c r="A57" s="59" t="s"/>
      <c r="B57" s="59" t="s"/>
      <c r="C57" s="59" t="s"/>
      <c r="D57" s="354" t="s">
        <v>160</v>
      </c>
      <c r="E57" s="380">
        <f>=COUNTIFS(C1:C1048573,"开发",J1:J1048573,"预研")</f>
        <v>2</v>
      </c>
      <c r="F57" s="611">
        <f>=E57/E58</f>
        <v>0.0625</v>
      </c>
      <c r="G57" s="608" t="s">
        <v>725</v>
      </c>
      <c r="H57" s="59" t="s"/>
      <c r="I57" s="38" t="s"/>
      <c r="J57" s="38" t="s"/>
      <c r="K57" s="57" t="s"/>
      <c r="L57" s="609" t="s"/>
      <c r="M57" s="59" t="s"/>
      <c r="N57" s="59" t="s"/>
      <c r="O57" s="59" t="s"/>
      <c r="P57" s="59" t="s"/>
      <c r="Q57" s="59" t="s"/>
      <c r="R57" s="610" t="s"/>
    </row>
    <row r="58" spans="1:18" ht="13.5" hidden="true">
      <c r="A58" s="59" t="s"/>
      <c r="B58" s="59" t="s"/>
      <c r="C58" s="59" t="s"/>
      <c r="D58" s="354" t="s">
        <v>726</v>
      </c>
      <c r="E58" s="380">
        <f>=SUM(E48:E57)-1</f>
        <v>32</v>
      </c>
      <c r="F58" s="611" t="s"/>
      <c r="G58" s="608" t="s"/>
      <c r="H58" s="59" t="s"/>
      <c r="I58" s="38" t="s"/>
      <c r="J58" s="38" t="s"/>
      <c r="K58" s="57" t="s"/>
      <c r="L58" s="609" t="s"/>
      <c r="M58" s="59" t="s"/>
      <c r="N58" s="59" t="s"/>
      <c r="O58" s="59" t="s"/>
      <c r="P58" s="59" t="s"/>
      <c r="Q58" s="59" t="s"/>
      <c r="R58" s="610" t="s"/>
    </row>
    <row r="59" spans="1:18" ht="13.5" hidden="true">
      <c r="A59" s="59" t="s"/>
      <c r="B59" s="59" t="s"/>
      <c r="C59" s="59" t="s"/>
      <c r="D59" s="59" t="s"/>
      <c r="E59" s="59" t="s"/>
      <c r="F59" s="57" t="s"/>
      <c r="G59" s="60" t="s"/>
      <c r="H59" s="59" t="s"/>
      <c r="I59" s="38" t="s"/>
      <c r="J59" s="38" t="s"/>
      <c r="K59" s="57" t="s"/>
      <c r="L59" s="609" t="s"/>
      <c r="M59" s="59" t="s"/>
      <c r="N59" s="59" t="s"/>
      <c r="O59" s="59" t="s"/>
      <c r="P59" s="59" t="s"/>
      <c r="Q59" s="59" t="s"/>
      <c r="R59" s="59" t="s"/>
    </row>
    <row r="60" spans="1:18" ht="13.5" hidden="true">
      <c r="A60" s="59" t="s"/>
      <c r="B60" s="59" t="s"/>
      <c r="C60" s="59" t="s"/>
      <c r="D60" s="59" t="s"/>
      <c r="E60" s="59" t="s"/>
      <c r="F60" s="57" t="s"/>
      <c r="G60" s="60" t="s"/>
      <c r="H60" s="59" t="s"/>
      <c r="I60" s="38" t="s"/>
      <c r="J60" s="38" t="s"/>
      <c r="K60" s="57" t="s"/>
      <c r="L60" s="609" t="s"/>
      <c r="M60" s="59" t="s"/>
      <c r="N60" s="59" t="s"/>
      <c r="O60" s="59" t="s"/>
      <c r="P60" s="59" t="s"/>
      <c r="Q60" s="59" t="s"/>
      <c r="R60" s="59" t="s"/>
    </row>
    <row r="61" spans="1:18" ht="13.5" hidden="true">
      <c r="A61" s="59" t="s"/>
      <c r="B61" s="59" t="s"/>
      <c r="C61" s="59" t="s"/>
      <c r="D61" s="354" t="s">
        <v>727</v>
      </c>
      <c r="E61" s="607" t="s"/>
      <c r="F61" s="523" t="s"/>
      <c r="G61" s="608" t="s">
        <v>717</v>
      </c>
      <c r="H61" s="59" t="s"/>
      <c r="I61" s="38" t="s"/>
      <c r="J61" s="38" t="s"/>
      <c r="K61" s="57" t="s"/>
      <c r="L61" s="609" t="s"/>
      <c r="M61" s="59" t="s"/>
      <c r="N61" s="59" t="s"/>
      <c r="O61" s="59" t="s"/>
      <c r="P61" s="59" t="s"/>
      <c r="Q61" s="59" t="s"/>
      <c r="R61" s="59" t="s"/>
    </row>
    <row r="62" spans="1:18" ht="13.5" hidden="true">
      <c r="A62" s="59" t="s"/>
      <c r="B62" s="59" t="s"/>
      <c r="C62" s="59" t="s"/>
      <c r="D62" s="354" t="s">
        <v>718</v>
      </c>
      <c r="E62" s="380">
        <f>=COUNTIFS(C1:C1048573,"测试",J1:J1048573,"7026R1")</f>
        <v>0</v>
      </c>
      <c r="F62" s="611">
        <f>=E62/E71</f>
        <v>0</v>
      </c>
      <c r="G62" s="608" t="s">
        <v>728</v>
      </c>
      <c r="H62" s="59" t="s"/>
      <c r="I62" s="38" t="s"/>
      <c r="J62" s="38" t="s"/>
      <c r="K62" s="57" t="s"/>
      <c r="L62" s="609" t="s"/>
      <c r="M62" s="59" t="s"/>
      <c r="N62" s="59" t="s"/>
      <c r="O62" s="59" t="s"/>
      <c r="P62" s="59" t="s"/>
      <c r="Q62" s="59" t="s"/>
      <c r="R62" s="59" t="s"/>
    </row>
    <row r="63" spans="1:18" ht="13.5" hidden="true">
      <c r="A63" s="59" t="s"/>
      <c r="B63" s="59" t="s"/>
      <c r="C63" s="59" t="s"/>
      <c r="D63" s="354" t="s">
        <v>468</v>
      </c>
      <c r="E63" s="380">
        <f>=COUNTIFS(C1:C1048573,"测试",J1:J1048573,"7026R2")</f>
        <v>1</v>
      </c>
      <c r="F63" s="611">
        <f>=E63/E71</f>
        <v>0.1</v>
      </c>
      <c r="G63" s="608" t="s">
        <v>720</v>
      </c>
      <c r="H63" s="59" t="s"/>
      <c r="I63" s="38" t="s"/>
      <c r="J63" s="38" t="s"/>
      <c r="K63" s="57" t="s"/>
      <c r="L63" s="609" t="s"/>
      <c r="M63" s="59" t="s"/>
      <c r="N63" s="59" t="s"/>
      <c r="O63" s="59" t="s"/>
      <c r="P63" s="59" t="s"/>
      <c r="Q63" s="59" t="s"/>
      <c r="R63" s="59" t="s"/>
    </row>
    <row r="64" spans="1:18" ht="13.5" hidden="true">
      <c r="A64" s="59" t="s"/>
      <c r="B64" s="59" t="s"/>
      <c r="C64" s="59" t="s"/>
      <c r="D64" s="354">
        <v>7027</v>
      </c>
      <c r="E64" s="380">
        <f>=COUNTIFS(C1:C1048573,"测试",J1:J1048573,"7027")</f>
        <v>6</v>
      </c>
      <c r="F64" s="611">
        <f>=E64/E71</f>
        <v>0.6</v>
      </c>
      <c r="G64" s="608" t="s">
        <v>729</v>
      </c>
      <c r="H64" s="59" t="s"/>
      <c r="I64" s="38" t="s"/>
      <c r="J64" s="38" t="s"/>
      <c r="K64" s="57" t="s"/>
      <c r="L64" s="609" t="s"/>
      <c r="M64" s="59" t="s"/>
      <c r="N64" s="59" t="s"/>
      <c r="O64" s="59" t="s"/>
      <c r="P64" s="59" t="s"/>
      <c r="Q64" s="59" t="s"/>
      <c r="R64" s="59" t="s"/>
    </row>
    <row r="65" spans="1:18" ht="13.5" hidden="true">
      <c r="A65" s="59" t="s"/>
      <c r="B65" s="59" t="s"/>
      <c r="C65" s="59" t="s"/>
      <c r="D65" s="354">
        <v>7028</v>
      </c>
      <c r="E65" s="380">
        <f>=COUNTIFS(C1:C1048573,"测试",J1:J1048573,"7028")</f>
        <v>0</v>
      </c>
      <c r="F65" s="611">
        <f>=E65/E71</f>
        <v>0</v>
      </c>
      <c r="G65" s="608" t="s">
        <v>730</v>
      </c>
      <c r="H65" s="59" t="s"/>
      <c r="I65" s="38" t="s"/>
      <c r="J65" s="38" t="s"/>
      <c r="K65" s="57" t="s"/>
      <c r="L65" s="609" t="s"/>
      <c r="M65" s="59" t="s"/>
      <c r="N65" s="59" t="s"/>
      <c r="O65" s="59" t="s"/>
      <c r="P65" s="59" t="s"/>
      <c r="Q65" s="59" t="s"/>
      <c r="R65" s="59" t="s"/>
    </row>
    <row r="66" spans="1:18" ht="13.5" hidden="true">
      <c r="A66" s="59" t="s"/>
      <c r="B66" s="59" t="s"/>
      <c r="C66" s="59" t="s"/>
      <c r="D66" s="354" t="s">
        <v>185</v>
      </c>
      <c r="E66" s="380">
        <f>=COUNTIFS(C1:C1048573,"测试",J1:J1048573,"管理")</f>
        <v>1</v>
      </c>
      <c r="F66" s="611">
        <f>=E66/E71</f>
        <v>0.1</v>
      </c>
      <c r="G66" s="608" t="s">
        <v>723</v>
      </c>
      <c r="H66" s="59" t="s"/>
      <c r="I66" s="38" t="s"/>
      <c r="J66" s="38" t="s"/>
      <c r="K66" s="57" t="s"/>
      <c r="L66" s="609" t="s"/>
      <c r="M66" s="59" t="s"/>
      <c r="N66" s="59" t="s"/>
      <c r="O66" s="59" t="s"/>
      <c r="P66" s="59" t="s"/>
      <c r="Q66" s="59" t="s"/>
      <c r="R66" s="59" t="s"/>
    </row>
    <row r="67" spans="1:18" ht="13.5" hidden="true">
      <c r="A67" s="59" t="s"/>
      <c r="B67" s="59" t="s"/>
      <c r="C67" s="59" t="s"/>
      <c r="D67" s="354" t="s">
        <v>731</v>
      </c>
      <c r="E67" s="380">
        <f>=COUNTIFS(C1:C1048573,"测试",J1:J1048573,"效能")</f>
        <v>0</v>
      </c>
      <c r="F67" s="611">
        <f>=E67/E71</f>
        <v>0</v>
      </c>
      <c r="G67" s="608" t="s">
        <v>723</v>
      </c>
      <c r="H67" s="59" t="s"/>
      <c r="I67" s="38" t="s"/>
      <c r="J67" s="38" t="s"/>
      <c r="K67" s="57" t="s"/>
      <c r="L67" s="609" t="s"/>
      <c r="M67" s="59" t="s"/>
      <c r="N67" s="59" t="s"/>
      <c r="O67" s="59" t="s"/>
      <c r="P67" s="59" t="s"/>
      <c r="Q67" s="59" t="s"/>
      <c r="R67" s="59" t="s"/>
    </row>
    <row r="68" spans="1:18" ht="13.5">
      <c r="A68" s="59" t="s"/>
      <c r="B68" s="59" t="s"/>
      <c r="C68" s="59" t="s"/>
      <c r="D68" s="354" t="s">
        <v>410</v>
      </c>
      <c r="E68" s="380">
        <f>=COUNTIFS(C1:C1048573,"测试",J1:J1048573,"定制")</f>
        <v>2</v>
      </c>
      <c r="F68" s="611">
        <f>=E68/E71</f>
        <v>0.2</v>
      </c>
      <c r="G68" s="608" t="s">
        <v>732</v>
      </c>
      <c r="H68" s="59" t="s"/>
      <c r="I68" s="38" t="s"/>
      <c r="J68" s="38" t="s"/>
      <c r="K68" s="57" t="s"/>
      <c r="L68" s="609" t="s"/>
      <c r="M68" s="59" t="s"/>
      <c r="N68" s="59" t="s"/>
      <c r="O68" s="59" t="s"/>
      <c r="P68" s="59" t="s"/>
      <c r="Q68" s="59" t="s"/>
      <c r="R68" s="59" t="s"/>
    </row>
    <row r="69" spans="1:18" ht="13.5">
      <c r="A69" s="59" t="s"/>
      <c r="B69" s="59" t="s"/>
      <c r="C69" s="59" t="s"/>
      <c r="D69" s="354" t="s">
        <v>478</v>
      </c>
      <c r="E69" s="380">
        <f>=COUNTIFS(C1:C1048573,"测试",J1:J1048573,"护网")</f>
        <v>0</v>
      </c>
      <c r="F69" s="611">
        <f>=E69/E71</f>
        <v>0</v>
      </c>
      <c r="G69" s="608" t="s">
        <v>733</v>
      </c>
      <c r="H69" s="59" t="s"/>
      <c r="I69" s="38" t="s"/>
      <c r="J69" s="38" t="s"/>
      <c r="K69" s="57" t="s"/>
      <c r="L69" s="609" t="s"/>
      <c r="M69" s="59" t="s"/>
      <c r="N69" s="59" t="s"/>
      <c r="O69" s="59" t="s"/>
      <c r="P69" s="59" t="s"/>
      <c r="Q69" s="59" t="s"/>
      <c r="R69" s="59" t="s"/>
    </row>
    <row r="70" spans="1:18" ht="13.5">
      <c r="A70" s="59" t="s"/>
      <c r="B70" s="59" t="s"/>
      <c r="C70" s="59" t="s"/>
      <c r="D70" s="354" t="s">
        <v>160</v>
      </c>
      <c r="E70" s="380">
        <f>=COUNTIFS(C1:C1048573,"测试",J1:J1048573,"预研")</f>
        <v>0</v>
      </c>
      <c r="F70" s="611">
        <f>=E70/E71</f>
        <v>0</v>
      </c>
      <c r="G70" s="608" t="s">
        <v>734</v>
      </c>
      <c r="H70" s="59" t="s"/>
      <c r="I70" s="38" t="s"/>
      <c r="J70" s="38" t="s"/>
      <c r="K70" s="57" t="s"/>
      <c r="L70" s="609" t="s"/>
      <c r="M70" s="59" t="s"/>
      <c r="N70" s="59" t="s"/>
      <c r="O70" s="59" t="s"/>
      <c r="P70" s="59" t="s"/>
      <c r="Q70" s="59" t="s"/>
      <c r="R70" s="59" t="s"/>
    </row>
    <row r="71" spans="1:18" ht="13.5">
      <c r="A71" s="59" t="s"/>
      <c r="B71" s="59" t="s"/>
      <c r="C71" s="59" t="s"/>
      <c r="D71" s="354" t="s">
        <v>726</v>
      </c>
      <c r="E71" s="380">
        <f>=SUM(E62:E70)</f>
        <v>10</v>
      </c>
      <c r="F71" s="611" t="s"/>
      <c r="G71" s="608" t="s"/>
      <c r="H71" s="59" t="s"/>
      <c r="I71" s="38" t="s"/>
      <c r="J71" s="38" t="s"/>
      <c r="K71" s="57" t="s"/>
      <c r="L71" s="609" t="s"/>
      <c r="M71" s="59" t="s"/>
      <c r="N71" s="59" t="s"/>
      <c r="O71" s="59" t="s"/>
      <c r="P71" s="59" t="s"/>
      <c r="Q71" s="59" t="s"/>
      <c r="R71" s="59" t="s"/>
    </row>
    <row r="72" spans="1:18" ht="13.5">
      <c r="A72" s="59" t="s"/>
      <c r="B72" s="59" t="s"/>
      <c r="C72" s="59" t="s"/>
      <c r="D72" s="59" t="s"/>
      <c r="E72" s="59" t="s"/>
      <c r="F72" s="57" t="s"/>
      <c r="G72" s="60" t="s"/>
      <c r="H72" s="59" t="s"/>
      <c r="I72" s="38" t="s"/>
      <c r="J72" s="38" t="s"/>
      <c r="K72" s="57" t="s"/>
      <c r="L72" s="609" t="s"/>
      <c r="M72" s="59" t="s"/>
      <c r="N72" s="59" t="s"/>
      <c r="O72" s="59" t="s"/>
      <c r="P72" s="59" t="s"/>
      <c r="Q72" s="59" t="s"/>
      <c r="R72" s="59" t="s"/>
    </row>
    <row r="73" spans="1:18" ht="13.5">
      <c r="A73" s="59" t="s"/>
      <c r="B73" s="59" t="s"/>
      <c r="C73" s="59" t="s"/>
      <c r="D73" s="59" t="s"/>
      <c r="E73" s="59" t="s"/>
      <c r="F73" s="57" t="s"/>
      <c r="G73" s="60" t="s"/>
      <c r="H73" s="59" t="s"/>
      <c r="I73" s="38" t="s"/>
      <c r="J73" s="38" t="s"/>
      <c r="K73" s="57" t="s"/>
      <c r="L73" s="609" t="s"/>
      <c r="M73" s="59" t="s"/>
      <c r="N73" s="59" t="s"/>
      <c r="O73" s="59" t="s"/>
      <c r="P73" s="59" t="s"/>
      <c r="Q73" s="59" t="s"/>
      <c r="R73" s="59" t="s"/>
    </row>
    <row r="74" spans="1:18" ht="13.5">
      <c r="A74" s="59" t="s"/>
      <c r="B74" s="59" t="s"/>
      <c r="C74" s="59" t="s"/>
      <c r="D74" s="59" t="s"/>
      <c r="E74" s="59" t="s"/>
      <c r="F74" s="57" t="s"/>
      <c r="G74" s="60" t="s"/>
      <c r="H74" s="59" t="s"/>
      <c r="I74" s="38" t="s"/>
      <c r="J74" s="38" t="s"/>
      <c r="K74" s="57" t="s"/>
      <c r="L74" s="609" t="s"/>
      <c r="M74" s="59" t="s"/>
      <c r="N74" s="59" t="s"/>
      <c r="O74" s="59" t="s"/>
      <c r="P74" s="59" t="s"/>
      <c r="Q74" s="59" t="s"/>
      <c r="R74" s="59" t="s"/>
    </row>
    <row r="75" spans="1:18" ht="13.5">
      <c r="A75" s="59" t="s"/>
      <c r="B75" s="59" t="s"/>
      <c r="C75" s="59" t="s"/>
      <c r="D75" s="59" t="s"/>
      <c r="E75" s="59" t="s"/>
      <c r="F75" s="57" t="s"/>
      <c r="G75" s="60" t="s"/>
      <c r="H75" s="59" t="s"/>
      <c r="I75" s="38" t="s"/>
      <c r="J75" s="38" t="s"/>
      <c r="K75" s="57" t="s"/>
      <c r="L75" s="609" t="s"/>
      <c r="M75" s="59" t="s"/>
      <c r="N75" s="59" t="s"/>
      <c r="O75" s="59" t="s"/>
      <c r="P75" s="59" t="s"/>
      <c r="Q75" s="59" t="s"/>
      <c r="R75" s="59" t="s"/>
    </row>
    <row r="76" spans="1:18" ht="13.5">
      <c r="A76" s="59" t="s"/>
      <c r="B76" s="59" t="s"/>
      <c r="C76" s="59" t="s"/>
      <c r="D76" s="59" t="s"/>
      <c r="E76" s="59" t="s"/>
      <c r="F76" s="57" t="s"/>
      <c r="G76" s="60" t="s"/>
      <c r="H76" s="59" t="s"/>
      <c r="I76" s="38" t="s"/>
      <c r="J76" s="38" t="s"/>
      <c r="K76" s="57" t="s"/>
      <c r="L76" s="609" t="s"/>
      <c r="M76" s="59" t="s"/>
      <c r="N76" s="59" t="s"/>
      <c r="O76" s="59" t="s"/>
      <c r="P76" s="59" t="s"/>
      <c r="Q76" s="59" t="s"/>
      <c r="R76" s="59" t="s"/>
    </row>
    <row r="77" spans="1:18" ht="13.5">
      <c r="A77" s="59" t="s"/>
      <c r="B77" s="59" t="s"/>
      <c r="C77" s="59" t="s"/>
      <c r="D77" s="59" t="s"/>
      <c r="E77" s="59" t="s"/>
      <c r="F77" s="57" t="s"/>
      <c r="G77" s="60" t="s"/>
      <c r="H77" s="59" t="s"/>
      <c r="I77" s="38" t="s"/>
      <c r="J77" s="38" t="s"/>
      <c r="K77" s="57" t="s"/>
      <c r="L77" s="609" t="s"/>
      <c r="M77" s="59" t="s"/>
      <c r="N77" s="59" t="s"/>
      <c r="O77" s="59" t="s"/>
      <c r="P77" s="59" t="s"/>
      <c r="Q77" s="59" t="s"/>
      <c r="R77" s="59" t="s"/>
    </row>
    <row r="78" spans="1:18" ht="13.5">
      <c r="A78" s="59" t="s"/>
      <c r="B78" s="59" t="s"/>
      <c r="C78" s="59" t="s"/>
      <c r="D78" s="59" t="s"/>
      <c r="E78" s="59" t="s"/>
      <c r="F78" s="57" t="s"/>
      <c r="G78" s="60" t="s"/>
      <c r="H78" s="59" t="s"/>
      <c r="I78" s="38" t="s"/>
      <c r="J78" s="38" t="s"/>
      <c r="K78" s="57" t="s"/>
      <c r="L78" s="609" t="s"/>
      <c r="M78" s="59" t="s"/>
      <c r="N78" s="59" t="s"/>
      <c r="O78" s="59" t="s"/>
      <c r="P78" s="59" t="s"/>
      <c r="Q78" s="59" t="s"/>
      <c r="R78" s="59" t="s"/>
    </row>
    <row r="79" spans="1:18" ht="13.5">
      <c r="A79" s="59" t="s"/>
      <c r="B79" s="59" t="s"/>
      <c r="C79" s="59" t="s"/>
      <c r="D79" s="59" t="s"/>
      <c r="E79" s="59" t="s"/>
      <c r="F79" s="57" t="s"/>
      <c r="G79" s="60" t="s"/>
      <c r="H79" s="59" t="s"/>
      <c r="I79" s="38" t="s"/>
      <c r="J79" s="38" t="s"/>
      <c r="K79" s="57" t="s"/>
      <c r="L79" s="609" t="s"/>
      <c r="M79" s="59" t="s"/>
      <c r="N79" s="59" t="s"/>
      <c r="O79" s="59" t="s"/>
      <c r="P79" s="59" t="s"/>
      <c r="Q79" s="59" t="s"/>
      <c r="R79" s="59" t="s"/>
    </row>
    <row r="80" spans="1:18" ht="13.5">
      <c r="A80" s="59" t="s"/>
      <c r="B80" s="59" t="s"/>
      <c r="C80" s="59" t="s"/>
      <c r="D80" s="59" t="s"/>
      <c r="E80" s="59" t="s"/>
      <c r="F80" s="57" t="s"/>
      <c r="G80" s="60" t="s"/>
      <c r="H80" s="59" t="s"/>
      <c r="I80" s="38" t="s"/>
      <c r="J80" s="38" t="s"/>
      <c r="K80" s="57" t="s"/>
      <c r="L80" s="609" t="s"/>
      <c r="M80" s="59" t="s"/>
      <c r="N80" s="59" t="s"/>
      <c r="O80" s="59" t="s"/>
      <c r="P80" s="59" t="s"/>
      <c r="Q80" s="59" t="s"/>
      <c r="R80" s="59" t="s"/>
    </row>
    <row r="81" spans="1:18" ht="13.5">
      <c r="A81" s="59" t="s"/>
      <c r="B81" s="59" t="s"/>
      <c r="C81" s="59" t="s"/>
      <c r="D81" s="59" t="s"/>
      <c r="E81" s="59" t="s"/>
      <c r="F81" s="57" t="s"/>
      <c r="G81" s="60" t="s"/>
      <c r="H81" s="59" t="s"/>
      <c r="I81" s="38" t="s"/>
      <c r="J81" s="38" t="s"/>
      <c r="K81" s="57" t="s"/>
      <c r="L81" s="609" t="s"/>
      <c r="M81" s="59" t="s"/>
      <c r="N81" s="59" t="s"/>
      <c r="O81" s="59" t="s"/>
      <c r="P81" s="59" t="s"/>
      <c r="Q81" s="59" t="s"/>
      <c r="R81" s="59" t="s"/>
    </row>
    <row r="82" spans="1:18" ht="13.5">
      <c r="A82" s="59" t="s"/>
      <c r="B82" s="59" t="s"/>
      <c r="C82" s="59" t="s"/>
      <c r="D82" s="59" t="s"/>
      <c r="E82" s="59" t="s"/>
      <c r="F82" s="57" t="s"/>
      <c r="G82" s="60" t="s"/>
      <c r="H82" s="59" t="s"/>
      <c r="I82" s="38" t="s"/>
      <c r="J82" s="38" t="s"/>
      <c r="K82" s="57" t="s"/>
      <c r="L82" s="609" t="s"/>
      <c r="M82" s="59" t="s"/>
      <c r="N82" s="59" t="s"/>
      <c r="O82" s="59" t="s"/>
      <c r="P82" s="59" t="s"/>
      <c r="Q82" s="59" t="s"/>
      <c r="R82" s="59" t="s"/>
    </row>
    <row r="83" spans="1:18" ht="13.5">
      <c r="A83" s="59" t="s"/>
      <c r="B83" s="59" t="s"/>
      <c r="C83" s="59" t="s"/>
      <c r="D83" s="59" t="s"/>
      <c r="E83" s="59" t="s"/>
      <c r="F83" s="57" t="s"/>
      <c r="G83" s="60" t="s"/>
      <c r="H83" s="59" t="s"/>
      <c r="I83" s="38" t="s"/>
      <c r="J83" s="38" t="s"/>
      <c r="K83" s="57" t="s"/>
      <c r="L83" s="609" t="s"/>
      <c r="M83" s="59" t="s"/>
      <c r="N83" s="59" t="s"/>
      <c r="O83" s="59" t="s"/>
      <c r="P83" s="59" t="s"/>
      <c r="Q83" s="59" t="s"/>
      <c r="R83" s="59" t="s"/>
    </row>
    <row r="84" spans="1:18" ht="13.5">
      <c r="A84" s="59" t="s"/>
      <c r="B84" s="59" t="s"/>
      <c r="C84" s="59" t="s"/>
      <c r="D84" s="59" t="s"/>
      <c r="E84" s="59" t="s"/>
      <c r="F84" s="57" t="s"/>
      <c r="G84" s="60" t="s"/>
      <c r="H84" s="59" t="s"/>
      <c r="I84" s="38" t="s"/>
      <c r="J84" s="38" t="s"/>
      <c r="K84" s="57" t="s"/>
      <c r="L84" s="609" t="s"/>
      <c r="M84" s="59" t="s"/>
      <c r="N84" s="59" t="s"/>
      <c r="O84" s="59" t="s"/>
      <c r="P84" s="59" t="s"/>
      <c r="Q84" s="59" t="s"/>
      <c r="R84" s="59" t="s"/>
    </row>
    <row r="85" spans="1:18" ht="13.5">
      <c r="A85" s="59" t="s"/>
      <c r="B85" s="59" t="s"/>
      <c r="C85" s="59" t="s"/>
      <c r="D85" s="59" t="s"/>
      <c r="E85" s="59" t="s"/>
      <c r="F85" s="57" t="s"/>
      <c r="G85" s="60" t="s"/>
      <c r="H85" s="59" t="s"/>
      <c r="I85" s="38" t="s"/>
      <c r="J85" s="38" t="s"/>
      <c r="K85" s="57" t="s"/>
      <c r="L85" s="609" t="s"/>
      <c r="M85" s="59" t="s"/>
      <c r="N85" s="59" t="s"/>
      <c r="O85" s="59" t="s"/>
      <c r="P85" s="59" t="s"/>
      <c r="Q85" s="59" t="s"/>
      <c r="R85" s="59" t="s"/>
    </row>
    <row r="86" spans="1:18" ht="13.5">
      <c r="A86" s="59" t="s"/>
      <c r="B86" s="59" t="s"/>
      <c r="C86" s="59" t="s"/>
      <c r="D86" s="59" t="s"/>
      <c r="E86" s="59" t="s"/>
      <c r="F86" s="57" t="s"/>
      <c r="G86" s="60" t="s"/>
      <c r="H86" s="59" t="s"/>
      <c r="I86" s="38" t="s"/>
      <c r="J86" s="38" t="s"/>
      <c r="K86" s="57" t="s"/>
      <c r="L86" s="609" t="s"/>
      <c r="M86" s="59" t="s"/>
      <c r="N86" s="59" t="s"/>
      <c r="O86" s="59" t="s"/>
      <c r="P86" s="59" t="s"/>
      <c r="Q86" s="59" t="s"/>
      <c r="R86" s="59" t="s"/>
    </row>
    <row r="87" spans="1:18" ht="13.5">
      <c r="A87" s="59" t="s"/>
      <c r="B87" s="59" t="s"/>
      <c r="C87" s="59" t="s"/>
      <c r="D87" s="59" t="s"/>
      <c r="E87" s="59" t="s"/>
      <c r="F87" s="57" t="s"/>
      <c r="G87" s="60" t="s"/>
      <c r="H87" s="59" t="s"/>
      <c r="I87" s="38" t="s"/>
      <c r="J87" s="38" t="s"/>
      <c r="K87" s="57" t="s"/>
      <c r="L87" s="609" t="s"/>
      <c r="M87" s="59" t="s"/>
      <c r="N87" s="59" t="s"/>
      <c r="O87" s="59" t="s"/>
      <c r="P87" s="59" t="s"/>
      <c r="Q87" s="59" t="s"/>
      <c r="R87" s="59" t="s"/>
    </row>
    <row r="88" spans="1:18" ht="13.5">
      <c r="A88" s="59" t="s"/>
      <c r="B88" s="59" t="s"/>
      <c r="C88" s="59" t="s"/>
      <c r="D88" s="59" t="s"/>
      <c r="E88" s="59" t="s"/>
      <c r="F88" s="57" t="s"/>
      <c r="G88" s="60" t="s"/>
      <c r="H88" s="59" t="s"/>
      <c r="I88" s="38" t="s"/>
      <c r="J88" s="38" t="s"/>
      <c r="K88" s="57" t="s"/>
      <c r="L88" s="609" t="s"/>
      <c r="M88" s="59" t="s"/>
      <c r="N88" s="59" t="s"/>
      <c r="O88" s="59" t="s"/>
      <c r="P88" s="59" t="s"/>
      <c r="Q88" s="59" t="s"/>
      <c r="R88" s="59" t="s"/>
    </row>
    <row r="89" spans="1:18" ht="13.5">
      <c r="A89" s="59" t="s"/>
      <c r="B89" s="59" t="s"/>
      <c r="C89" s="59" t="s"/>
      <c r="D89" s="59" t="s"/>
      <c r="E89" s="59" t="s"/>
      <c r="F89" s="57" t="s"/>
      <c r="G89" s="60" t="s"/>
      <c r="H89" s="59" t="s"/>
      <c r="I89" s="38" t="s"/>
      <c r="J89" s="38" t="s"/>
      <c r="K89" s="57" t="s"/>
      <c r="L89" s="609" t="s"/>
      <c r="M89" s="59" t="s"/>
      <c r="N89" s="59" t="s"/>
      <c r="O89" s="59" t="s"/>
      <c r="P89" s="59" t="s"/>
      <c r="Q89" s="59" t="s"/>
      <c r="R89" s="59" t="s"/>
    </row>
    <row r="90" spans="1:18" ht="13.5">
      <c r="A90" s="59" t="s"/>
      <c r="B90" s="59" t="s"/>
      <c r="C90" s="59" t="s"/>
      <c r="D90" s="59" t="s"/>
      <c r="E90" s="59" t="s"/>
      <c r="F90" s="57" t="s"/>
      <c r="G90" s="60" t="s"/>
      <c r="H90" s="59" t="s"/>
      <c r="I90" s="38" t="s"/>
      <c r="J90" s="38" t="s"/>
      <c r="K90" s="57" t="s"/>
      <c r="L90" s="609" t="s"/>
      <c r="M90" s="59" t="s"/>
      <c r="N90" s="59" t="s"/>
      <c r="O90" s="59" t="s"/>
      <c r="P90" s="59" t="s"/>
      <c r="Q90" s="59" t="s"/>
      <c r="R90" s="59" t="s"/>
    </row>
    <row r="91" spans="1:18" ht="13.5">
      <c r="A91" s="59" t="s"/>
      <c r="B91" s="59" t="s"/>
      <c r="C91" s="59" t="s"/>
      <c r="D91" s="59" t="s"/>
      <c r="E91" s="59" t="s"/>
      <c r="F91" s="57" t="s"/>
      <c r="G91" s="60" t="s"/>
      <c r="H91" s="59" t="s"/>
      <c r="I91" s="38" t="s"/>
      <c r="J91" s="38" t="s"/>
      <c r="K91" s="57" t="s"/>
      <c r="L91" s="609" t="s"/>
      <c r="M91" s="59" t="s"/>
      <c r="N91" s="59" t="s"/>
      <c r="O91" s="59" t="s"/>
      <c r="P91" s="59" t="s"/>
      <c r="Q91" s="59" t="s"/>
      <c r="R91" s="59" t="s"/>
    </row>
    <row r="92" spans="1:18" ht="13.5">
      <c r="A92" s="59" t="s"/>
      <c r="B92" s="59" t="s"/>
      <c r="C92" s="59" t="s"/>
      <c r="D92" s="59" t="s"/>
      <c r="E92" s="59" t="s"/>
      <c r="F92" s="57" t="s"/>
      <c r="G92" s="60" t="s"/>
      <c r="H92" s="59" t="s"/>
      <c r="I92" s="38" t="s"/>
      <c r="J92" s="38" t="s"/>
      <c r="K92" s="57" t="s"/>
      <c r="L92" s="609" t="s"/>
      <c r="M92" s="59" t="s"/>
      <c r="N92" s="59" t="s"/>
      <c r="O92" s="59" t="s"/>
      <c r="P92" s="59" t="s"/>
      <c r="Q92" s="59" t="s"/>
      <c r="R92" s="59" t="s"/>
    </row>
    <row r="93" spans="1:18" ht="13.5">
      <c r="A93" s="59" t="s"/>
      <c r="B93" s="59" t="s"/>
      <c r="C93" s="59" t="s"/>
      <c r="D93" s="59" t="s"/>
      <c r="E93" s="59" t="s"/>
      <c r="F93" s="57" t="s"/>
      <c r="G93" s="60" t="s"/>
      <c r="H93" s="59" t="s"/>
      <c r="I93" s="38" t="s"/>
      <c r="J93" s="38" t="s"/>
      <c r="K93" s="57" t="s"/>
      <c r="L93" s="609" t="s"/>
      <c r="M93" s="59" t="s"/>
      <c r="N93" s="59" t="s"/>
      <c r="O93" s="59" t="s"/>
      <c r="P93" s="59" t="s"/>
      <c r="Q93" s="59" t="s"/>
      <c r="R93" s="59" t="s"/>
    </row>
    <row r="94" spans="1:18" ht="13.5">
      <c r="A94" s="59" t="s"/>
      <c r="B94" s="59" t="s"/>
      <c r="C94" s="59" t="s"/>
      <c r="D94" s="59" t="s"/>
      <c r="E94" s="59" t="s"/>
      <c r="F94" s="57" t="s"/>
      <c r="G94" s="60" t="s"/>
      <c r="H94" s="59" t="s"/>
      <c r="I94" s="38" t="s"/>
      <c r="J94" s="38" t="s"/>
      <c r="K94" s="57" t="s"/>
      <c r="L94" s="609" t="s"/>
      <c r="M94" s="59" t="s"/>
      <c r="N94" s="59" t="s"/>
      <c r="O94" s="59" t="s"/>
      <c r="P94" s="59" t="s"/>
      <c r="Q94" s="59" t="s"/>
      <c r="R94" s="59" t="s"/>
    </row>
    <row r="95" spans="1:18" ht="13.5">
      <c r="A95" s="59" t="s"/>
      <c r="B95" s="59" t="s"/>
      <c r="C95" s="59" t="s"/>
      <c r="D95" s="59" t="s"/>
      <c r="E95" s="59" t="s"/>
      <c r="F95" s="57" t="s"/>
      <c r="G95" s="60" t="s"/>
      <c r="H95" s="59" t="s"/>
      <c r="I95" s="38" t="s"/>
      <c r="J95" s="38" t="s"/>
      <c r="K95" s="57" t="s"/>
      <c r="L95" s="609" t="s"/>
      <c r="M95" s="59" t="s"/>
      <c r="N95" s="59" t="s"/>
      <c r="O95" s="59" t="s"/>
      <c r="P95" s="59" t="s"/>
      <c r="Q95" s="59" t="s"/>
      <c r="R95" s="59" t="s"/>
    </row>
    <row r="96" spans="1:18" ht="13.5">
      <c r="A96" s="59" t="s"/>
      <c r="B96" s="59" t="s"/>
      <c r="C96" s="59" t="s"/>
      <c r="D96" s="59" t="s"/>
      <c r="E96" s="59" t="s"/>
      <c r="F96" s="57" t="s"/>
      <c r="G96" s="60" t="s"/>
      <c r="H96" s="59" t="s"/>
      <c r="I96" s="38" t="s"/>
      <c r="J96" s="38" t="s"/>
      <c r="K96" s="57" t="s"/>
      <c r="L96" s="609" t="s"/>
      <c r="M96" s="59" t="s"/>
      <c r="N96" s="59" t="s"/>
      <c r="O96" s="59" t="s"/>
      <c r="P96" s="59" t="s"/>
      <c r="Q96" s="59" t="s"/>
      <c r="R96" s="59" t="s"/>
    </row>
    <row r="97" spans="1:18" ht="13.5">
      <c r="A97" s="59" t="s"/>
      <c r="B97" s="59" t="s"/>
      <c r="C97" s="59" t="s"/>
      <c r="D97" s="59" t="s"/>
      <c r="E97" s="59" t="s"/>
      <c r="F97" s="57" t="s"/>
      <c r="G97" s="60" t="s"/>
      <c r="H97" s="59" t="s"/>
      <c r="I97" s="38" t="s"/>
      <c r="J97" s="38" t="s"/>
      <c r="K97" s="57" t="s"/>
      <c r="L97" s="609" t="s"/>
      <c r="M97" s="59" t="s"/>
      <c r="N97" s="59" t="s"/>
      <c r="O97" s="59" t="s"/>
      <c r="P97" s="59" t="s"/>
      <c r="Q97" s="59" t="s"/>
      <c r="R97" s="59" t="s"/>
    </row>
    <row r="98" spans="1:18" ht="13.5">
      <c r="A98" s="59" t="s"/>
      <c r="B98" s="59" t="s"/>
      <c r="C98" s="59" t="s"/>
      <c r="D98" s="59" t="s"/>
      <c r="E98" s="59" t="s"/>
      <c r="F98" s="57" t="s"/>
      <c r="G98" s="60" t="s"/>
      <c r="H98" s="59" t="s"/>
      <c r="I98" s="38" t="s"/>
      <c r="J98" s="38" t="s"/>
      <c r="K98" s="57" t="s"/>
      <c r="L98" s="609" t="s"/>
      <c r="M98" s="59" t="s"/>
      <c r="N98" s="59" t="s"/>
      <c r="O98" s="59" t="s"/>
      <c r="P98" s="59" t="s"/>
      <c r="Q98" s="59" t="s"/>
      <c r="R98" s="59" t="s"/>
    </row>
    <row r="99" spans="1:18" ht="13.5">
      <c r="A99" s="59" t="s"/>
      <c r="B99" s="59" t="s"/>
      <c r="C99" s="59" t="s"/>
      <c r="D99" s="59" t="s"/>
      <c r="E99" s="59" t="s"/>
      <c r="F99" s="57" t="s"/>
      <c r="G99" s="60" t="s"/>
      <c r="H99" s="59" t="s"/>
      <c r="I99" s="38" t="s"/>
      <c r="J99" s="38" t="s"/>
      <c r="K99" s="57" t="s"/>
      <c r="L99" s="609" t="s"/>
      <c r="M99" s="59" t="s"/>
      <c r="N99" s="59" t="s"/>
      <c r="O99" s="59" t="s"/>
      <c r="P99" s="59" t="s"/>
      <c r="Q99" s="59" t="s"/>
      <c r="R99" s="59" t="s"/>
    </row>
    <row r="100" spans="1:18" ht="13.5">
      <c r="A100" s="59" t="s"/>
      <c r="B100" s="59" t="s"/>
      <c r="C100" s="59" t="s"/>
      <c r="D100" s="59" t="s"/>
      <c r="E100" s="59" t="s"/>
      <c r="F100" s="57" t="s"/>
      <c r="G100" s="60" t="s"/>
      <c r="H100" s="59" t="s"/>
      <c r="I100" s="38" t="s"/>
      <c r="J100" s="38" t="s"/>
      <c r="K100" s="57" t="s"/>
      <c r="L100" s="609" t="s"/>
      <c r="M100" s="59" t="s"/>
      <c r="N100" s="59" t="s"/>
      <c r="O100" s="59" t="s"/>
      <c r="P100" s="59" t="s"/>
      <c r="Q100" s="59" t="s"/>
      <c r="R100" s="59" t="s"/>
    </row>
    <row r="101" spans="1:18" ht="13.5">
      <c r="A101" s="59" t="s"/>
      <c r="B101" s="59" t="s"/>
      <c r="C101" s="59" t="s"/>
      <c r="D101" s="59" t="s"/>
      <c r="E101" s="59" t="s"/>
      <c r="F101" s="57" t="s"/>
      <c r="G101" s="60" t="s"/>
      <c r="H101" s="59" t="s"/>
      <c r="I101" s="38" t="s"/>
      <c r="J101" s="38" t="s"/>
      <c r="K101" s="57" t="s"/>
      <c r="L101" s="609" t="s"/>
      <c r="M101" s="59" t="s"/>
      <c r="N101" s="59" t="s"/>
      <c r="O101" s="59" t="s"/>
      <c r="P101" s="59" t="s"/>
      <c r="Q101" s="59" t="s"/>
      <c r="R101" s="59" t="s"/>
    </row>
    <row r="102" spans="1:18" ht="13.5">
      <c r="A102" s="59" t="s"/>
      <c r="B102" s="59" t="s"/>
      <c r="C102" s="59" t="s"/>
      <c r="D102" s="59" t="s"/>
      <c r="E102" s="59" t="s"/>
      <c r="F102" s="57" t="s"/>
      <c r="G102" s="60" t="s"/>
      <c r="H102" s="59" t="s"/>
      <c r="I102" s="38" t="s"/>
      <c r="J102" s="38" t="s"/>
      <c r="K102" s="57" t="s"/>
      <c r="L102" s="609" t="s"/>
      <c r="M102" s="59" t="s"/>
      <c r="N102" s="59" t="s"/>
      <c r="O102" s="59" t="s"/>
      <c r="P102" s="59" t="s"/>
      <c r="Q102" s="59" t="s"/>
      <c r="R102" s="59" t="s"/>
    </row>
    <row r="103" spans="1:18" ht="13.5">
      <c r="A103" s="59" t="s"/>
      <c r="B103" s="59" t="s"/>
      <c r="C103" s="59" t="s"/>
      <c r="D103" s="59" t="s"/>
      <c r="E103" s="59" t="s"/>
      <c r="F103" s="57" t="s"/>
      <c r="G103" s="60" t="s"/>
      <c r="H103" s="59" t="s"/>
      <c r="I103" s="38" t="s"/>
      <c r="J103" s="38" t="s"/>
      <c r="K103" s="57" t="s"/>
      <c r="L103" s="609" t="s"/>
      <c r="M103" s="59" t="s"/>
      <c r="N103" s="59" t="s"/>
      <c r="O103" s="59" t="s"/>
      <c r="P103" s="59" t="s"/>
      <c r="Q103" s="59" t="s"/>
      <c r="R103" s="59" t="s"/>
    </row>
    <row r="104" spans="1:18" ht="13.5">
      <c r="A104" s="59" t="s"/>
      <c r="B104" s="59" t="s"/>
      <c r="C104" s="59" t="s"/>
      <c r="D104" s="59" t="s"/>
      <c r="E104" s="59" t="s"/>
      <c r="F104" s="57" t="s"/>
      <c r="G104" s="60" t="s"/>
      <c r="H104" s="59" t="s"/>
      <c r="I104" s="38" t="s"/>
      <c r="J104" s="38" t="s"/>
      <c r="K104" s="57" t="s"/>
      <c r="L104" s="609" t="s"/>
      <c r="M104" s="59" t="s"/>
      <c r="N104" s="59" t="s"/>
      <c r="O104" s="59" t="s"/>
      <c r="P104" s="59" t="s"/>
      <c r="Q104" s="59" t="s"/>
      <c r="R104" s="59" t="s"/>
    </row>
    <row r="105" spans="1:18" ht="13.5">
      <c r="A105" s="59" t="s"/>
      <c r="B105" s="59" t="s"/>
      <c r="C105" s="59" t="s"/>
      <c r="D105" s="59" t="s"/>
      <c r="E105" s="59" t="s"/>
      <c r="F105" s="57" t="s"/>
      <c r="G105" s="60" t="s"/>
      <c r="H105" s="59" t="s"/>
      <c r="I105" s="38" t="s"/>
      <c r="J105" s="38" t="s"/>
      <c r="K105" s="57" t="s"/>
      <c r="L105" s="609" t="s"/>
      <c r="M105" s="59" t="s"/>
      <c r="N105" s="59" t="s"/>
      <c r="O105" s="59" t="s"/>
      <c r="P105" s="59" t="s"/>
      <c r="Q105" s="59" t="s"/>
      <c r="R105" s="59" t="s"/>
    </row>
    <row r="106" spans="1:18" ht="13.5">
      <c r="A106" s="59" t="s"/>
      <c r="B106" s="59" t="s"/>
      <c r="C106" s="59" t="s"/>
      <c r="D106" s="59" t="s"/>
      <c r="E106" s="59" t="s"/>
      <c r="F106" s="57" t="s"/>
      <c r="G106" s="60" t="s"/>
      <c r="H106" s="59" t="s"/>
      <c r="I106" s="38" t="s"/>
      <c r="J106" s="38" t="s"/>
      <c r="K106" s="57" t="s"/>
      <c r="L106" s="609" t="s"/>
      <c r="M106" s="59" t="s"/>
      <c r="N106" s="59" t="s"/>
      <c r="O106" s="59" t="s"/>
      <c r="P106" s="59" t="s"/>
      <c r="Q106" s="59" t="s"/>
      <c r="R106" s="59" t="s"/>
    </row>
    <row r="107" spans="1:18" ht="13.5">
      <c r="A107" s="59" t="s"/>
      <c r="B107" s="59" t="s"/>
      <c r="C107" s="59" t="s"/>
      <c r="D107" s="59" t="s"/>
      <c r="E107" s="59" t="s"/>
      <c r="F107" s="57" t="s"/>
      <c r="G107" s="60" t="s"/>
      <c r="H107" s="59" t="s"/>
      <c r="I107" s="38" t="s"/>
      <c r="J107" s="38" t="s"/>
      <c r="K107" s="57" t="s"/>
      <c r="L107" s="609" t="s"/>
      <c r="M107" s="59" t="s"/>
      <c r="N107" s="59" t="s"/>
      <c r="O107" s="59" t="s"/>
      <c r="P107" s="59" t="s"/>
      <c r="Q107" s="59" t="s"/>
      <c r="R107" s="59" t="s"/>
    </row>
    <row r="108" spans="1:18" ht="13.5">
      <c r="A108" s="59" t="s"/>
      <c r="B108" s="59" t="s"/>
      <c r="C108" s="59" t="s"/>
      <c r="D108" s="59" t="s"/>
      <c r="E108" s="59" t="s"/>
      <c r="F108" s="57" t="s"/>
      <c r="G108" s="60" t="s"/>
      <c r="H108" s="59" t="s"/>
      <c r="I108" s="38" t="s"/>
      <c r="J108" s="38" t="s"/>
      <c r="K108" s="57" t="s"/>
      <c r="L108" s="609" t="s"/>
      <c r="M108" s="59" t="s"/>
      <c r="N108" s="59" t="s"/>
      <c r="O108" s="59" t="s"/>
      <c r="P108" s="59" t="s"/>
      <c r="Q108" s="59" t="s"/>
      <c r="R108" s="59" t="s"/>
    </row>
    <row r="109" spans="1:18" ht="13.5">
      <c r="A109" s="59" t="s"/>
      <c r="B109" s="59" t="s"/>
      <c r="C109" s="59" t="s"/>
      <c r="D109" s="59" t="s"/>
      <c r="E109" s="59" t="s"/>
      <c r="F109" s="57" t="s"/>
      <c r="G109" s="60" t="s"/>
      <c r="H109" s="59" t="s"/>
      <c r="I109" s="38" t="s"/>
      <c r="J109" s="38" t="s"/>
      <c r="K109" s="57" t="s"/>
      <c r="L109" s="609" t="s"/>
      <c r="M109" s="59" t="s"/>
      <c r="N109" s="59" t="s"/>
      <c r="O109" s="59" t="s"/>
      <c r="P109" s="59" t="s"/>
      <c r="Q109" s="59" t="s"/>
      <c r="R109" s="59" t="s"/>
    </row>
    <row r="110" spans="1:18" ht="13.5">
      <c r="A110" s="59" t="s"/>
      <c r="B110" s="59" t="s"/>
      <c r="C110" s="59" t="s"/>
      <c r="D110" s="59" t="s"/>
      <c r="E110" s="59" t="s"/>
      <c r="F110" s="57" t="s"/>
      <c r="G110" s="60" t="s"/>
      <c r="H110" s="59" t="s"/>
      <c r="I110" s="38" t="s"/>
      <c r="J110" s="38" t="s"/>
      <c r="K110" s="57" t="s"/>
      <c r="L110" s="609" t="s"/>
      <c r="M110" s="59" t="s"/>
      <c r="N110" s="59" t="s"/>
      <c r="O110" s="59" t="s"/>
      <c r="P110" s="59" t="s"/>
      <c r="Q110" s="59" t="s"/>
      <c r="R110" s="59" t="s"/>
    </row>
    <row r="111" spans="1:18" ht="13.5">
      <c r="A111" s="59" t="s"/>
      <c r="B111" s="59" t="s"/>
      <c r="C111" s="59" t="s"/>
      <c r="D111" s="59" t="s"/>
      <c r="E111" s="59" t="s"/>
      <c r="F111" s="57" t="s"/>
      <c r="G111" s="60" t="s"/>
      <c r="H111" s="59" t="s"/>
      <c r="I111" s="38" t="s"/>
      <c r="J111" s="38" t="s"/>
      <c r="K111" s="57" t="s"/>
      <c r="L111" s="609" t="s"/>
      <c r="M111" s="59" t="s"/>
      <c r="N111" s="59" t="s"/>
      <c r="O111" s="59" t="s"/>
      <c r="P111" s="59" t="s"/>
      <c r="Q111" s="59" t="s"/>
      <c r="R111" s="59" t="s"/>
    </row>
    <row r="112" spans="1:18" ht="13.5">
      <c r="A112" s="59" t="s"/>
      <c r="B112" s="59" t="s"/>
      <c r="C112" s="59" t="s"/>
      <c r="D112" s="59" t="s"/>
      <c r="E112" s="59" t="s"/>
      <c r="F112" s="57" t="s"/>
      <c r="G112" s="60" t="s"/>
      <c r="H112" s="59" t="s"/>
      <c r="I112" s="38" t="s"/>
      <c r="J112" s="38" t="s"/>
      <c r="K112" s="57" t="s"/>
      <c r="L112" s="609" t="s"/>
      <c r="M112" s="59" t="s"/>
      <c r="N112" s="59" t="s"/>
      <c r="O112" s="59" t="s"/>
      <c r="P112" s="59" t="s"/>
      <c r="Q112" s="59" t="s"/>
      <c r="R112" s="59" t="s"/>
    </row>
    <row r="113" spans="1:18" ht="13.5">
      <c r="A113" s="59" t="s"/>
      <c r="B113" s="59" t="s"/>
      <c r="C113" s="59" t="s"/>
      <c r="D113" s="59" t="s"/>
      <c r="E113" s="59" t="s"/>
      <c r="F113" s="57" t="s"/>
      <c r="G113" s="60" t="s"/>
      <c r="H113" s="59" t="s"/>
      <c r="I113" s="38" t="s"/>
      <c r="J113" s="38" t="s"/>
      <c r="K113" s="57" t="s"/>
      <c r="L113" s="609" t="s"/>
      <c r="M113" s="59" t="s"/>
      <c r="N113" s="59" t="s"/>
      <c r="O113" s="59" t="s"/>
      <c r="P113" s="59" t="s"/>
      <c r="Q113" s="59" t="s"/>
      <c r="R113" s="59" t="s"/>
    </row>
    <row r="114" spans="1:18" ht="13.5">
      <c r="A114" s="59" t="s"/>
      <c r="B114" s="59" t="s"/>
      <c r="C114" s="59" t="s"/>
      <c r="D114" s="59" t="s"/>
      <c r="E114" s="59" t="s"/>
      <c r="F114" s="57" t="s"/>
      <c r="G114" s="60" t="s"/>
      <c r="H114" s="59" t="s"/>
      <c r="I114" s="38" t="s"/>
      <c r="J114" s="38" t="s"/>
      <c r="K114" s="57" t="s"/>
      <c r="L114" s="609" t="s"/>
      <c r="M114" s="59" t="s"/>
      <c r="N114" s="59" t="s"/>
      <c r="O114" s="59" t="s"/>
      <c r="P114" s="59" t="s"/>
      <c r="Q114" s="59" t="s"/>
      <c r="R114" s="59" t="s"/>
    </row>
    <row r="115" spans="1:18" ht="13.5">
      <c r="A115" s="59" t="s"/>
      <c r="B115" s="59" t="s"/>
      <c r="C115" s="59" t="s"/>
      <c r="D115" s="59" t="s"/>
      <c r="E115" s="59" t="s"/>
      <c r="F115" s="57" t="s"/>
      <c r="G115" s="60" t="s"/>
      <c r="H115" s="59" t="s"/>
      <c r="I115" s="38" t="s"/>
      <c r="J115" s="38" t="s"/>
      <c r="K115" s="57" t="s"/>
      <c r="L115" s="609" t="s"/>
      <c r="M115" s="59" t="s"/>
      <c r="N115" s="59" t="s"/>
      <c r="O115" s="59" t="s"/>
      <c r="P115" s="59" t="s"/>
      <c r="Q115" s="59" t="s"/>
      <c r="R115" s="59" t="s"/>
    </row>
    <row r="116" spans="1:18" ht="13.5">
      <c r="A116" s="59" t="s"/>
      <c r="B116" s="59" t="s"/>
      <c r="C116" s="59" t="s"/>
      <c r="D116" s="59" t="s"/>
      <c r="E116" s="59" t="s"/>
      <c r="F116" s="57" t="s"/>
      <c r="G116" s="60" t="s"/>
      <c r="H116" s="59" t="s"/>
      <c r="I116" s="38" t="s"/>
      <c r="J116" s="38" t="s"/>
      <c r="K116" s="57" t="s"/>
      <c r="L116" s="609" t="s"/>
      <c r="M116" s="59" t="s"/>
      <c r="N116" s="59" t="s"/>
      <c r="O116" s="59" t="s"/>
      <c r="P116" s="59" t="s"/>
      <c r="Q116" s="59" t="s"/>
      <c r="R116" s="59" t="s"/>
    </row>
    <row r="117" spans="1:18" ht="13.5">
      <c r="A117" s="59" t="s"/>
      <c r="B117" s="59" t="s"/>
      <c r="C117" s="59" t="s"/>
      <c r="D117" s="59" t="s"/>
      <c r="E117" s="59" t="s"/>
      <c r="F117" s="57" t="s"/>
      <c r="G117" s="60" t="s"/>
      <c r="H117" s="59" t="s"/>
      <c r="I117" s="38" t="s"/>
      <c r="J117" s="38" t="s"/>
      <c r="K117" s="57" t="s"/>
      <c r="L117" s="609" t="s"/>
      <c r="M117" s="59" t="s"/>
      <c r="N117" s="59" t="s"/>
      <c r="O117" s="59" t="s"/>
      <c r="P117" s="59" t="s"/>
      <c r="Q117" s="59" t="s"/>
      <c r="R117" s="59" t="s"/>
    </row>
    <row r="118" spans="1:18" ht="13.5">
      <c r="A118" s="59" t="s"/>
      <c r="B118" s="59" t="s"/>
      <c r="C118" s="59" t="s"/>
      <c r="D118" s="59" t="s"/>
      <c r="E118" s="59" t="s"/>
      <c r="F118" s="57" t="s"/>
      <c r="G118" s="60" t="s"/>
      <c r="H118" s="59" t="s"/>
      <c r="I118" s="38" t="s"/>
      <c r="J118" s="38" t="s"/>
      <c r="K118" s="57" t="s"/>
      <c r="L118" s="609" t="s"/>
      <c r="M118" s="59" t="s"/>
      <c r="N118" s="59" t="s"/>
      <c r="O118" s="59" t="s"/>
      <c r="P118" s="59" t="s"/>
      <c r="Q118" s="59" t="s"/>
      <c r="R118" s="59" t="s"/>
    </row>
    <row r="119" spans="1:18" ht="13.5">
      <c r="A119" s="59" t="s"/>
      <c r="B119" s="59" t="s"/>
      <c r="C119" s="59" t="s"/>
      <c r="D119" s="59" t="s"/>
      <c r="E119" s="59" t="s"/>
      <c r="F119" s="57" t="s"/>
      <c r="G119" s="60" t="s"/>
      <c r="H119" s="59" t="s"/>
      <c r="I119" s="38" t="s"/>
      <c r="J119" s="38" t="s"/>
      <c r="K119" s="57" t="s"/>
      <c r="L119" s="609" t="s"/>
      <c r="M119" s="59" t="s"/>
      <c r="N119" s="59" t="s"/>
      <c r="O119" s="59" t="s"/>
      <c r="P119" s="59" t="s"/>
      <c r="Q119" s="59" t="s"/>
      <c r="R119" s="59" t="s"/>
    </row>
    <row r="120" spans="1:18" ht="13.5">
      <c r="A120" s="59" t="s"/>
      <c r="B120" s="59" t="s"/>
      <c r="C120" s="59" t="s"/>
      <c r="D120" s="59" t="s"/>
      <c r="E120" s="59" t="s"/>
      <c r="F120" s="57" t="s"/>
      <c r="G120" s="60" t="s"/>
      <c r="H120" s="59" t="s"/>
      <c r="I120" s="38" t="s"/>
      <c r="J120" s="38" t="s"/>
      <c r="K120" s="57" t="s"/>
      <c r="L120" s="609" t="s"/>
      <c r="M120" s="59" t="s"/>
      <c r="N120" s="59" t="s"/>
      <c r="O120" s="59" t="s"/>
      <c r="P120" s="59" t="s"/>
      <c r="Q120" s="59" t="s"/>
      <c r="R120" s="59" t="s"/>
    </row>
    <row r="121" spans="1:18" ht="13.5">
      <c r="A121" s="59" t="s"/>
      <c r="B121" s="59" t="s"/>
      <c r="C121" s="59" t="s"/>
      <c r="D121" s="59" t="s"/>
      <c r="E121" s="59" t="s"/>
      <c r="F121" s="57" t="s"/>
      <c r="G121" s="60" t="s"/>
      <c r="H121" s="59" t="s"/>
      <c r="I121" s="38" t="s"/>
      <c r="J121" s="38" t="s"/>
      <c r="K121" s="57" t="s"/>
      <c r="L121" s="609" t="s"/>
      <c r="M121" s="59" t="s"/>
      <c r="N121" s="59" t="s"/>
      <c r="O121" s="59" t="s"/>
      <c r="P121" s="59" t="s"/>
      <c r="Q121" s="59" t="s"/>
      <c r="R121" s="59" t="s"/>
    </row>
    <row r="122" spans="1:18" ht="13.5">
      <c r="A122" s="59" t="s"/>
      <c r="B122" s="59" t="s"/>
      <c r="C122" s="59" t="s"/>
      <c r="D122" s="59" t="s"/>
      <c r="E122" s="59" t="s"/>
      <c r="F122" s="57" t="s"/>
      <c r="G122" s="60" t="s"/>
      <c r="H122" s="59" t="s"/>
      <c r="I122" s="38" t="s"/>
      <c r="J122" s="38" t="s"/>
      <c r="K122" s="57" t="s"/>
      <c r="L122" s="609" t="s"/>
      <c r="M122" s="59" t="s"/>
      <c r="N122" s="59" t="s"/>
      <c r="O122" s="59" t="s"/>
      <c r="P122" s="59" t="s"/>
      <c r="Q122" s="59" t="s"/>
      <c r="R122" s="59" t="s"/>
    </row>
    <row r="123" spans="1:18" ht="13.5">
      <c r="A123" s="59" t="s"/>
      <c r="B123" s="59" t="s"/>
      <c r="C123" s="59" t="s"/>
      <c r="D123" s="59" t="s"/>
      <c r="E123" s="59" t="s"/>
      <c r="F123" s="57" t="s"/>
      <c r="G123" s="60" t="s"/>
      <c r="H123" s="59" t="s"/>
      <c r="I123" s="38" t="s"/>
      <c r="J123" s="38" t="s"/>
      <c r="K123" s="57" t="s"/>
      <c r="L123" s="609" t="s"/>
      <c r="M123" s="59" t="s"/>
      <c r="N123" s="59" t="s"/>
      <c r="O123" s="59" t="s"/>
      <c r="P123" s="59" t="s"/>
      <c r="Q123" s="59" t="s"/>
      <c r="R123" s="59" t="s"/>
    </row>
    <row r="124" spans="1:18" ht="13.5">
      <c r="A124" s="59" t="s"/>
      <c r="B124" s="59" t="s"/>
      <c r="C124" s="59" t="s"/>
      <c r="D124" s="59" t="s"/>
      <c r="E124" s="59" t="s"/>
      <c r="F124" s="57" t="s"/>
      <c r="G124" s="60" t="s"/>
      <c r="H124" s="59" t="s"/>
      <c r="I124" s="38" t="s"/>
      <c r="J124" s="38" t="s"/>
      <c r="K124" s="57" t="s"/>
      <c r="L124" s="609" t="s"/>
      <c r="M124" s="59" t="s"/>
      <c r="N124" s="59" t="s"/>
      <c r="O124" s="59" t="s"/>
      <c r="P124" s="59" t="s"/>
      <c r="Q124" s="59" t="s"/>
      <c r="R124" s="59" t="s"/>
    </row>
    <row r="125" spans="1:18" ht="13.5">
      <c r="A125" s="59" t="s"/>
      <c r="B125" s="59" t="s"/>
      <c r="C125" s="59" t="s"/>
      <c r="D125" s="59" t="s"/>
      <c r="E125" s="59" t="s"/>
      <c r="F125" s="57" t="s"/>
      <c r="G125" s="60" t="s"/>
      <c r="H125" s="59" t="s"/>
      <c r="I125" s="38" t="s"/>
      <c r="J125" s="38" t="s"/>
      <c r="K125" s="57" t="s"/>
      <c r="L125" s="609" t="s"/>
      <c r="M125" s="59" t="s"/>
      <c r="N125" s="59" t="s"/>
      <c r="O125" s="59" t="s"/>
      <c r="P125" s="59" t="s"/>
      <c r="Q125" s="59" t="s"/>
      <c r="R125" s="59" t="s"/>
    </row>
    <row r="126" spans="1:18" ht="13.5">
      <c r="A126" s="59" t="s"/>
      <c r="B126" s="59" t="s"/>
      <c r="C126" s="59" t="s"/>
      <c r="D126" s="59" t="s"/>
      <c r="E126" s="59" t="s"/>
      <c r="F126" s="57" t="s"/>
      <c r="G126" s="60" t="s"/>
      <c r="H126" s="59" t="s"/>
      <c r="I126" s="38" t="s"/>
      <c r="J126" s="38" t="s"/>
      <c r="K126" s="57" t="s"/>
      <c r="L126" s="609" t="s"/>
      <c r="M126" s="59" t="s"/>
      <c r="N126" s="59" t="s"/>
      <c r="O126" s="59" t="s"/>
      <c r="P126" s="59" t="s"/>
      <c r="Q126" s="59" t="s"/>
      <c r="R126" s="59" t="s"/>
    </row>
    <row r="127" spans="1:18" ht="13.5">
      <c r="A127" s="59" t="s"/>
      <c r="B127" s="59" t="s"/>
      <c r="C127" s="59" t="s"/>
      <c r="D127" s="59" t="s"/>
      <c r="E127" s="59" t="s"/>
      <c r="F127" s="57" t="s"/>
      <c r="G127" s="60" t="s"/>
      <c r="H127" s="59" t="s"/>
      <c r="I127" s="38" t="s"/>
      <c r="J127" s="38" t="s"/>
      <c r="K127" s="57" t="s"/>
      <c r="L127" s="609" t="s"/>
      <c r="M127" s="59" t="s"/>
      <c r="N127" s="59" t="s"/>
      <c r="O127" s="59" t="s"/>
      <c r="P127" s="59" t="s"/>
      <c r="Q127" s="59" t="s"/>
      <c r="R127" s="59" t="s"/>
    </row>
    <row r="128" spans="1:18" ht="13.5">
      <c r="A128" s="59" t="s"/>
      <c r="B128" s="59" t="s"/>
      <c r="C128" s="59" t="s"/>
      <c r="D128" s="59" t="s"/>
      <c r="E128" s="59" t="s"/>
      <c r="F128" s="57" t="s"/>
      <c r="G128" s="60" t="s"/>
      <c r="H128" s="59" t="s"/>
      <c r="I128" s="38" t="s"/>
      <c r="J128" s="38" t="s"/>
      <c r="K128" s="57" t="s"/>
      <c r="L128" s="609" t="s"/>
      <c r="M128" s="59" t="s"/>
      <c r="N128" s="59" t="s"/>
      <c r="O128" s="59" t="s"/>
      <c r="P128" s="59" t="s"/>
      <c r="Q128" s="59" t="s"/>
      <c r="R128" s="59" t="s"/>
    </row>
    <row r="129" spans="1:18" ht="13.5">
      <c r="A129" s="59" t="s"/>
      <c r="B129" s="59" t="s"/>
      <c r="C129" s="59" t="s"/>
      <c r="D129" s="59" t="s"/>
      <c r="E129" s="59" t="s"/>
      <c r="F129" s="57" t="s"/>
      <c r="G129" s="60" t="s"/>
      <c r="H129" s="59" t="s"/>
      <c r="I129" s="38" t="s"/>
      <c r="J129" s="38" t="s"/>
      <c r="K129" s="57" t="s"/>
      <c r="L129" s="609" t="s"/>
      <c r="M129" s="59" t="s"/>
      <c r="N129" s="59" t="s"/>
      <c r="O129" s="59" t="s"/>
      <c r="P129" s="59" t="s"/>
      <c r="Q129" s="59" t="s"/>
      <c r="R129" s="59" t="s"/>
    </row>
    <row r="130" spans="1:18" ht="13.5">
      <c r="A130" s="59" t="s"/>
      <c r="B130" s="59" t="s"/>
      <c r="C130" s="59" t="s"/>
      <c r="D130" s="59" t="s"/>
      <c r="E130" s="59" t="s"/>
      <c r="F130" s="57" t="s"/>
      <c r="G130" s="60" t="s"/>
      <c r="H130" s="59" t="s"/>
      <c r="I130" s="38" t="s"/>
      <c r="J130" s="38" t="s"/>
      <c r="K130" s="57" t="s"/>
      <c r="L130" s="609" t="s"/>
      <c r="M130" s="59" t="s"/>
      <c r="N130" s="59" t="s"/>
      <c r="O130" s="59" t="s"/>
      <c r="P130" s="59" t="s"/>
      <c r="Q130" s="59" t="s"/>
      <c r="R130" s="59" t="s"/>
    </row>
    <row r="131" spans="1:18" ht="13.5">
      <c r="A131" s="59" t="s"/>
      <c r="B131" s="59" t="s"/>
      <c r="C131" s="59" t="s"/>
      <c r="D131" s="59" t="s"/>
      <c r="E131" s="59" t="s"/>
      <c r="F131" s="57" t="s"/>
      <c r="G131" s="60" t="s"/>
      <c r="H131" s="59" t="s"/>
      <c r="I131" s="38" t="s"/>
      <c r="J131" s="38" t="s"/>
      <c r="K131" s="57" t="s"/>
      <c r="L131" s="609" t="s"/>
      <c r="M131" s="59" t="s"/>
      <c r="N131" s="59" t="s"/>
      <c r="O131" s="59" t="s"/>
      <c r="P131" s="59" t="s"/>
      <c r="Q131" s="59" t="s"/>
      <c r="R131" s="59" t="s"/>
    </row>
    <row r="132" spans="1:18" ht="13.5">
      <c r="A132" s="59" t="s"/>
      <c r="B132" s="59" t="s"/>
      <c r="C132" s="59" t="s"/>
      <c r="D132" s="59" t="s"/>
      <c r="E132" s="59" t="s"/>
      <c r="F132" s="57" t="s"/>
      <c r="G132" s="60" t="s"/>
      <c r="H132" s="59" t="s"/>
      <c r="I132" s="38" t="s"/>
      <c r="J132" s="38" t="s"/>
      <c r="K132" s="57" t="s"/>
      <c r="L132" s="609" t="s"/>
      <c r="M132" s="59" t="s"/>
      <c r="N132" s="59" t="s"/>
      <c r="O132" s="59" t="s"/>
      <c r="P132" s="59" t="s"/>
      <c r="Q132" s="59" t="s"/>
      <c r="R132" s="59" t="s"/>
    </row>
    <row r="133" spans="1:18" ht="13.5">
      <c r="A133" s="59" t="s"/>
      <c r="B133" s="59" t="s"/>
      <c r="C133" s="59" t="s"/>
      <c r="D133" s="59" t="s"/>
      <c r="E133" s="59" t="s"/>
      <c r="F133" s="57" t="s"/>
      <c r="G133" s="60" t="s"/>
      <c r="H133" s="59" t="s"/>
      <c r="I133" s="38" t="s"/>
      <c r="J133" s="38" t="s"/>
      <c r="K133" s="57" t="s"/>
      <c r="L133" s="609" t="s"/>
      <c r="M133" s="59" t="s"/>
      <c r="N133" s="59" t="s"/>
      <c r="O133" s="59" t="s"/>
      <c r="P133" s="59" t="s"/>
      <c r="Q133" s="59" t="s"/>
      <c r="R133" s="59" t="s"/>
    </row>
    <row r="134" spans="1:18" ht="13.5">
      <c r="A134" s="59" t="s"/>
      <c r="B134" s="59" t="s"/>
      <c r="C134" s="59" t="s"/>
      <c r="D134" s="59" t="s"/>
      <c r="E134" s="59" t="s"/>
      <c r="F134" s="57" t="s"/>
      <c r="G134" s="60" t="s"/>
      <c r="H134" s="59" t="s"/>
      <c r="I134" s="38" t="s"/>
      <c r="J134" s="38" t="s"/>
      <c r="K134" s="57" t="s"/>
      <c r="L134" s="609" t="s"/>
      <c r="M134" s="59" t="s"/>
      <c r="N134" s="59" t="s"/>
      <c r="O134" s="59" t="s"/>
      <c r="P134" s="59" t="s"/>
      <c r="Q134" s="59" t="s"/>
      <c r="R134" s="59" t="s"/>
    </row>
    <row r="135" spans="1:18" ht="13.5">
      <c r="A135" s="59" t="s"/>
      <c r="B135" s="59" t="s"/>
      <c r="C135" s="59" t="s"/>
      <c r="D135" s="59" t="s"/>
      <c r="E135" s="59" t="s"/>
      <c r="F135" s="57" t="s"/>
      <c r="G135" s="60" t="s"/>
      <c r="H135" s="59" t="s"/>
      <c r="I135" s="38" t="s"/>
      <c r="J135" s="38" t="s"/>
      <c r="K135" s="57" t="s"/>
      <c r="L135" s="609" t="s"/>
      <c r="M135" s="59" t="s"/>
      <c r="N135" s="59" t="s"/>
      <c r="O135" s="59" t="s"/>
      <c r="P135" s="59" t="s"/>
      <c r="Q135" s="59" t="s"/>
      <c r="R135" s="59" t="s"/>
    </row>
    <row r="136" spans="1:18" ht="13.5">
      <c r="A136" s="59" t="s"/>
      <c r="B136" s="59" t="s"/>
      <c r="C136" s="59" t="s"/>
      <c r="D136" s="59" t="s"/>
      <c r="E136" s="59" t="s"/>
      <c r="F136" s="57" t="s"/>
      <c r="G136" s="60" t="s"/>
      <c r="H136" s="59" t="s"/>
      <c r="I136" s="38" t="s"/>
      <c r="J136" s="38" t="s"/>
      <c r="K136" s="57" t="s"/>
      <c r="L136" s="609" t="s"/>
      <c r="M136" s="59" t="s"/>
      <c r="N136" s="59" t="s"/>
      <c r="O136" s="59" t="s"/>
      <c r="P136" s="59" t="s"/>
      <c r="Q136" s="59" t="s"/>
      <c r="R136" s="59" t="s"/>
    </row>
    <row r="137" spans="1:18" ht="13.5">
      <c r="A137" s="59" t="s"/>
      <c r="B137" s="59" t="s"/>
      <c r="C137" s="59" t="s"/>
      <c r="D137" s="59" t="s"/>
      <c r="E137" s="59" t="s"/>
      <c r="F137" s="57" t="s"/>
      <c r="G137" s="60" t="s"/>
      <c r="H137" s="59" t="s"/>
      <c r="I137" s="38" t="s"/>
      <c r="J137" s="38" t="s"/>
      <c r="K137" s="57" t="s"/>
      <c r="L137" s="609" t="s"/>
      <c r="M137" s="59" t="s"/>
      <c r="N137" s="59" t="s"/>
      <c r="O137" s="59" t="s"/>
      <c r="P137" s="59" t="s"/>
      <c r="Q137" s="59" t="s"/>
      <c r="R137" s="59" t="s"/>
    </row>
    <row r="138" spans="1:18" ht="13.5">
      <c r="A138" s="59" t="s"/>
      <c r="B138" s="59" t="s"/>
      <c r="C138" s="59" t="s"/>
      <c r="D138" s="59" t="s"/>
      <c r="E138" s="59" t="s"/>
      <c r="F138" s="57" t="s"/>
      <c r="G138" s="60" t="s"/>
      <c r="H138" s="59" t="s"/>
      <c r="I138" s="38" t="s"/>
      <c r="J138" s="38" t="s"/>
      <c r="K138" s="57" t="s"/>
      <c r="L138" s="609" t="s"/>
      <c r="M138" s="59" t="s"/>
      <c r="N138" s="59" t="s"/>
      <c r="O138" s="59" t="s"/>
      <c r="P138" s="59" t="s"/>
      <c r="Q138" s="59" t="s"/>
      <c r="R138" s="59" t="s"/>
    </row>
    <row r="139" spans="1:18" ht="13.5">
      <c r="A139" s="59" t="s"/>
      <c r="B139" s="59" t="s"/>
      <c r="C139" s="59" t="s"/>
      <c r="D139" s="59" t="s"/>
      <c r="E139" s="59" t="s"/>
      <c r="F139" s="57" t="s"/>
      <c r="G139" s="60" t="s"/>
      <c r="H139" s="59" t="s"/>
      <c r="I139" s="38" t="s"/>
      <c r="J139" s="38" t="s"/>
      <c r="K139" s="57" t="s"/>
      <c r="L139" s="609" t="s"/>
      <c r="M139" s="59" t="s"/>
      <c r="N139" s="59" t="s"/>
      <c r="O139" s="59" t="s"/>
      <c r="P139" s="59" t="s"/>
      <c r="Q139" s="59" t="s"/>
      <c r="R139" s="59" t="s"/>
    </row>
    <row r="140" spans="1:18" ht="13.5">
      <c r="A140" s="59" t="s"/>
      <c r="B140" s="59" t="s"/>
      <c r="C140" s="59" t="s"/>
      <c r="D140" s="59" t="s"/>
      <c r="E140" s="59" t="s"/>
      <c r="F140" s="57" t="s"/>
      <c r="G140" s="60" t="s"/>
      <c r="H140" s="59" t="s"/>
      <c r="I140" s="38" t="s"/>
      <c r="J140" s="38" t="s"/>
      <c r="K140" s="57" t="s"/>
      <c r="L140" s="609" t="s"/>
      <c r="M140" s="59" t="s"/>
      <c r="N140" s="59" t="s"/>
      <c r="O140" s="59" t="s"/>
      <c r="P140" s="59" t="s"/>
      <c r="Q140" s="59" t="s"/>
      <c r="R140" s="59" t="s"/>
    </row>
    <row r="141" spans="1:18" ht="13.5">
      <c r="A141" s="59" t="s"/>
      <c r="B141" s="59" t="s"/>
      <c r="C141" s="59" t="s"/>
      <c r="D141" s="59" t="s"/>
      <c r="E141" s="59" t="s"/>
      <c r="F141" s="57" t="s"/>
      <c r="G141" s="60" t="s"/>
      <c r="H141" s="59" t="s"/>
      <c r="I141" s="38" t="s"/>
      <c r="J141" s="38" t="s"/>
      <c r="K141" s="57" t="s"/>
      <c r="L141" s="609" t="s"/>
      <c r="M141" s="59" t="s"/>
      <c r="N141" s="59" t="s"/>
      <c r="O141" s="59" t="s"/>
      <c r="P141" s="59" t="s"/>
      <c r="Q141" s="59" t="s"/>
      <c r="R141" s="59" t="s"/>
    </row>
    <row r="142" spans="1:18" ht="13.5">
      <c r="A142" s="59" t="s"/>
      <c r="B142" s="59" t="s"/>
      <c r="C142" s="59" t="s"/>
      <c r="D142" s="59" t="s"/>
      <c r="E142" s="59" t="s"/>
      <c r="F142" s="57" t="s"/>
      <c r="G142" s="60" t="s"/>
      <c r="H142" s="59" t="s"/>
      <c r="I142" s="38" t="s"/>
      <c r="J142" s="38" t="s"/>
      <c r="K142" s="57" t="s"/>
      <c r="L142" s="609" t="s"/>
      <c r="M142" s="59" t="s"/>
      <c r="N142" s="59" t="s"/>
      <c r="O142" s="59" t="s"/>
      <c r="P142" s="59" t="s"/>
      <c r="Q142" s="59" t="s"/>
      <c r="R142" s="59" t="s"/>
    </row>
    <row r="143" spans="1:18" ht="13.5">
      <c r="A143" s="59" t="s"/>
      <c r="B143" s="59" t="s"/>
      <c r="C143" s="59" t="s"/>
      <c r="D143" s="59" t="s"/>
      <c r="E143" s="59" t="s"/>
      <c r="F143" s="57" t="s"/>
      <c r="G143" s="60" t="s"/>
      <c r="H143" s="59" t="s"/>
      <c r="I143" s="38" t="s"/>
      <c r="J143" s="38" t="s"/>
      <c r="K143" s="57" t="s"/>
      <c r="L143" s="609" t="s"/>
      <c r="M143" s="59" t="s"/>
      <c r="N143" s="59" t="s"/>
      <c r="O143" s="59" t="s"/>
      <c r="P143" s="59" t="s"/>
      <c r="Q143" s="59" t="s"/>
      <c r="R143" s="59" t="s"/>
    </row>
    <row r="144" spans="1:18" ht="13.5">
      <c r="A144" s="59" t="s"/>
      <c r="B144" s="59" t="s"/>
      <c r="C144" s="59" t="s"/>
      <c r="D144" s="59" t="s"/>
      <c r="E144" s="59" t="s"/>
      <c r="F144" s="57" t="s"/>
      <c r="G144" s="60" t="s"/>
      <c r="H144" s="59" t="s"/>
      <c r="I144" s="38" t="s"/>
      <c r="J144" s="38" t="s"/>
      <c r="K144" s="57" t="s"/>
      <c r="L144" s="609" t="s"/>
      <c r="M144" s="59" t="s"/>
      <c r="N144" s="59" t="s"/>
      <c r="O144" s="59" t="s"/>
      <c r="P144" s="59" t="s"/>
      <c r="Q144" s="59" t="s"/>
      <c r="R144" s="59" t="s"/>
    </row>
    <row r="145" spans="1:18" ht="13.5">
      <c r="A145" s="59" t="s"/>
      <c r="B145" s="59" t="s"/>
      <c r="C145" s="59" t="s"/>
      <c r="D145" s="59" t="s"/>
      <c r="E145" s="59" t="s"/>
      <c r="F145" s="57" t="s"/>
      <c r="G145" s="60" t="s"/>
      <c r="H145" s="59" t="s"/>
      <c r="I145" s="38" t="s"/>
      <c r="J145" s="38" t="s"/>
      <c r="K145" s="57" t="s"/>
      <c r="L145" s="609" t="s"/>
      <c r="M145" s="59" t="s"/>
      <c r="N145" s="59" t="s"/>
      <c r="O145" s="59" t="s"/>
      <c r="P145" s="59" t="s"/>
      <c r="Q145" s="59" t="s"/>
      <c r="R145" s="59" t="s"/>
    </row>
    <row r="146" spans="1:18" ht="13.5">
      <c r="A146" s="59" t="s"/>
      <c r="B146" s="59" t="s"/>
      <c r="C146" s="59" t="s"/>
      <c r="D146" s="59" t="s"/>
      <c r="E146" s="59" t="s"/>
      <c r="F146" s="57" t="s"/>
      <c r="G146" s="60" t="s"/>
      <c r="H146" s="59" t="s"/>
      <c r="I146" s="38" t="s"/>
      <c r="J146" s="38" t="s"/>
      <c r="K146" s="57" t="s"/>
      <c r="L146" s="609" t="s"/>
      <c r="M146" s="59" t="s"/>
      <c r="N146" s="59" t="s"/>
      <c r="O146" s="59" t="s"/>
      <c r="P146" s="59" t="s"/>
      <c r="Q146" s="59" t="s"/>
      <c r="R146" s="59" t="s"/>
    </row>
    <row r="147" spans="1:18" ht="13.5">
      <c r="A147" s="59" t="s"/>
      <c r="B147" s="59" t="s"/>
      <c r="C147" s="59" t="s"/>
      <c r="D147" s="59" t="s"/>
      <c r="E147" s="59" t="s"/>
      <c r="F147" s="57" t="s"/>
      <c r="G147" s="60" t="s"/>
      <c r="H147" s="59" t="s"/>
      <c r="I147" s="38" t="s"/>
      <c r="J147" s="38" t="s"/>
      <c r="K147" s="57" t="s"/>
      <c r="L147" s="609" t="s"/>
      <c r="M147" s="59" t="s"/>
      <c r="N147" s="59" t="s"/>
      <c r="O147" s="59" t="s"/>
      <c r="P147" s="59" t="s"/>
      <c r="Q147" s="59" t="s"/>
      <c r="R147" s="59" t="s"/>
    </row>
    <row r="148" spans="1:18" ht="13.5">
      <c r="A148" s="59" t="s"/>
      <c r="B148" s="59" t="s"/>
      <c r="C148" s="59" t="s"/>
      <c r="D148" s="59" t="s"/>
      <c r="E148" s="59" t="s"/>
      <c r="F148" s="57" t="s"/>
      <c r="G148" s="60" t="s"/>
      <c r="H148" s="59" t="s"/>
      <c r="I148" s="38" t="s"/>
      <c r="J148" s="38" t="s"/>
      <c r="K148" s="57" t="s"/>
      <c r="L148" s="609" t="s"/>
      <c r="M148" s="59" t="s"/>
      <c r="N148" s="59" t="s"/>
      <c r="O148" s="59" t="s"/>
      <c r="P148" s="59" t="s"/>
      <c r="Q148" s="59" t="s"/>
      <c r="R148" s="59" t="s"/>
    </row>
    <row r="149" spans="1:18" ht="13.5">
      <c r="A149" s="59" t="s"/>
      <c r="B149" s="59" t="s"/>
      <c r="C149" s="59" t="s"/>
      <c r="D149" s="59" t="s"/>
      <c r="E149" s="59" t="s"/>
      <c r="F149" s="57" t="s"/>
      <c r="G149" s="60" t="s"/>
      <c r="H149" s="59" t="s"/>
      <c r="I149" s="38" t="s"/>
      <c r="J149" s="38" t="s"/>
      <c r="K149" s="57" t="s"/>
      <c r="L149" s="609" t="s"/>
      <c r="M149" s="59" t="s"/>
      <c r="N149" s="59" t="s"/>
      <c r="O149" s="59" t="s"/>
      <c r="P149" s="59" t="s"/>
      <c r="Q149" s="59" t="s"/>
      <c r="R149" s="59" t="s"/>
    </row>
    <row r="150" spans="1:18" ht="13.5">
      <c r="A150" s="59" t="s"/>
      <c r="B150" s="59" t="s"/>
      <c r="C150" s="59" t="s"/>
      <c r="D150" s="59" t="s"/>
      <c r="E150" s="59" t="s"/>
      <c r="F150" s="57" t="s"/>
      <c r="G150" s="60" t="s"/>
      <c r="H150" s="59" t="s"/>
      <c r="I150" s="38" t="s"/>
      <c r="J150" s="38" t="s"/>
      <c r="K150" s="57" t="s"/>
      <c r="L150" s="609" t="s"/>
      <c r="M150" s="59" t="s"/>
      <c r="N150" s="59" t="s"/>
      <c r="O150" s="59" t="s"/>
      <c r="P150" s="59" t="s"/>
      <c r="Q150" s="59" t="s"/>
      <c r="R150" s="59" t="s"/>
    </row>
    <row r="151" spans="1:18" ht="13.5">
      <c r="A151" s="59" t="s"/>
      <c r="B151" s="59" t="s"/>
      <c r="C151" s="59" t="s"/>
      <c r="D151" s="59" t="s"/>
      <c r="E151" s="59" t="s"/>
      <c r="F151" s="57" t="s"/>
      <c r="G151" s="60" t="s"/>
      <c r="H151" s="59" t="s"/>
      <c r="I151" s="38" t="s"/>
      <c r="J151" s="38" t="s"/>
      <c r="K151" s="57" t="s"/>
      <c r="L151" s="609" t="s"/>
      <c r="M151" s="59" t="s"/>
      <c r="N151" s="59" t="s"/>
      <c r="O151" s="59" t="s"/>
      <c r="P151" s="59" t="s"/>
      <c r="Q151" s="59" t="s"/>
      <c r="R151" s="59" t="s"/>
    </row>
    <row r="152" spans="1:18" ht="13.5">
      <c r="A152" s="59" t="s"/>
      <c r="B152" s="59" t="s"/>
      <c r="C152" s="59" t="s"/>
      <c r="D152" s="59" t="s"/>
      <c r="E152" s="59" t="s"/>
      <c r="F152" s="57" t="s"/>
      <c r="G152" s="60" t="s"/>
      <c r="H152" s="59" t="s"/>
      <c r="I152" s="38" t="s"/>
      <c r="J152" s="38" t="s"/>
      <c r="K152" s="57" t="s"/>
      <c r="L152" s="609" t="s"/>
      <c r="M152" s="59" t="s"/>
      <c r="N152" s="59" t="s"/>
      <c r="O152" s="59" t="s"/>
      <c r="P152" s="59" t="s"/>
      <c r="Q152" s="59" t="s"/>
      <c r="R152" s="59" t="s"/>
    </row>
    <row r="153" spans="1:18" ht="13.5">
      <c r="A153" s="59" t="s"/>
      <c r="B153" s="59" t="s"/>
      <c r="C153" s="59" t="s"/>
      <c r="D153" s="59" t="s"/>
      <c r="E153" s="59" t="s"/>
      <c r="F153" s="57" t="s"/>
      <c r="G153" s="60" t="s"/>
      <c r="H153" s="59" t="s"/>
      <c r="I153" s="38" t="s"/>
      <c r="J153" s="38" t="s"/>
      <c r="K153" s="57" t="s"/>
      <c r="L153" s="609" t="s"/>
      <c r="M153" s="59" t="s"/>
      <c r="N153" s="59" t="s"/>
      <c r="O153" s="59" t="s"/>
      <c r="P153" s="59" t="s"/>
      <c r="Q153" s="59" t="s"/>
      <c r="R153" s="59" t="s"/>
    </row>
    <row r="154" spans="1:18" ht="13.5">
      <c r="A154" s="59" t="s"/>
      <c r="B154" s="59" t="s"/>
      <c r="C154" s="59" t="s"/>
      <c r="D154" s="59" t="s"/>
      <c r="E154" s="59" t="s"/>
      <c r="F154" s="57" t="s"/>
      <c r="G154" s="60" t="s"/>
      <c r="H154" s="59" t="s"/>
      <c r="I154" s="38" t="s"/>
      <c r="J154" s="38" t="s"/>
      <c r="K154" s="57" t="s"/>
      <c r="L154" s="609" t="s"/>
      <c r="M154" s="59" t="s"/>
      <c r="N154" s="59" t="s"/>
      <c r="O154" s="59" t="s"/>
      <c r="P154" s="59" t="s"/>
      <c r="Q154" s="59" t="s"/>
      <c r="R154" s="59" t="s"/>
    </row>
    <row r="155" spans="1:18" ht="13.5">
      <c r="A155" s="59" t="s"/>
      <c r="B155" s="59" t="s"/>
      <c r="C155" s="59" t="s"/>
      <c r="D155" s="59" t="s"/>
      <c r="E155" s="59" t="s"/>
      <c r="F155" s="57" t="s"/>
      <c r="G155" s="60" t="s"/>
      <c r="H155" s="59" t="s"/>
      <c r="I155" s="38" t="s"/>
      <c r="J155" s="38" t="s"/>
      <c r="K155" s="57" t="s"/>
      <c r="L155" s="609" t="s"/>
      <c r="M155" s="59" t="s"/>
      <c r="N155" s="59" t="s"/>
      <c r="O155" s="59" t="s"/>
      <c r="P155" s="59" t="s"/>
      <c r="Q155" s="59" t="s"/>
      <c r="R155" s="59" t="s"/>
    </row>
    <row r="156" spans="1:18" ht="13.5">
      <c r="A156" s="59" t="s"/>
      <c r="B156" s="59" t="s"/>
      <c r="C156" s="59" t="s"/>
      <c r="D156" s="59" t="s"/>
      <c r="E156" s="59" t="s"/>
      <c r="F156" s="57" t="s"/>
      <c r="G156" s="60" t="s"/>
      <c r="H156" s="59" t="s"/>
      <c r="I156" s="38" t="s"/>
      <c r="J156" s="38" t="s"/>
      <c r="K156" s="57" t="s"/>
      <c r="L156" s="609" t="s"/>
      <c r="M156" s="59" t="s"/>
      <c r="N156" s="59" t="s"/>
      <c r="O156" s="59" t="s"/>
      <c r="P156" s="59" t="s"/>
      <c r="Q156" s="59" t="s"/>
      <c r="R156" s="59" t="s"/>
    </row>
    <row r="157" spans="1:18" ht="13.5">
      <c r="A157" s="59" t="s"/>
      <c r="B157" s="59" t="s"/>
      <c r="C157" s="59" t="s"/>
      <c r="D157" s="59" t="s"/>
      <c r="E157" s="59" t="s"/>
      <c r="F157" s="57" t="s"/>
      <c r="G157" s="60" t="s"/>
      <c r="H157" s="59" t="s"/>
      <c r="I157" s="38" t="s"/>
      <c r="J157" s="38" t="s"/>
      <c r="K157" s="57" t="s"/>
      <c r="L157" s="609" t="s"/>
      <c r="M157" s="59" t="s"/>
      <c r="N157" s="59" t="s"/>
      <c r="O157" s="59" t="s"/>
      <c r="P157" s="59" t="s"/>
      <c r="Q157" s="59" t="s"/>
      <c r="R157" s="59" t="s"/>
    </row>
    <row r="158" spans="1:18" ht="13.5">
      <c r="A158" s="59" t="s"/>
      <c r="B158" s="59" t="s"/>
      <c r="C158" s="59" t="s"/>
      <c r="D158" s="59" t="s"/>
      <c r="E158" s="59" t="s"/>
      <c r="F158" s="57" t="s"/>
      <c r="G158" s="60" t="s"/>
      <c r="H158" s="59" t="s"/>
      <c r="I158" s="38" t="s"/>
      <c r="J158" s="38" t="s"/>
      <c r="K158" s="57" t="s"/>
      <c r="L158" s="609" t="s"/>
      <c r="M158" s="59" t="s"/>
      <c r="N158" s="59" t="s"/>
      <c r="O158" s="59" t="s"/>
      <c r="P158" s="59" t="s"/>
      <c r="Q158" s="59" t="s"/>
      <c r="R158" s="59" t="s"/>
    </row>
    <row r="159" spans="1:18" ht="13.5">
      <c r="A159" s="59" t="s"/>
      <c r="B159" s="59" t="s"/>
      <c r="C159" s="59" t="s"/>
      <c r="D159" s="59" t="s"/>
      <c r="E159" s="59" t="s"/>
      <c r="F159" s="57" t="s"/>
      <c r="G159" s="60" t="s"/>
      <c r="H159" s="59" t="s"/>
      <c r="I159" s="38" t="s"/>
      <c r="J159" s="38" t="s"/>
      <c r="K159" s="57" t="s"/>
      <c r="L159" s="609" t="s"/>
      <c r="M159" s="59" t="s"/>
      <c r="N159" s="59" t="s"/>
      <c r="O159" s="59" t="s"/>
      <c r="P159" s="59" t="s"/>
      <c r="Q159" s="59" t="s"/>
      <c r="R159" s="59" t="s"/>
    </row>
    <row r="160" spans="1:18" ht="13.5">
      <c r="A160" s="59" t="s"/>
      <c r="B160" s="59" t="s"/>
      <c r="C160" s="59" t="s"/>
      <c r="D160" s="59" t="s"/>
      <c r="E160" s="59" t="s"/>
      <c r="F160" s="57" t="s"/>
      <c r="G160" s="60" t="s"/>
      <c r="H160" s="59" t="s"/>
      <c r="I160" s="38" t="s"/>
      <c r="J160" s="38" t="s"/>
      <c r="K160" s="57" t="s"/>
      <c r="L160" s="609" t="s"/>
      <c r="M160" s="59" t="s"/>
      <c r="N160" s="59" t="s"/>
      <c r="O160" s="59" t="s"/>
      <c r="P160" s="59" t="s"/>
      <c r="Q160" s="59" t="s"/>
      <c r="R160" s="59" t="s"/>
    </row>
    <row r="161" spans="1:18" ht="13.5">
      <c r="A161" s="59" t="s"/>
      <c r="B161" s="59" t="s"/>
      <c r="C161" s="59" t="s"/>
      <c r="D161" s="59" t="s"/>
      <c r="E161" s="59" t="s"/>
      <c r="F161" s="57" t="s"/>
      <c r="G161" s="60" t="s"/>
      <c r="H161" s="59" t="s"/>
      <c r="I161" s="38" t="s"/>
      <c r="J161" s="38" t="s"/>
      <c r="K161" s="57" t="s"/>
      <c r="L161" s="609" t="s"/>
      <c r="M161" s="59" t="s"/>
      <c r="N161" s="59" t="s"/>
      <c r="O161" s="59" t="s"/>
      <c r="P161" s="59" t="s"/>
      <c r="Q161" s="59" t="s"/>
      <c r="R161" s="59" t="s"/>
    </row>
    <row r="162" spans="1:18" ht="13.5">
      <c r="A162" s="59" t="s"/>
      <c r="B162" s="59" t="s"/>
      <c r="C162" s="59" t="s"/>
      <c r="D162" s="59" t="s"/>
      <c r="E162" s="59" t="s"/>
      <c r="F162" s="57" t="s"/>
      <c r="G162" s="60" t="s"/>
      <c r="H162" s="59" t="s"/>
      <c r="I162" s="38" t="s"/>
      <c r="J162" s="38" t="s"/>
      <c r="K162" s="57" t="s"/>
      <c r="L162" s="609" t="s"/>
      <c r="M162" s="59" t="s"/>
      <c r="N162" s="59" t="s"/>
      <c r="O162" s="59" t="s"/>
      <c r="P162" s="59" t="s"/>
      <c r="Q162" s="59" t="s"/>
      <c r="R162" s="59" t="s"/>
    </row>
    <row r="163" spans="1:18" ht="13.5">
      <c r="A163" s="59" t="s"/>
      <c r="B163" s="59" t="s"/>
      <c r="C163" s="59" t="s"/>
      <c r="D163" s="59" t="s"/>
      <c r="E163" s="59" t="s"/>
      <c r="F163" s="57" t="s"/>
      <c r="G163" s="60" t="s"/>
      <c r="H163" s="59" t="s"/>
      <c r="I163" s="38" t="s"/>
      <c r="J163" s="38" t="s"/>
      <c r="K163" s="57" t="s"/>
      <c r="L163" s="609" t="s"/>
      <c r="M163" s="59" t="s"/>
      <c r="N163" s="59" t="s"/>
      <c r="O163" s="59" t="s"/>
      <c r="P163" s="59" t="s"/>
      <c r="Q163" s="59" t="s"/>
      <c r="R163" s="59" t="s"/>
    </row>
    <row r="164" spans="1:18" ht="13.5">
      <c r="A164" s="59" t="s"/>
      <c r="B164" s="59" t="s"/>
      <c r="C164" s="59" t="s"/>
      <c r="D164" s="59" t="s"/>
      <c r="E164" s="59" t="s"/>
      <c r="F164" s="57" t="s"/>
      <c r="G164" s="60" t="s"/>
      <c r="H164" s="59" t="s"/>
      <c r="I164" s="38" t="s"/>
      <c r="J164" s="38" t="s"/>
      <c r="K164" s="57" t="s"/>
      <c r="L164" s="609" t="s"/>
      <c r="M164" s="59" t="s"/>
      <c r="N164" s="59" t="s"/>
      <c r="O164" s="59" t="s"/>
      <c r="P164" s="59" t="s"/>
      <c r="Q164" s="59" t="s"/>
      <c r="R164" s="59" t="s"/>
    </row>
    <row r="165" spans="1:18" ht="13.5">
      <c r="A165" s="59" t="s"/>
      <c r="B165" s="59" t="s"/>
      <c r="C165" s="59" t="s"/>
      <c r="D165" s="59" t="s"/>
      <c r="E165" s="59" t="s"/>
      <c r="F165" s="57" t="s"/>
      <c r="G165" s="60" t="s"/>
      <c r="H165" s="59" t="s"/>
      <c r="I165" s="38" t="s"/>
      <c r="J165" s="38" t="s"/>
      <c r="K165" s="57" t="s"/>
      <c r="L165" s="609" t="s"/>
      <c r="M165" s="59" t="s"/>
      <c r="N165" s="59" t="s"/>
      <c r="O165" s="59" t="s"/>
      <c r="P165" s="59" t="s"/>
      <c r="Q165" s="59" t="s"/>
      <c r="R165" s="59" t="s"/>
    </row>
    <row r="166" spans="1:18" ht="13.5">
      <c r="A166" s="59" t="s"/>
      <c r="B166" s="59" t="s"/>
      <c r="C166" s="59" t="s"/>
      <c r="D166" s="59" t="s"/>
      <c r="E166" s="59" t="s"/>
      <c r="F166" s="57" t="s"/>
      <c r="G166" s="60" t="s"/>
      <c r="H166" s="59" t="s"/>
      <c r="I166" s="38" t="s"/>
      <c r="J166" s="38" t="s"/>
      <c r="K166" s="57" t="s"/>
      <c r="L166" s="609" t="s"/>
      <c r="M166" s="59" t="s"/>
      <c r="N166" s="59" t="s"/>
      <c r="O166" s="59" t="s"/>
      <c r="P166" s="59" t="s"/>
      <c r="Q166" s="59" t="s"/>
      <c r="R166" s="59" t="s"/>
    </row>
    <row r="167" spans="1:18" ht="13.5">
      <c r="A167" s="59" t="s"/>
      <c r="B167" s="59" t="s"/>
      <c r="C167" s="59" t="s"/>
      <c r="D167" s="59" t="s"/>
      <c r="E167" s="59" t="s"/>
      <c r="F167" s="57" t="s"/>
      <c r="G167" s="60" t="s"/>
      <c r="H167" s="59" t="s"/>
      <c r="I167" s="38" t="s"/>
      <c r="J167" s="38" t="s"/>
      <c r="K167" s="57" t="s"/>
      <c r="L167" s="609" t="s"/>
      <c r="M167" s="59" t="s"/>
      <c r="N167" s="59" t="s"/>
      <c r="O167" s="59" t="s"/>
      <c r="P167" s="59" t="s"/>
      <c r="Q167" s="59" t="s"/>
      <c r="R167" s="59" t="s"/>
    </row>
    <row r="168" spans="1:18" ht="13.5">
      <c r="A168" s="59" t="s"/>
      <c r="B168" s="59" t="s"/>
      <c r="C168" s="59" t="s"/>
      <c r="D168" s="59" t="s"/>
      <c r="E168" s="59" t="s"/>
      <c r="F168" s="57" t="s"/>
      <c r="G168" s="60" t="s"/>
      <c r="H168" s="59" t="s"/>
      <c r="I168" s="38" t="s"/>
      <c r="J168" s="38" t="s"/>
      <c r="K168" s="57" t="s"/>
      <c r="L168" s="609" t="s"/>
      <c r="M168" s="59" t="s"/>
      <c r="N168" s="59" t="s"/>
      <c r="O168" s="59" t="s"/>
      <c r="P168" s="59" t="s"/>
      <c r="Q168" s="59" t="s"/>
      <c r="R168" s="59" t="s"/>
    </row>
    <row r="169" spans="1:18" ht="13.5">
      <c r="A169" s="59" t="s"/>
      <c r="B169" s="59" t="s"/>
      <c r="C169" s="59" t="s"/>
      <c r="D169" s="59" t="s"/>
      <c r="E169" s="59" t="s"/>
      <c r="F169" s="57" t="s"/>
      <c r="G169" s="60" t="s"/>
      <c r="H169" s="59" t="s"/>
      <c r="I169" s="38" t="s"/>
      <c r="J169" s="38" t="s"/>
      <c r="K169" s="57" t="s"/>
      <c r="L169" s="609" t="s"/>
      <c r="M169" s="59" t="s"/>
      <c r="N169" s="59" t="s"/>
      <c r="O169" s="59" t="s"/>
      <c r="P169" s="59" t="s"/>
      <c r="Q169" s="59" t="s"/>
      <c r="R169" s="59" t="s"/>
    </row>
    <row r="170" spans="1:18" ht="13.5">
      <c r="A170" s="59" t="s"/>
      <c r="B170" s="59" t="s"/>
      <c r="C170" s="59" t="s"/>
      <c r="D170" s="59" t="s"/>
      <c r="E170" s="59" t="s"/>
      <c r="F170" s="57" t="s"/>
      <c r="G170" s="60" t="s"/>
      <c r="H170" s="59" t="s"/>
      <c r="I170" s="38" t="s"/>
      <c r="J170" s="38" t="s"/>
      <c r="K170" s="57" t="s"/>
      <c r="L170" s="609" t="s"/>
      <c r="M170" s="59" t="s"/>
      <c r="N170" s="59" t="s"/>
      <c r="O170" s="59" t="s"/>
      <c r="P170" s="59" t="s"/>
      <c r="Q170" s="59" t="s"/>
      <c r="R170" s="59" t="s"/>
    </row>
    <row r="171" spans="1:18" ht="13.5">
      <c r="A171" s="59" t="s"/>
      <c r="B171" s="59" t="s"/>
      <c r="C171" s="59" t="s"/>
      <c r="D171" s="59" t="s"/>
      <c r="E171" s="59" t="s"/>
      <c r="F171" s="57" t="s"/>
      <c r="G171" s="60" t="s"/>
      <c r="H171" s="59" t="s"/>
      <c r="I171" s="38" t="s"/>
      <c r="J171" s="38" t="s"/>
      <c r="K171" s="57" t="s"/>
      <c r="L171" s="609" t="s"/>
      <c r="M171" s="59" t="s"/>
      <c r="N171" s="59" t="s"/>
      <c r="O171" s="59" t="s"/>
      <c r="P171" s="59" t="s"/>
      <c r="Q171" s="59" t="s"/>
      <c r="R171" s="59" t="s"/>
    </row>
    <row r="172" spans="1:18" ht="13.5">
      <c r="A172" s="59" t="s"/>
      <c r="B172" s="59" t="s"/>
      <c r="C172" s="59" t="s"/>
      <c r="D172" s="59" t="s"/>
      <c r="E172" s="59" t="s"/>
      <c r="F172" s="57" t="s"/>
      <c r="G172" s="60" t="s"/>
      <c r="H172" s="59" t="s"/>
      <c r="I172" s="38" t="s"/>
      <c r="J172" s="38" t="s"/>
      <c r="K172" s="57" t="s"/>
      <c r="L172" s="609" t="s"/>
      <c r="M172" s="59" t="s"/>
      <c r="N172" s="59" t="s"/>
      <c r="O172" s="59" t="s"/>
      <c r="P172" s="59" t="s"/>
      <c r="Q172" s="59" t="s"/>
      <c r="R172" s="59" t="s"/>
    </row>
    <row r="173" spans="1:18" ht="13.5">
      <c r="A173" s="59" t="s"/>
      <c r="B173" s="59" t="s"/>
      <c r="C173" s="59" t="s"/>
      <c r="D173" s="59" t="s"/>
      <c r="E173" s="59" t="s"/>
      <c r="F173" s="57" t="s"/>
      <c r="G173" s="60" t="s"/>
      <c r="H173" s="59" t="s"/>
      <c r="I173" s="38" t="s"/>
      <c r="J173" s="38" t="s"/>
      <c r="K173" s="57" t="s"/>
      <c r="L173" s="609" t="s"/>
      <c r="M173" s="59" t="s"/>
      <c r="N173" s="59" t="s"/>
      <c r="O173" s="59" t="s"/>
      <c r="P173" s="59" t="s"/>
      <c r="Q173" s="59" t="s"/>
      <c r="R173" s="59" t="s"/>
    </row>
    <row r="174" spans="1:18" ht="13.5">
      <c r="A174" s="59" t="s"/>
      <c r="B174" s="59" t="s"/>
      <c r="C174" s="59" t="s"/>
      <c r="D174" s="59" t="s"/>
      <c r="E174" s="59" t="s"/>
      <c r="F174" s="57" t="s"/>
      <c r="G174" s="60" t="s"/>
      <c r="H174" s="59" t="s"/>
      <c r="I174" s="38" t="s"/>
      <c r="J174" s="38" t="s"/>
      <c r="K174" s="57" t="s"/>
      <c r="L174" s="609" t="s"/>
      <c r="M174" s="59" t="s"/>
      <c r="N174" s="59" t="s"/>
      <c r="O174" s="59" t="s"/>
      <c r="P174" s="59" t="s"/>
      <c r="Q174" s="59" t="s"/>
      <c r="R174" s="59" t="s"/>
    </row>
    <row r="175" spans="1:18" ht="13.5">
      <c r="A175" s="59" t="s"/>
      <c r="B175" s="59" t="s"/>
      <c r="C175" s="59" t="s"/>
      <c r="D175" s="59" t="s"/>
      <c r="E175" s="59" t="s"/>
      <c r="F175" s="57" t="s"/>
      <c r="G175" s="60" t="s"/>
      <c r="H175" s="59" t="s"/>
      <c r="I175" s="38" t="s"/>
      <c r="J175" s="38" t="s"/>
      <c r="K175" s="57" t="s"/>
      <c r="L175" s="609" t="s"/>
      <c r="M175" s="59" t="s"/>
      <c r="N175" s="59" t="s"/>
      <c r="O175" s="59" t="s"/>
      <c r="P175" s="59" t="s"/>
      <c r="Q175" s="59" t="s"/>
      <c r="R175" s="59" t="s"/>
    </row>
    <row r="176" spans="1:18" ht="13.5">
      <c r="A176" s="59" t="s"/>
      <c r="B176" s="59" t="s"/>
      <c r="C176" s="59" t="s"/>
      <c r="D176" s="59" t="s"/>
      <c r="E176" s="59" t="s"/>
      <c r="F176" s="57" t="s"/>
      <c r="G176" s="60" t="s"/>
      <c r="H176" s="59" t="s"/>
      <c r="I176" s="38" t="s"/>
      <c r="J176" s="38" t="s"/>
      <c r="K176" s="57" t="s"/>
      <c r="L176" s="609" t="s"/>
      <c r="M176" s="59" t="s"/>
      <c r="N176" s="59" t="s"/>
      <c r="O176" s="59" t="s"/>
      <c r="P176" s="59" t="s"/>
      <c r="Q176" s="59" t="s"/>
      <c r="R176" s="59" t="s"/>
    </row>
    <row r="177" spans="1:18" ht="13.5">
      <c r="A177" s="59" t="s"/>
      <c r="B177" s="59" t="s"/>
      <c r="C177" s="59" t="s"/>
      <c r="D177" s="59" t="s"/>
      <c r="E177" s="59" t="s"/>
      <c r="F177" s="57" t="s"/>
      <c r="G177" s="60" t="s"/>
      <c r="H177" s="59" t="s"/>
      <c r="I177" s="38" t="s"/>
      <c r="J177" s="38" t="s"/>
      <c r="K177" s="57" t="s"/>
      <c r="L177" s="609" t="s"/>
      <c r="M177" s="59" t="s"/>
      <c r="N177" s="59" t="s"/>
      <c r="O177" s="59" t="s"/>
      <c r="P177" s="59" t="s"/>
      <c r="Q177" s="59" t="s"/>
      <c r="R177" s="59" t="s"/>
    </row>
    <row r="178" spans="1:18" ht="13.5">
      <c r="A178" s="59" t="s"/>
      <c r="B178" s="59" t="s"/>
      <c r="C178" s="59" t="s"/>
      <c r="D178" s="59" t="s"/>
      <c r="E178" s="59" t="s"/>
      <c r="F178" s="57" t="s"/>
      <c r="G178" s="60" t="s"/>
      <c r="H178" s="59" t="s"/>
      <c r="I178" s="38" t="s"/>
      <c r="J178" s="38" t="s"/>
      <c r="K178" s="57" t="s"/>
      <c r="L178" s="609" t="s"/>
      <c r="M178" s="59" t="s"/>
      <c r="N178" s="59" t="s"/>
      <c r="O178" s="59" t="s"/>
      <c r="P178" s="59" t="s"/>
      <c r="Q178" s="59" t="s"/>
      <c r="R178" s="59" t="s"/>
    </row>
    <row r="179" spans="1:18" ht="13.5">
      <c r="A179" s="59" t="s"/>
      <c r="B179" s="59" t="s"/>
      <c r="C179" s="59" t="s"/>
      <c r="D179" s="59" t="s"/>
      <c r="E179" s="59" t="s"/>
      <c r="F179" s="57" t="s"/>
      <c r="G179" s="60" t="s"/>
      <c r="H179" s="59" t="s"/>
      <c r="I179" s="38" t="s"/>
      <c r="J179" s="38" t="s"/>
      <c r="K179" s="57" t="s"/>
      <c r="L179" s="609" t="s"/>
      <c r="M179" s="59" t="s"/>
      <c r="N179" s="59" t="s"/>
      <c r="O179" s="59" t="s"/>
      <c r="P179" s="59" t="s"/>
      <c r="Q179" s="59" t="s"/>
      <c r="R179" s="59" t="s"/>
    </row>
    <row r="180" spans="1:18" ht="13.5">
      <c r="A180" s="59" t="s"/>
      <c r="B180" s="59" t="s"/>
      <c r="C180" s="59" t="s"/>
      <c r="D180" s="59" t="s"/>
      <c r="E180" s="59" t="s"/>
      <c r="F180" s="57" t="s"/>
      <c r="G180" s="60" t="s"/>
      <c r="H180" s="59" t="s"/>
      <c r="I180" s="38" t="s"/>
      <c r="J180" s="38" t="s"/>
      <c r="K180" s="57" t="s"/>
      <c r="L180" s="609" t="s"/>
      <c r="M180" s="59" t="s"/>
      <c r="N180" s="59" t="s"/>
      <c r="O180" s="59" t="s"/>
      <c r="P180" s="59" t="s"/>
      <c r="Q180" s="59" t="s"/>
      <c r="R180" s="59" t="s"/>
    </row>
    <row r="181" spans="1:18" ht="13.5">
      <c r="A181" s="59" t="s"/>
      <c r="B181" s="59" t="s"/>
      <c r="C181" s="59" t="s"/>
      <c r="D181" s="59" t="s"/>
      <c r="E181" s="59" t="s"/>
      <c r="F181" s="57" t="s"/>
      <c r="G181" s="60" t="s"/>
      <c r="H181" s="59" t="s"/>
      <c r="I181" s="38" t="s"/>
      <c r="J181" s="38" t="s"/>
      <c r="K181" s="57" t="s"/>
      <c r="L181" s="609" t="s"/>
      <c r="M181" s="59" t="s"/>
      <c r="N181" s="59" t="s"/>
      <c r="O181" s="59" t="s"/>
      <c r="P181" s="59" t="s"/>
      <c r="Q181" s="59" t="s"/>
      <c r="R181" s="59" t="s"/>
    </row>
    <row r="182" spans="1:18" ht="13.5">
      <c r="A182" s="59" t="s"/>
      <c r="B182" s="59" t="s"/>
      <c r="C182" s="59" t="s"/>
      <c r="D182" s="59" t="s"/>
      <c r="E182" s="59" t="s"/>
      <c r="F182" s="57" t="s"/>
      <c r="G182" s="60" t="s"/>
      <c r="H182" s="59" t="s"/>
      <c r="I182" s="38" t="s"/>
      <c r="J182" s="38" t="s"/>
      <c r="K182" s="57" t="s"/>
      <c r="L182" s="609" t="s"/>
      <c r="M182" s="59" t="s"/>
      <c r="N182" s="59" t="s"/>
      <c r="O182" s="59" t="s"/>
      <c r="P182" s="59" t="s"/>
      <c r="Q182" s="59" t="s"/>
      <c r="R182" s="59" t="s"/>
    </row>
    <row r="183" spans="1:18" ht="13.5">
      <c r="A183" s="59" t="s"/>
      <c r="B183" s="59" t="s"/>
      <c r="C183" s="59" t="s"/>
      <c r="D183" s="59" t="s"/>
      <c r="E183" s="59" t="s"/>
      <c r="F183" s="57" t="s"/>
      <c r="G183" s="60" t="s"/>
      <c r="H183" s="59" t="s"/>
      <c r="I183" s="38" t="s"/>
      <c r="J183" s="38" t="s"/>
      <c r="K183" s="57" t="s"/>
      <c r="L183" s="609" t="s"/>
      <c r="M183" s="59" t="s"/>
      <c r="N183" s="59" t="s"/>
      <c r="O183" s="59" t="s"/>
      <c r="P183" s="59" t="s"/>
      <c r="Q183" s="59" t="s"/>
      <c r="R183" s="59" t="s"/>
    </row>
    <row r="184" spans="1:18" ht="13.5">
      <c r="A184" s="59" t="s"/>
      <c r="B184" s="59" t="s"/>
      <c r="C184" s="59" t="s"/>
      <c r="D184" s="59" t="s"/>
      <c r="E184" s="59" t="s"/>
      <c r="F184" s="57" t="s"/>
      <c r="G184" s="60" t="s"/>
      <c r="H184" s="59" t="s"/>
      <c r="I184" s="38" t="s"/>
      <c r="J184" s="38" t="s"/>
      <c r="K184" s="57" t="s"/>
      <c r="L184" s="609" t="s"/>
      <c r="M184" s="59" t="s"/>
      <c r="N184" s="59" t="s"/>
      <c r="O184" s="59" t="s"/>
      <c r="P184" s="59" t="s"/>
      <c r="Q184" s="59" t="s"/>
      <c r="R184" s="59" t="s"/>
    </row>
    <row r="185" spans="1:18" ht="13.5">
      <c r="A185" s="59" t="s"/>
      <c r="B185" s="59" t="s"/>
      <c r="C185" s="59" t="s"/>
      <c r="D185" s="59" t="s"/>
      <c r="E185" s="59" t="s"/>
      <c r="F185" s="57" t="s"/>
      <c r="G185" s="60" t="s"/>
      <c r="H185" s="59" t="s"/>
      <c r="I185" s="38" t="s"/>
      <c r="J185" s="38" t="s"/>
      <c r="K185" s="57" t="s"/>
      <c r="L185" s="609" t="s"/>
      <c r="M185" s="59" t="s"/>
      <c r="N185" s="59" t="s"/>
      <c r="O185" s="59" t="s"/>
      <c r="P185" s="59" t="s"/>
      <c r="Q185" s="59" t="s"/>
      <c r="R185" s="59" t="s"/>
    </row>
    <row r="186" spans="1:18" ht="13.5">
      <c r="A186" s="59" t="s"/>
      <c r="B186" s="59" t="s"/>
      <c r="C186" s="59" t="s"/>
      <c r="D186" s="59" t="s"/>
      <c r="E186" s="59" t="s"/>
      <c r="F186" s="57" t="s"/>
      <c r="G186" s="60" t="s"/>
      <c r="H186" s="59" t="s"/>
      <c r="I186" s="38" t="s"/>
      <c r="J186" s="38" t="s"/>
      <c r="K186" s="57" t="s"/>
      <c r="L186" s="609" t="s"/>
      <c r="M186" s="59" t="s"/>
      <c r="N186" s="59" t="s"/>
      <c r="O186" s="59" t="s"/>
      <c r="P186" s="59" t="s"/>
      <c r="Q186" s="59" t="s"/>
      <c r="R186" s="59" t="s"/>
    </row>
    <row r="187" spans="1:18" ht="13.5">
      <c r="A187" s="59" t="s"/>
      <c r="B187" s="59" t="s"/>
      <c r="C187" s="59" t="s"/>
      <c r="D187" s="59" t="s"/>
      <c r="E187" s="59" t="s"/>
      <c r="F187" s="57" t="s"/>
      <c r="G187" s="60" t="s"/>
      <c r="H187" s="59" t="s"/>
      <c r="I187" s="38" t="s"/>
      <c r="J187" s="38" t="s"/>
      <c r="K187" s="57" t="s"/>
      <c r="L187" s="609" t="s"/>
      <c r="M187" s="59" t="s"/>
      <c r="N187" s="59" t="s"/>
      <c r="O187" s="59" t="s"/>
      <c r="P187" s="59" t="s"/>
      <c r="Q187" s="59" t="s"/>
      <c r="R187" s="59" t="s"/>
    </row>
    <row r="188" spans="1:18" ht="13.5">
      <c r="A188" s="59" t="s"/>
      <c r="B188" s="59" t="s"/>
      <c r="C188" s="59" t="s"/>
      <c r="D188" s="59" t="s"/>
      <c r="E188" s="59" t="s"/>
      <c r="F188" s="57" t="s"/>
      <c r="G188" s="60" t="s"/>
      <c r="H188" s="59" t="s"/>
      <c r="I188" s="38" t="s"/>
      <c r="J188" s="38" t="s"/>
      <c r="K188" s="57" t="s"/>
      <c r="L188" s="609" t="s"/>
      <c r="M188" s="59" t="s"/>
      <c r="N188" s="59" t="s"/>
      <c r="O188" s="59" t="s"/>
      <c r="P188" s="59" t="s"/>
      <c r="Q188" s="59" t="s"/>
      <c r="R188" s="59" t="s"/>
    </row>
    <row r="189" spans="1:18" ht="13.5">
      <c r="A189" s="59" t="s"/>
      <c r="B189" s="59" t="s"/>
      <c r="C189" s="59" t="s"/>
      <c r="D189" s="59" t="s"/>
      <c r="E189" s="59" t="s"/>
      <c r="F189" s="57" t="s"/>
      <c r="G189" s="60" t="s"/>
      <c r="H189" s="59" t="s"/>
      <c r="I189" s="38" t="s"/>
      <c r="J189" s="38" t="s"/>
      <c r="K189" s="57" t="s"/>
      <c r="L189" s="609" t="s"/>
      <c r="M189" s="59" t="s"/>
      <c r="N189" s="59" t="s"/>
      <c r="O189" s="59" t="s"/>
      <c r="P189" s="59" t="s"/>
      <c r="Q189" s="59" t="s"/>
      <c r="R189" s="59" t="s"/>
    </row>
    <row r="190" spans="1:18" ht="13.5">
      <c r="A190" s="59" t="s"/>
      <c r="B190" s="59" t="s"/>
      <c r="C190" s="59" t="s"/>
      <c r="D190" s="59" t="s"/>
      <c r="E190" s="59" t="s"/>
      <c r="F190" s="57" t="s"/>
      <c r="G190" s="60" t="s"/>
      <c r="H190" s="59" t="s"/>
      <c r="I190" s="38" t="s"/>
      <c r="J190" s="38" t="s"/>
      <c r="K190" s="57" t="s"/>
      <c r="L190" s="609" t="s"/>
      <c r="M190" s="59" t="s"/>
      <c r="N190" s="59" t="s"/>
      <c r="O190" s="59" t="s"/>
      <c r="P190" s="59" t="s"/>
      <c r="Q190" s="59" t="s"/>
      <c r="R190" s="59" t="s"/>
    </row>
    <row r="191" spans="1:18" ht="13.5">
      <c r="A191" s="59" t="s"/>
      <c r="B191" s="59" t="s"/>
      <c r="C191" s="59" t="s"/>
      <c r="D191" s="59" t="s"/>
      <c r="E191" s="59" t="s"/>
      <c r="F191" s="57" t="s"/>
      <c r="G191" s="60" t="s"/>
      <c r="H191" s="59" t="s"/>
      <c r="I191" s="38" t="s"/>
      <c r="J191" s="38" t="s"/>
      <c r="K191" s="57" t="s"/>
      <c r="L191" s="609" t="s"/>
      <c r="M191" s="59" t="s"/>
      <c r="N191" s="59" t="s"/>
      <c r="O191" s="59" t="s"/>
      <c r="P191" s="59" t="s"/>
      <c r="Q191" s="59" t="s"/>
      <c r="R191" s="59" t="s"/>
    </row>
    <row r="192" spans="1:18" ht="13.5">
      <c r="A192" s="59" t="s"/>
      <c r="B192" s="59" t="s"/>
      <c r="C192" s="59" t="s"/>
      <c r="D192" s="59" t="s"/>
      <c r="E192" s="59" t="s"/>
      <c r="F192" s="57" t="s"/>
      <c r="G192" s="60" t="s"/>
      <c r="H192" s="59" t="s"/>
      <c r="I192" s="38" t="s"/>
      <c r="J192" s="38" t="s"/>
      <c r="K192" s="57" t="s"/>
      <c r="L192" s="609" t="s"/>
      <c r="M192" s="59" t="s"/>
      <c r="N192" s="59" t="s"/>
      <c r="O192" s="59" t="s"/>
      <c r="P192" s="59" t="s"/>
      <c r="Q192" s="59" t="s"/>
      <c r="R192" s="59" t="s"/>
    </row>
    <row r="193" spans="1:18" ht="13.5">
      <c r="A193" s="59" t="s"/>
      <c r="B193" s="59" t="s"/>
      <c r="C193" s="59" t="s"/>
      <c r="D193" s="59" t="s"/>
      <c r="E193" s="59" t="s"/>
      <c r="F193" s="57" t="s"/>
      <c r="G193" s="60" t="s"/>
      <c r="H193" s="59" t="s"/>
      <c r="I193" s="38" t="s"/>
      <c r="J193" s="38" t="s"/>
      <c r="K193" s="57" t="s"/>
      <c r="L193" s="609" t="s"/>
      <c r="M193" s="59" t="s"/>
      <c r="N193" s="59" t="s"/>
      <c r="O193" s="59" t="s"/>
      <c r="P193" s="59" t="s"/>
      <c r="Q193" s="59" t="s"/>
      <c r="R193" s="59" t="s"/>
    </row>
    <row r="194" spans="1:18" ht="13.5">
      <c r="A194" s="59" t="s"/>
      <c r="B194" s="59" t="s"/>
      <c r="C194" s="59" t="s"/>
      <c r="D194" s="59" t="s"/>
      <c r="E194" s="59" t="s"/>
      <c r="F194" s="57" t="s"/>
      <c r="G194" s="60" t="s"/>
      <c r="H194" s="59" t="s"/>
      <c r="I194" s="38" t="s"/>
      <c r="J194" s="38" t="s"/>
      <c r="K194" s="57" t="s"/>
      <c r="L194" s="609" t="s"/>
      <c r="M194" s="59" t="s"/>
      <c r="N194" s="59" t="s"/>
      <c r="O194" s="59" t="s"/>
      <c r="P194" s="59" t="s"/>
      <c r="Q194" s="59" t="s"/>
      <c r="R194" s="59" t="s"/>
    </row>
    <row r="195" spans="1:18" ht="13.5">
      <c r="A195" s="59" t="s"/>
      <c r="B195" s="59" t="s"/>
      <c r="C195" s="59" t="s"/>
      <c r="D195" s="59" t="s"/>
      <c r="E195" s="59" t="s"/>
      <c r="F195" s="57" t="s"/>
      <c r="G195" s="60" t="s"/>
      <c r="H195" s="59" t="s"/>
      <c r="I195" s="38" t="s"/>
      <c r="J195" s="38" t="s"/>
      <c r="K195" s="57" t="s"/>
      <c r="L195" s="609" t="s"/>
      <c r="M195" s="59" t="s"/>
      <c r="N195" s="59" t="s"/>
      <c r="O195" s="59" t="s"/>
      <c r="P195" s="59" t="s"/>
      <c r="Q195" s="59" t="s"/>
      <c r="R195" s="59" t="s"/>
    </row>
    <row r="196" spans="1:18" ht="13.5">
      <c r="A196" s="59" t="s"/>
      <c r="B196" s="59" t="s"/>
      <c r="C196" s="59" t="s"/>
      <c r="D196" s="59" t="s"/>
      <c r="E196" s="59" t="s"/>
      <c r="F196" s="57" t="s"/>
      <c r="G196" s="60" t="s"/>
      <c r="H196" s="59" t="s"/>
      <c r="I196" s="38" t="s"/>
      <c r="J196" s="38" t="s"/>
      <c r="K196" s="57" t="s"/>
      <c r="L196" s="609" t="s"/>
      <c r="M196" s="59" t="s"/>
      <c r="N196" s="59" t="s"/>
      <c r="O196" s="59" t="s"/>
      <c r="P196" s="59" t="s"/>
      <c r="Q196" s="59" t="s"/>
      <c r="R196" s="59" t="s"/>
    </row>
    <row r="197" spans="1:18" ht="13.5">
      <c r="A197" s="59" t="s"/>
      <c r="B197" s="59" t="s"/>
      <c r="C197" s="59" t="s"/>
      <c r="D197" s="59" t="s"/>
      <c r="E197" s="59" t="s"/>
      <c r="F197" s="57" t="s"/>
      <c r="G197" s="60" t="s"/>
      <c r="H197" s="59" t="s"/>
      <c r="I197" s="38" t="s"/>
      <c r="J197" s="38" t="s"/>
      <c r="K197" s="57" t="s"/>
      <c r="L197" s="609" t="s"/>
      <c r="M197" s="59" t="s"/>
      <c r="N197" s="59" t="s"/>
      <c r="O197" s="59" t="s"/>
      <c r="P197" s="59" t="s"/>
      <c r="Q197" s="59" t="s"/>
      <c r="R197" s="59" t="s"/>
    </row>
    <row r="198" spans="1:18" ht="13.5">
      <c r="A198" s="59" t="s"/>
      <c r="B198" s="59" t="s"/>
      <c r="C198" s="59" t="s"/>
      <c r="D198" s="59" t="s"/>
      <c r="E198" s="59" t="s"/>
      <c r="F198" s="57" t="s"/>
      <c r="G198" s="60" t="s"/>
      <c r="H198" s="59" t="s"/>
      <c r="I198" s="38" t="s"/>
      <c r="J198" s="38" t="s"/>
      <c r="K198" s="57" t="s"/>
      <c r="L198" s="609" t="s"/>
      <c r="M198" s="59" t="s"/>
      <c r="N198" s="59" t="s"/>
      <c r="O198" s="59" t="s"/>
      <c r="P198" s="59" t="s"/>
      <c r="Q198" s="59" t="s"/>
      <c r="R198" s="59" t="s"/>
    </row>
    <row r="199" spans="1:18" ht="13.5">
      <c r="A199" s="59" t="s"/>
      <c r="B199" s="59" t="s"/>
      <c r="C199" s="59" t="s"/>
      <c r="D199" s="59" t="s"/>
      <c r="E199" s="59" t="s"/>
      <c r="F199" s="57" t="s"/>
      <c r="G199" s="60" t="s"/>
      <c r="H199" s="59" t="s"/>
      <c r="I199" s="38" t="s"/>
      <c r="J199" s="38" t="s"/>
      <c r="K199" s="57" t="s"/>
      <c r="L199" s="609" t="s"/>
      <c r="M199" s="59" t="s"/>
      <c r="N199" s="59" t="s"/>
      <c r="O199" s="59" t="s"/>
      <c r="P199" s="59" t="s"/>
      <c r="Q199" s="59" t="s"/>
      <c r="R199" s="59" t="s"/>
    </row>
    <row r="200" spans="1:18" ht="13.5">
      <c r="A200" s="59" t="s"/>
      <c r="B200" s="59" t="s"/>
      <c r="C200" s="59" t="s"/>
      <c r="D200" s="59" t="s"/>
      <c r="E200" s="59" t="s"/>
      <c r="F200" s="57" t="s"/>
      <c r="G200" s="60" t="s"/>
      <c r="H200" s="59" t="s"/>
      <c r="I200" s="38" t="s"/>
      <c r="J200" s="38" t="s"/>
      <c r="K200" s="57" t="s"/>
      <c r="L200" s="609" t="s"/>
      <c r="M200" s="59" t="s"/>
      <c r="N200" s="59" t="s"/>
      <c r="O200" s="59" t="s"/>
      <c r="P200" s="59" t="s"/>
      <c r="Q200" s="59" t="s"/>
      <c r="R200" s="59" t="s"/>
    </row>
  </sheetData>
  <autoFilter ref="A1:L58">
    <extLst/>
  </autoFilter>
  <mergeCells count="2">
    <mergeCell ref="D47:F47"/>
    <mergeCell ref="D61:F61"/>
  </mergeCells>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2026-04-29T15:44:37Z</dcterms:created>
  <dcterms:modified xsi:type="dcterms:W3CDTF">2026-04-29T15:44:37Z</dcterms:modified>
</cp:coreProperties>
</file>